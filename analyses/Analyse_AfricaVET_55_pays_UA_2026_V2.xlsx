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4.xml" ContentType="application/vnd.openxmlformats-officedocument.drawingml.char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tables/table11.xml" ContentType="application/vnd.openxmlformats-officedocument.spreadsheetml.table+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2.xml" ContentType="application/vnd.openxmlformats-officedocument.spreadsheetml.table+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ean Marc Feussom\Downloads\"/>
    </mc:Choice>
  </mc:AlternateContent>
  <xr:revisionPtr revIDLastSave="0" documentId="8_{1B039A54-CCED-40E8-92DE-669E116BC91B}" xr6:coauthVersionLast="47" xr6:coauthVersionMax="47" xr10:uidLastSave="{00000000-0000-0000-0000-000000000000}"/>
  <bookViews>
    <workbookView xWindow="28635" yWindow="-165" windowWidth="29130" windowHeight="15810" xr2:uid="{00000000-000D-0000-FFFF-FFFF00000000}"/>
  </bookViews>
  <sheets>
    <sheet name="Tableau de bord" sheetId="1" r:id="rId1"/>
    <sheet name="Vue journalistique" sheetId="2" r:id="rId2"/>
    <sheet name="Plan mise en œuvre" sheetId="3" r:id="rId3"/>
    <sheet name="Plan 90 jours" sheetId="4" r:id="rId4"/>
    <sheet name="Recommandations auteurs" sheetId="5" r:id="rId5"/>
    <sheet name="Rubriques éditoriales" sheetId="6" r:id="rId6"/>
    <sheet name="Standards et workflow" sheetId="7" r:id="rId7"/>
    <sheet name="KPI et gouvernance" sheetId="8" r:id="rId8"/>
    <sheet name="Classement 55" sheetId="9" r:id="rId9"/>
    <sheet name="Corpus" sheetId="10" r:id="rId10"/>
    <sheet name="Analyse régions" sheetId="11" r:id="rId11"/>
    <sheet name="Thèmes et années" sheetId="12" r:id="rId12"/>
    <sheet name="Auteurs" sheetId="13" r:id="rId13"/>
    <sheet name="Audience et impact" sheetId="14" r:id="rId14"/>
    <sheet name="Performance articles" sheetId="15" r:id="rId15"/>
    <sheet name="Qualité éditoriale" sheetId="16" r:id="rId16"/>
    <sheet name="Rythme publication" sheetId="17" r:id="rId17"/>
    <sheet name="Méthodologie"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2" l="1"/>
  <c r="G13" i="12" s="1"/>
  <c r="B13" i="12"/>
  <c r="C13" i="12" s="1"/>
  <c r="F12" i="12"/>
  <c r="G12" i="12" s="1"/>
  <c r="B12" i="12"/>
  <c r="C12" i="12" s="1"/>
  <c r="J11" i="12"/>
  <c r="K11" i="12" s="1"/>
  <c r="F11" i="12"/>
  <c r="G11" i="12" s="1"/>
  <c r="B11" i="12"/>
  <c r="C11" i="12" s="1"/>
  <c r="J10" i="12"/>
  <c r="K10" i="12" s="1"/>
  <c r="F10" i="12"/>
  <c r="G10" i="12" s="1"/>
  <c r="B10" i="12"/>
  <c r="C10" i="12" s="1"/>
  <c r="J9" i="12"/>
  <c r="K9" i="12" s="1"/>
  <c r="F9" i="12"/>
  <c r="G9" i="12" s="1"/>
  <c r="B9" i="12"/>
  <c r="C9" i="12" s="1"/>
  <c r="J8" i="12"/>
  <c r="K8" i="12" s="1"/>
  <c r="F8" i="12"/>
  <c r="G8" i="12" s="1"/>
  <c r="B8" i="12"/>
  <c r="C8" i="12" s="1"/>
  <c r="J7" i="12"/>
  <c r="K7" i="12" s="1"/>
  <c r="F7" i="12"/>
  <c r="G7" i="12" s="1"/>
  <c r="B7" i="12"/>
  <c r="C6" i="12" s="1"/>
  <c r="J6" i="12"/>
  <c r="K6" i="12" s="1"/>
  <c r="F6" i="12"/>
  <c r="B6" i="12"/>
  <c r="R59" i="9"/>
  <c r="J59" i="9"/>
  <c r="I59" i="9"/>
  <c r="F59" i="9"/>
  <c r="E59" i="9"/>
  <c r="D59" i="9"/>
  <c r="R58" i="9"/>
  <c r="J58" i="9"/>
  <c r="I58" i="9"/>
  <c r="F58" i="9"/>
  <c r="E58" i="9"/>
  <c r="D58" i="9"/>
  <c r="H58" i="9" s="1"/>
  <c r="R57" i="9"/>
  <c r="J57" i="9"/>
  <c r="I57" i="9"/>
  <c r="F57" i="9"/>
  <c r="E57" i="9"/>
  <c r="D57" i="9"/>
  <c r="R56" i="9"/>
  <c r="J56" i="9"/>
  <c r="I56" i="9"/>
  <c r="F56" i="9"/>
  <c r="E56" i="9"/>
  <c r="D56" i="9"/>
  <c r="H56" i="9" s="1"/>
  <c r="R55" i="9"/>
  <c r="J55" i="9"/>
  <c r="I55" i="9"/>
  <c r="F55" i="9"/>
  <c r="E55" i="9"/>
  <c r="D55" i="9"/>
  <c r="R54" i="9"/>
  <c r="J54" i="9"/>
  <c r="I54" i="9"/>
  <c r="F54" i="9"/>
  <c r="E54" i="9"/>
  <c r="D54" i="9"/>
  <c r="H54" i="9" s="1"/>
  <c r="R53" i="9"/>
  <c r="J53" i="9"/>
  <c r="I53" i="9"/>
  <c r="F53" i="9"/>
  <c r="E53" i="9"/>
  <c r="D53" i="9"/>
  <c r="H53" i="9" s="1"/>
  <c r="R52" i="9"/>
  <c r="J52" i="9"/>
  <c r="I52" i="9"/>
  <c r="F52" i="9"/>
  <c r="E52" i="9"/>
  <c r="D52" i="9"/>
  <c r="H52" i="9" s="1"/>
  <c r="R51" i="9"/>
  <c r="J51" i="9"/>
  <c r="I51" i="9"/>
  <c r="F51" i="9"/>
  <c r="E51" i="9"/>
  <c r="D51" i="9"/>
  <c r="R50" i="9"/>
  <c r="J50" i="9"/>
  <c r="I50" i="9"/>
  <c r="F50" i="9"/>
  <c r="E50" i="9"/>
  <c r="D50" i="9"/>
  <c r="H50" i="9" s="1"/>
  <c r="R49" i="9"/>
  <c r="J49" i="9"/>
  <c r="I49" i="9"/>
  <c r="F49" i="9"/>
  <c r="E49" i="9"/>
  <c r="D49" i="9"/>
  <c r="R48" i="9"/>
  <c r="J48" i="9"/>
  <c r="I48" i="9"/>
  <c r="F48" i="9"/>
  <c r="E48" i="9"/>
  <c r="D48" i="9"/>
  <c r="H48" i="9" s="1"/>
  <c r="R47" i="9"/>
  <c r="J47" i="9"/>
  <c r="I47" i="9"/>
  <c r="F47" i="9"/>
  <c r="E47" i="9"/>
  <c r="D47" i="9"/>
  <c r="R46" i="9"/>
  <c r="J46" i="9"/>
  <c r="I46" i="9"/>
  <c r="F46" i="9"/>
  <c r="E46" i="9"/>
  <c r="D46" i="9"/>
  <c r="H46" i="9" s="1"/>
  <c r="R45" i="9"/>
  <c r="J45" i="9"/>
  <c r="I45" i="9"/>
  <c r="F45" i="9"/>
  <c r="E45" i="9"/>
  <c r="D45" i="9"/>
  <c r="H45" i="9" s="1"/>
  <c r="R44" i="9"/>
  <c r="J44" i="9"/>
  <c r="I44" i="9"/>
  <c r="F44" i="9"/>
  <c r="E44" i="9"/>
  <c r="D44" i="9"/>
  <c r="H44" i="9" s="1"/>
  <c r="R43" i="9"/>
  <c r="J43" i="9"/>
  <c r="I43" i="9"/>
  <c r="F43" i="9"/>
  <c r="E43" i="9"/>
  <c r="D43" i="9"/>
  <c r="R42" i="9"/>
  <c r="J42" i="9"/>
  <c r="I42" i="9"/>
  <c r="F42" i="9"/>
  <c r="E42" i="9"/>
  <c r="D42" i="9"/>
  <c r="H42" i="9" s="1"/>
  <c r="R41" i="9"/>
  <c r="J41" i="9"/>
  <c r="I41" i="9"/>
  <c r="F41" i="9"/>
  <c r="E41" i="9"/>
  <c r="D41" i="9"/>
  <c r="R40" i="9"/>
  <c r="J40" i="9"/>
  <c r="I40" i="9"/>
  <c r="F40" i="9"/>
  <c r="E40" i="9"/>
  <c r="D40" i="9"/>
  <c r="H40" i="9" s="1"/>
  <c r="R39" i="9"/>
  <c r="J39" i="9"/>
  <c r="I39" i="9"/>
  <c r="F39" i="9"/>
  <c r="E39" i="9"/>
  <c r="D39" i="9"/>
  <c r="R38" i="9"/>
  <c r="J38" i="9"/>
  <c r="I38" i="9"/>
  <c r="F38" i="9"/>
  <c r="E38" i="9"/>
  <c r="D38" i="9"/>
  <c r="H38" i="9" s="1"/>
  <c r="R37" i="9"/>
  <c r="J37" i="9"/>
  <c r="I37" i="9"/>
  <c r="F37" i="9"/>
  <c r="E37" i="9"/>
  <c r="D37" i="9"/>
  <c r="H37" i="9" s="1"/>
  <c r="R36" i="9"/>
  <c r="J36" i="9"/>
  <c r="I36" i="9"/>
  <c r="F36" i="9"/>
  <c r="E36" i="9"/>
  <c r="D36" i="9"/>
  <c r="H36" i="9" s="1"/>
  <c r="R35" i="9"/>
  <c r="J35" i="9"/>
  <c r="I35" i="9"/>
  <c r="F35" i="9"/>
  <c r="E35" i="9"/>
  <c r="D35" i="9"/>
  <c r="R34" i="9"/>
  <c r="J34" i="9"/>
  <c r="I34" i="9"/>
  <c r="F34" i="9"/>
  <c r="E34" i="9"/>
  <c r="D34" i="9"/>
  <c r="H34" i="9" s="1"/>
  <c r="R33" i="9"/>
  <c r="J33" i="9"/>
  <c r="I33" i="9"/>
  <c r="F33" i="9"/>
  <c r="E33" i="9"/>
  <c r="D33" i="9"/>
  <c r="R32" i="9"/>
  <c r="J32" i="9"/>
  <c r="I32" i="9"/>
  <c r="F32" i="9"/>
  <c r="E32" i="9"/>
  <c r="D32" i="9"/>
  <c r="H32" i="9" s="1"/>
  <c r="R31" i="9"/>
  <c r="J31" i="9"/>
  <c r="I31" i="9"/>
  <c r="F31" i="9"/>
  <c r="E31" i="9"/>
  <c r="D31" i="9"/>
  <c r="R30" i="9"/>
  <c r="J30" i="9"/>
  <c r="I30" i="9"/>
  <c r="F30" i="9"/>
  <c r="E30" i="9"/>
  <c r="D30" i="9"/>
  <c r="H30" i="9" s="1"/>
  <c r="R29" i="9"/>
  <c r="J29" i="9"/>
  <c r="I29" i="9"/>
  <c r="F29" i="9"/>
  <c r="E29" i="9"/>
  <c r="D29" i="9"/>
  <c r="H29" i="9" s="1"/>
  <c r="R28" i="9"/>
  <c r="J28" i="9"/>
  <c r="I28" i="9"/>
  <c r="F28" i="9"/>
  <c r="E28" i="9"/>
  <c r="D28" i="9"/>
  <c r="H28" i="9" s="1"/>
  <c r="R27" i="9"/>
  <c r="J27" i="9"/>
  <c r="I27" i="9"/>
  <c r="F27" i="9"/>
  <c r="E27" i="9"/>
  <c r="D27" i="9"/>
  <c r="R26" i="9"/>
  <c r="J26" i="9"/>
  <c r="I26" i="9"/>
  <c r="F26" i="9"/>
  <c r="E26" i="9"/>
  <c r="D26" i="9"/>
  <c r="H26" i="9" s="1"/>
  <c r="R25" i="9"/>
  <c r="J25" i="9"/>
  <c r="I25" i="9"/>
  <c r="F25" i="9"/>
  <c r="E25" i="9"/>
  <c r="D25" i="9"/>
  <c r="R24" i="9"/>
  <c r="J24" i="9"/>
  <c r="I24" i="9"/>
  <c r="F24" i="9"/>
  <c r="E24" i="9"/>
  <c r="D24" i="9"/>
  <c r="H24" i="9" s="1"/>
  <c r="R23" i="9"/>
  <c r="J23" i="9"/>
  <c r="I23" i="9"/>
  <c r="F23" i="9"/>
  <c r="E23" i="9"/>
  <c r="D23" i="9"/>
  <c r="R22" i="9"/>
  <c r="J22" i="9"/>
  <c r="I22" i="9"/>
  <c r="F22" i="9"/>
  <c r="E22" i="9"/>
  <c r="D22" i="9"/>
  <c r="H22" i="9" s="1"/>
  <c r="R21" i="9"/>
  <c r="J21" i="9"/>
  <c r="I21" i="9"/>
  <c r="F21" i="9"/>
  <c r="E21" i="9"/>
  <c r="D21" i="9"/>
  <c r="H21" i="9" s="1"/>
  <c r="R20" i="9"/>
  <c r="J20" i="9"/>
  <c r="I20" i="9"/>
  <c r="F20" i="9"/>
  <c r="E20" i="9"/>
  <c r="D20" i="9"/>
  <c r="H20" i="9" s="1"/>
  <c r="R19" i="9"/>
  <c r="J19" i="9"/>
  <c r="I19" i="9"/>
  <c r="F19" i="9"/>
  <c r="E19" i="9"/>
  <c r="D19" i="9"/>
  <c r="R18" i="9"/>
  <c r="J18" i="9"/>
  <c r="I18" i="9"/>
  <c r="F18" i="9"/>
  <c r="E18" i="9"/>
  <c r="D18" i="9"/>
  <c r="H18" i="9" s="1"/>
  <c r="R17" i="9"/>
  <c r="J17" i="9"/>
  <c r="I17" i="9"/>
  <c r="F17" i="9"/>
  <c r="E17" i="9"/>
  <c r="D17" i="9"/>
  <c r="R16" i="9"/>
  <c r="J16" i="9"/>
  <c r="I16" i="9"/>
  <c r="F16" i="9"/>
  <c r="E16" i="9"/>
  <c r="D16" i="9"/>
  <c r="B23" i="1" s="1"/>
  <c r="R15" i="9"/>
  <c r="J15" i="9"/>
  <c r="I15" i="9"/>
  <c r="F15" i="9"/>
  <c r="E15" i="9"/>
  <c r="D15" i="9"/>
  <c r="R14" i="9"/>
  <c r="J14" i="9"/>
  <c r="F9" i="11" s="1"/>
  <c r="I14" i="9"/>
  <c r="F14" i="9"/>
  <c r="E14" i="9"/>
  <c r="D14" i="9"/>
  <c r="H14" i="9" s="1"/>
  <c r="R13" i="9"/>
  <c r="J13" i="9"/>
  <c r="I13" i="9"/>
  <c r="F13" i="9"/>
  <c r="E13" i="9"/>
  <c r="D13" i="9"/>
  <c r="H13" i="9" s="1"/>
  <c r="R12" i="9"/>
  <c r="J12" i="9"/>
  <c r="I12" i="9"/>
  <c r="F12" i="9"/>
  <c r="E12" i="9"/>
  <c r="D12" i="9"/>
  <c r="R11" i="9"/>
  <c r="J11" i="9"/>
  <c r="I11" i="9"/>
  <c r="F11" i="9"/>
  <c r="E11" i="9"/>
  <c r="D11" i="9"/>
  <c r="R10" i="9"/>
  <c r="J10" i="9"/>
  <c r="F8" i="11" s="1"/>
  <c r="I10" i="9"/>
  <c r="F10" i="9"/>
  <c r="E10" i="9"/>
  <c r="D10" i="9"/>
  <c r="G8" i="11" s="1"/>
  <c r="R9" i="9"/>
  <c r="J9" i="9"/>
  <c r="I9" i="9"/>
  <c r="F9" i="9"/>
  <c r="E9" i="9"/>
  <c r="D9" i="9"/>
  <c r="B16" i="1" s="1"/>
  <c r="R8" i="9"/>
  <c r="J8" i="9"/>
  <c r="F7" i="11" s="1"/>
  <c r="I8" i="9"/>
  <c r="F8" i="9"/>
  <c r="E8" i="9"/>
  <c r="D8" i="9"/>
  <c r="C7" i="11" s="1"/>
  <c r="R7" i="9"/>
  <c r="J7" i="9"/>
  <c r="I7" i="9"/>
  <c r="F7" i="9"/>
  <c r="E7" i="9"/>
  <c r="D7" i="9"/>
  <c r="R6" i="9"/>
  <c r="J6" i="9"/>
  <c r="F6" i="11" s="1"/>
  <c r="I6" i="9"/>
  <c r="F6" i="9"/>
  <c r="E6" i="9"/>
  <c r="D6" i="9"/>
  <c r="G6" i="11" s="1"/>
  <c r="R5" i="9"/>
  <c r="J5" i="9"/>
  <c r="F5" i="11" s="1"/>
  <c r="I5" i="9"/>
  <c r="F5" i="9"/>
  <c r="E5" i="9"/>
  <c r="D5" i="9"/>
  <c r="H5" i="9" s="1"/>
  <c r="K30" i="8"/>
  <c r="K29" i="8"/>
  <c r="K28" i="8"/>
  <c r="K27" i="8"/>
  <c r="K26" i="8"/>
  <c r="K25" i="8"/>
  <c r="K24" i="8"/>
  <c r="K23" i="8"/>
  <c r="K22" i="8"/>
  <c r="K21" i="8"/>
  <c r="K20" i="8"/>
  <c r="K19" i="8"/>
  <c r="K18" i="8"/>
  <c r="K17" i="8"/>
  <c r="K16" i="8"/>
  <c r="K15" i="8"/>
  <c r="K14" i="8"/>
  <c r="K13" i="8"/>
  <c r="K12" i="8"/>
  <c r="K11" i="8"/>
  <c r="I34" i="3"/>
  <c r="I33" i="3"/>
  <c r="I32" i="3"/>
  <c r="I31" i="3"/>
  <c r="I30" i="3"/>
  <c r="I29" i="3"/>
  <c r="I28" i="3"/>
  <c r="I27" i="3"/>
  <c r="I26" i="3"/>
  <c r="I25" i="3"/>
  <c r="I24" i="3"/>
  <c r="I23" i="3"/>
  <c r="I22" i="3"/>
  <c r="I21" i="3"/>
  <c r="I20" i="3"/>
  <c r="I19" i="3"/>
  <c r="I18" i="3"/>
  <c r="I17" i="3"/>
  <c r="I16" i="3"/>
  <c r="I15" i="3"/>
  <c r="I14" i="3"/>
  <c r="I13" i="3"/>
  <c r="I12" i="3"/>
  <c r="I11" i="3"/>
  <c r="D16" i="2"/>
  <c r="C16" i="2"/>
  <c r="B16" i="2"/>
  <c r="A16" i="2"/>
  <c r="D15" i="2"/>
  <c r="C15" i="2"/>
  <c r="B15" i="2"/>
  <c r="A15" i="2"/>
  <c r="D14" i="2"/>
  <c r="C14" i="2"/>
  <c r="B14" i="2"/>
  <c r="A14" i="2"/>
  <c r="D13" i="2"/>
  <c r="C13" i="2"/>
  <c r="B13" i="2"/>
  <c r="A13" i="2"/>
  <c r="D12" i="2"/>
  <c r="C12" i="2"/>
  <c r="B12" i="2"/>
  <c r="A12" i="2"/>
  <c r="B26" i="1"/>
  <c r="A26" i="1"/>
  <c r="B25" i="1"/>
  <c r="A25" i="1"/>
  <c r="B24" i="1"/>
  <c r="A24" i="1"/>
  <c r="A23" i="1"/>
  <c r="B22" i="1"/>
  <c r="A22" i="1"/>
  <c r="B21" i="1"/>
  <c r="A21" i="1"/>
  <c r="A20" i="1"/>
  <c r="B19" i="1"/>
  <c r="A19" i="1"/>
  <c r="B18" i="1"/>
  <c r="A18" i="1"/>
  <c r="B17" i="1"/>
  <c r="A17" i="1"/>
  <c r="N16" i="1"/>
  <c r="A16" i="1"/>
  <c r="N15" i="1"/>
  <c r="B15" i="1"/>
  <c r="A15" i="1"/>
  <c r="N14" i="1"/>
  <c r="B14" i="1"/>
  <c r="A14" i="1"/>
  <c r="N13" i="1"/>
  <c r="B13" i="1"/>
  <c r="A13" i="1"/>
  <c r="N12" i="1"/>
  <c r="A12" i="1"/>
  <c r="F4" i="1"/>
  <c r="A4" i="1"/>
  <c r="O14" i="1" l="1"/>
  <c r="E7" i="11"/>
  <c r="H12" i="9"/>
  <c r="H11" i="9"/>
  <c r="H27" i="9"/>
  <c r="H43" i="9"/>
  <c r="H51" i="9"/>
  <c r="H59" i="9"/>
  <c r="K4" i="1"/>
  <c r="H10" i="9"/>
  <c r="C6" i="11"/>
  <c r="H35" i="9"/>
  <c r="G5" i="11"/>
  <c r="C9" i="11"/>
  <c r="P4" i="1"/>
  <c r="H9" i="9"/>
  <c r="H17" i="9"/>
  <c r="H25" i="9"/>
  <c r="H33" i="9"/>
  <c r="H41" i="9"/>
  <c r="H49" i="9"/>
  <c r="H57" i="9"/>
  <c r="G7" i="11"/>
  <c r="H8" i="9"/>
  <c r="C8" i="11"/>
  <c r="C7" i="12"/>
  <c r="H16" i="9"/>
  <c r="B12" i="1"/>
  <c r="H7" i="9"/>
  <c r="H15" i="9"/>
  <c r="H23" i="9"/>
  <c r="H31" i="9"/>
  <c r="H39" i="9"/>
  <c r="H47" i="9"/>
  <c r="H55" i="9"/>
  <c r="C5" i="11"/>
  <c r="G9" i="11"/>
  <c r="H19" i="9"/>
  <c r="H6" i="9"/>
  <c r="B20" i="1"/>
  <c r="O16" i="1" l="1"/>
  <c r="E9" i="11"/>
  <c r="D9" i="11"/>
  <c r="E5" i="11"/>
  <c r="O12" i="1"/>
  <c r="D5" i="11"/>
  <c r="E6" i="11"/>
  <c r="D6" i="11"/>
  <c r="O13" i="1"/>
  <c r="E8" i="11"/>
  <c r="D8" i="11"/>
  <c r="O15" i="1"/>
  <c r="D7" i="11"/>
</calcChain>
</file>

<file path=xl/sharedStrings.xml><?xml version="1.0" encoding="utf-8"?>
<sst xmlns="http://schemas.openxmlformats.org/spreadsheetml/2006/main" count="23387" uniqueCount="4392">
  <si>
    <t>AfricaVET — couverture éditoriale des 55 pays de l’Union africaine</t>
  </si>
  <si>
    <t>Inventaire exhaustif des articles au 25 août 2026 | Base vérifiable et priorités de rééquilibrage</t>
  </si>
  <si>
    <t>Articles publiés</t>
  </si>
  <si>
    <t>Articles nationaux</t>
  </si>
  <si>
    <t>Pays couverts</t>
  </si>
  <si>
    <t>Pays sans article</t>
  </si>
  <si>
    <t>Pays</t>
  </si>
  <si>
    <t>Région</t>
  </si>
  <si>
    <t>Articles</t>
  </si>
  <si>
    <t>Constats clés et implications éditoriales</t>
  </si>
  <si>
    <t>• 53,5 % des articles nationaux sont concentrés sur cinq pays; les dix premiers représentent 71,1 %.
• 4 États membres n’ont aucun article national identifié : Libye, RASD / Sahara occidental, Sao Tomé-et-Principe, Érythrée.
• L’Afrique australe et l’Afrique du Nord affichent les plus faibles moyennes par pays.
• Le champ pays du site n’est rempli que pour 61 articles sur 1 044 : la taxonomie géographique doit devenir obligatoire.
• 202 attributions restent à vérifier, principalement des contenus génériques, mondiaux ou sans ancrage géographique explicite.</t>
  </si>
  <si>
    <t>Mesures de concentration</t>
  </si>
  <si>
    <t>Priorité d’action</t>
  </si>
  <si>
    <t>Indicateur</t>
  </si>
  <si>
    <t>Valeur</t>
  </si>
  <si>
    <t>1. Ouvrir une série “55 pays, 55 regards” en commençant par les 4 pays absents.
2. Fixer un plancher trimestriel pour les 35 pays à couverture nulle, très faible ou faible.
3. Rééquilibrer les sujets : faune/conservation ne représente que 15 articles, contre 224 pour One Health/zoonoses/santé publique.
4. Rendre obligatoires pays, région, langue d’origine et macrothème dans le CMS.
5. Réviser en priorité les 50 attributions nationales déduites uniquement du début du texte.</t>
  </si>
  <si>
    <t>Part des 2 premiers pays</t>
  </si>
  <si>
    <t>Part des 5 premiers pays</t>
  </si>
  <si>
    <t>Part des 10 premiers pays</t>
  </si>
  <si>
    <t>Indice de Gini (55 pays)</t>
  </si>
  <si>
    <t>AfricaVET — tableau de pilotage journalistique</t>
  </si>
  <si>
    <t>Auteurs, audience, impact, qualité éditoriale et priorités d’amélioration | Photographie au 25 août 2026</t>
  </si>
  <si>
    <t>Articles analysés</t>
  </si>
  <si>
    <t>Vues cumulées</t>
  </si>
  <si>
    <t>Auteurs normalisés</t>
  </si>
  <si>
    <t>Score moyen de complétude</t>
  </si>
  <si>
    <t>Auteurs — production et audience</t>
  </si>
  <si>
    <t>Articles au plus fort impact relatif</t>
  </si>
  <si>
    <t>Auteur</t>
  </si>
  <si>
    <t>Vues</t>
  </si>
  <si>
    <t>Vues/article</t>
  </si>
  <si>
    <t>Rang</t>
  </si>
  <si>
    <t>Article</t>
  </si>
  <si>
    <t>Vues/jour</t>
  </si>
  <si>
    <t>Score</t>
  </si>
  <si>
    <t>Niveau</t>
  </si>
  <si>
    <t>Coccidiose chez les poulets : ces signes discrets qui peu…</t>
  </si>
  <si>
    <t>Malick Kane</t>
  </si>
  <si>
    <t>Très fort</t>
  </si>
  <si>
    <t>Burkina Faso : l’opération « Zéro poulailler vide » veut …</t>
  </si>
  <si>
    <t>PPR : les « épisystèmes », un levier stratégique pour le …</t>
  </si>
  <si>
    <t>ZLECAf : les ministres africains veulent accélérer le com…</t>
  </si>
  <si>
    <t>Cameroun : 93 stages ouverts dans des projets financés pa…</t>
  </si>
  <si>
    <t>Pêche en Afrique : femmes et jeunes, piliers encore invis…</t>
  </si>
  <si>
    <t>Peste des petits ruminants : symptômes, transmission, dia…</t>
  </si>
  <si>
    <t>Sénégal : à Mbao, 1 000 ruches pour donner un nouvel élan…</t>
  </si>
  <si>
    <t>Sudan: Vaccinating livestock amid conflict, a cross-borde…</t>
  </si>
  <si>
    <t>Fientes anormales chez les poulets : ce que leur couleur …</t>
  </si>
  <si>
    <t>Constats spécialisés</t>
  </si>
  <si>
    <t>• Malick Kane signe 76,4 % du corpus : la capacité de production est forte, mais la dépendance éditoriale est élevée.
• Les 301 articles publiés en 2026 cumulent 11 003 vues, soit 48,3 % des vues du corpus.
• L’article médian compte 16,5 vues; les dix articles les plus vus représentent 5,8 % des vues, ce qui indique une audience assez diffuse.
• 385 articles sont détectés en anglais alors que la métadonnée de langue d’origine reste renseignée en français : le pilotage multilingue est faussé.
• La complétude moyenne des éléments journalistiques et SEO n’est que de 21,8 / 100; ce score mesure les champs et la présentation, jamais la qualité du fond.</t>
  </si>
  <si>
    <t>Priorités de rédaction</t>
  </si>
  <si>
    <t>Mesure d’audience à connecter</t>
  </si>
  <si>
    <t>1. Diversifier progressivement les signatures et formaliser les domaines de responsabilité de chaque auteur.
2. Fixer une check-list de publication : pays/région, langue, sources, crédit image, méta-titre, méta-description et validation.
3. Distinguer les formats : alerte, article d’actualité, analyse, guide pratique, entretien, reportage et dossier.
4. Suivre chaque mois le rendement par thème, pays, langue et auteur sans confondre volume et impact.
5. Conserver les titres complets dans le CMS, mais tester une longueur SEO plus resserrée pour l’affichage et le partage.</t>
  </si>
  <si>
    <t>Les vues de l’API sont cumulées par article. Elles ne remplacent pas les visiteurs uniques, les sessions, les sources de trafic, le temps d’engagement, la localisation de l’audience ou les conversions.
Priorité : connecter GA4 ou Matomo, Search Console et des liens UTM cohérents pour Facebook, X, WhatsApp et la newsletter. Le tableau pourra alors mesurer la portée panafricaine, l’acquisition, la fidélisation et les conversions réelles.</t>
  </si>
  <si>
    <t>AfricaVET — plan détaillé de mise en œuvre</t>
  </si>
  <si>
    <t>Feuille de route opérationnelle sur 12 mois | Responsables, échéances, livrables, KPI, dépendances et revues</t>
  </si>
  <si>
    <t>Actions planifiées</t>
  </si>
  <si>
    <t>Actions des 30 premiers jours</t>
  </si>
  <si>
    <t>Horizon de transformation</t>
  </si>
  <si>
    <t>Revues stratégiques/an</t>
  </si>
  <si>
    <t>N°</t>
  </si>
  <si>
    <t>Phase</t>
  </si>
  <si>
    <t>Axe</t>
  </si>
  <si>
    <t>Action détaillée</t>
  </si>
  <si>
    <t>Priorité</t>
  </si>
  <si>
    <t>Responsable proposé</t>
  </si>
  <si>
    <t>Début</t>
  </si>
  <si>
    <t>Échéance</t>
  </si>
  <si>
    <t>Durée (j)</t>
  </si>
  <si>
    <t>Livrable attendu</t>
  </si>
  <si>
    <t>Indicateur de succès</t>
  </si>
  <si>
    <t>Cible</t>
  </si>
  <si>
    <t>Dépendances</t>
  </si>
  <si>
    <t>Revue / validation</t>
  </si>
  <si>
    <t>Statut</t>
  </si>
  <si>
    <t>J0–J7</t>
  </si>
  <si>
    <t>Gouvernance</t>
  </si>
  <si>
    <t>Mettre en place un comité éditorial restreint et valider les rôles décisionnels.</t>
  </si>
  <si>
    <t>P0</t>
  </si>
  <si>
    <t>Direction / Rédaction en chef</t>
  </si>
  <si>
    <t>Note de gouvernance et calendrier des réunions</t>
  </si>
  <si>
    <t>Comité désigné et première réunion tenue</t>
  </si>
  <si>
    <t>100 %</t>
  </si>
  <si>
    <t>Disponibilité des responsables</t>
  </si>
  <si>
    <t>Direction</t>
  </si>
  <si>
    <t>À lancer</t>
  </si>
  <si>
    <t>Valider la matrice RACI pour commande, validation scientifique, publication, correction et retrait.</t>
  </si>
  <si>
    <t>Rédaction en chef</t>
  </si>
  <si>
    <t>Matrice RACI approuvée</t>
  </si>
  <si>
    <t>Aucune étape critique sans responsable</t>
  </si>
  <si>
    <t>Action 1</t>
  </si>
  <si>
    <t>Comité éditorial</t>
  </si>
  <si>
    <t>J0–J30</t>
  </si>
  <si>
    <t>CMS / métadonnées</t>
  </si>
  <si>
    <t>Rendre obligatoires pays ou région, langue réelle, auteur normalisé, catégorie, sources, crédit image, méta-titre et méta-description.</t>
  </si>
  <si>
    <t>Webmaster / CMS</t>
  </si>
  <si>
    <t>Formulaire CMS révisé avec contrôles bloquants</t>
  </si>
  <si>
    <t>Nouveaux articles complets sur les champs obligatoires</t>
  </si>
  <si>
    <t>Accès technique au CMS</t>
  </si>
  <si>
    <t>J0–J15</t>
  </si>
  <si>
    <t>Auteurs</t>
  </si>
  <si>
    <t>Nettoyer les signatures, créer une fiche normalisée par auteur et éviter les doublons d’espacement ou d’orthographe.</t>
  </si>
  <si>
    <t>Webmaster + Rédaction</t>
  </si>
  <si>
    <t>Référentiel unique des auteurs</t>
  </si>
  <si>
    <t>5 auteurs actuels correctement normalisés</t>
  </si>
  <si>
    <t>Liste des comptes CMS</t>
  </si>
  <si>
    <t>Audience</t>
  </si>
  <si>
    <t>Auditer puis installer ou fiabiliser GA4 ou Matomo, Search Console et les événements de conversion.</t>
  </si>
  <si>
    <t>Responsable analytics / Webmaster</t>
  </si>
  <si>
    <t>Plan de marquage et tableau de contrôle</t>
  </si>
  <si>
    <t>Visiteurs, sessions, engagement et conversions mesurables</t>
  </si>
  <si>
    <t>Suivi actif</t>
  </si>
  <si>
    <t>Accès domaine et consentement cookies</t>
  </si>
  <si>
    <t>Distribution</t>
  </si>
  <si>
    <t>Adopter une convention UTM unique pour Facebook, X, WhatsApp, newsletter et partenaires.</t>
  </si>
  <si>
    <t>Audience / Réseaux sociaux</t>
  </si>
  <si>
    <t>Guide UTM et générateur de liens</t>
  </si>
  <si>
    <t>Liens sociaux conformes</t>
  </si>
  <si>
    <t>≥ 80 %</t>
  </si>
  <si>
    <t>Action 5</t>
  </si>
  <si>
    <t>Qualité</t>
  </si>
  <si>
    <t>Instaurer une check-list prépublication et une double validation pour les contenus sanitaires, scientifiques ou sensibles.</t>
  </si>
  <si>
    <t>Rédaction en chef + Référent scientifique</t>
  </si>
  <si>
    <t>Check-list, journal de validation et règles d’escalade</t>
  </si>
  <si>
    <t>Contenus sensibles validés avant publication</t>
  </si>
  <si>
    <t>Disponibilité du référent</t>
  </si>
  <si>
    <t>Couverture UA</t>
  </si>
  <si>
    <t>Commander et publier un premier article pour la Libye, la RASD/Sahara occidental, Sao Tomé-et-Principe et l’Érythrée.</t>
  </si>
  <si>
    <t>Coordination éditoriale</t>
  </si>
  <si>
    <t>Quatre articles nationaux vérifiés</t>
  </si>
  <si>
    <t>Pays UA couverts</t>
  </si>
  <si>
    <t>55/55</t>
  </si>
  <si>
    <t>Accès à des sources fiables</t>
  </si>
  <si>
    <t>Multilingue</t>
  </si>
  <si>
    <t>Corriger le paramétrage de langue d’origine et traiter les 385 incohérences FR/EN identifiées.</t>
  </si>
  <si>
    <t>Webmaster + Édition linguistique</t>
  </si>
  <si>
    <t>Métadonnées linguistiques corrigées</t>
  </si>
  <si>
    <t>Incohérences restantes</t>
  </si>
  <si>
    <t>0</t>
  </si>
  <si>
    <t>Action 3</t>
  </si>
  <si>
    <t>Éthique / corrections</t>
  </si>
  <si>
    <t>Publier une politique de correction, mise à jour, droit de réponse, conflits d’intérêts et contenus sponsorisés.</t>
  </si>
  <si>
    <t>Politique publique et procédure interne</t>
  </si>
  <si>
    <t>Corrections tracées avec date et motif</t>
  </si>
  <si>
    <t>Validation juridique si nécessaire</t>
  </si>
  <si>
    <t>J31–J90</t>
  </si>
  <si>
    <t>Archives</t>
  </si>
  <si>
    <t>Corriger en priorité les métadonnées des 200 articles les plus vus et des contenus sanitaires à fort risque.</t>
  </si>
  <si>
    <t>P1</t>
  </si>
  <si>
    <t>Équipe CMS / Éditeurs</t>
  </si>
  <si>
    <t>Lot de 200 articles remis à niveau</t>
  </si>
  <si>
    <t>Articles prioritaires complétés</t>
  </si>
  <si>
    <t>200</t>
  </si>
  <si>
    <t>Actions 3 et 7</t>
  </si>
  <si>
    <t>Réseau</t>
  </si>
  <si>
    <t>Recruter ou formaliser au moins cinq correspondants régionaux et clarifier rémunération, commande et validation.</t>
  </si>
  <si>
    <t>Direction / Coordination Afrique</t>
  </si>
  <si>
    <t>Fiches de mission et vivier de correspondants</t>
  </si>
  <si>
    <t>Régions UA avec point focal actif</t>
  </si>
  <si>
    <t>5/5</t>
  </si>
  <si>
    <t>Budget et contrats</t>
  </si>
  <si>
    <t>Tenir un entretien éditorial avec chaque auteur, confirmer la disponibilité et fixer un portefeuille de rubriques.</t>
  </si>
  <si>
    <t>Plan individuel pour chaque auteur</t>
  </si>
  <si>
    <t>Auteurs avec objectifs validés</t>
  </si>
  <si>
    <t>Disponibilités individuelles</t>
  </si>
  <si>
    <t>Programmation</t>
  </si>
  <si>
    <t>Appliquer une grille de formats et de rubriques avec quotas indicatifs, sans sacrifier l’actualité.</t>
  </si>
  <si>
    <t>Conférence de rédaction</t>
  </si>
  <si>
    <t>Calendrier éditorial mensuel</t>
  </si>
  <si>
    <t>Part des actualités transversales</t>
  </si>
  <si>
    <t>≤ 25 %</t>
  </si>
  <si>
    <t>Feuille Rubriques éditoriales</t>
  </si>
  <si>
    <t>Produire pour chaque article un pack Facebook, X, WhatsApp et SEO avec appel à l’action mesurable.</t>
  </si>
  <si>
    <t>Réseaux sociaux + Auteur</t>
  </si>
  <si>
    <t>Modèles de diffusion et contrôle UTM</t>
  </si>
  <si>
    <t>Articles accompagnés du pack complet</t>
  </si>
  <si>
    <t>Actions 5 et 6</t>
  </si>
  <si>
    <t>Pilotage</t>
  </si>
  <si>
    <t>Mettre en place une revue mensuelle pays, thèmes, auteurs, audience, qualité, corrections et conversions.</t>
  </si>
  <si>
    <t>Responsable analytics</t>
  </si>
  <si>
    <t>Tableau mensuel et compte rendu</t>
  </si>
  <si>
    <t>Revue tenue avant le 7 du mois suivant</t>
  </si>
  <si>
    <t>Actions 3 et 5</t>
  </si>
  <si>
    <t>Fidélisation</t>
  </si>
  <si>
    <t>Définir les conversions prioritaires : newsletter, canal WhatsApp, téléchargements, inscription et contact expert.</t>
  </si>
  <si>
    <t>Audience / Produit</t>
  </si>
  <si>
    <t>Parcours de conversion et événements analytics</t>
  </si>
  <si>
    <t>Taux de conversion de référence établi</t>
  </si>
  <si>
    <t>Baseline</t>
  </si>
  <si>
    <t>Expertise</t>
  </si>
  <si>
    <t>Créer un réseau de relecteurs vétérinaires, scientifiques, juridiques et régionaux avec règles de délai.</t>
  </si>
  <si>
    <t>Répertoire et protocole de sollicitation</t>
  </si>
  <si>
    <t>Domaines sensibles couverts</t>
  </si>
  <si>
    <t>≥ 8 experts</t>
  </si>
  <si>
    <t>Partenariats et disponibilité</t>
  </si>
  <si>
    <t>M4–M6</t>
  </si>
  <si>
    <t>Lancer la série “55 pays, 55 regards” avec un rythme régulier et des sources locales.</t>
  </si>
  <si>
    <t>P2</t>
  </si>
  <si>
    <t>Coordination Afrique</t>
  </si>
  <si>
    <t>Au moins 18 nouveaux portraits ou dossiers pays</t>
  </si>
  <si>
    <t>Pays publiés dans la série</t>
  </si>
  <si>
    <t>≥ 18</t>
  </si>
  <si>
    <t>Réseau de correspondants</t>
  </si>
  <si>
    <t>Thématiques</t>
  </si>
  <si>
    <t>Renforcer faune/conservation, profession vétérinaire, recherche et opportunités, encore sous-représentées.</t>
  </si>
  <si>
    <t>Plan thématique trimestriel</t>
  </si>
  <si>
    <t>Part combinée des trois axes</t>
  </si>
  <si>
    <t>≥ 25 %</t>
  </si>
  <si>
    <t>Rubriques et experts</t>
  </si>
  <si>
    <t>Tester titres, horaires, formats, visuels et canaux sur des cohortes comparables à J+7 et J+30.</t>
  </si>
  <si>
    <t>Audience / Analytics</t>
  </si>
  <si>
    <t>Registre des tests et décisions</t>
  </si>
  <si>
    <t>Gain de vues/article à J+30</t>
  </si>
  <si>
    <t>≥ 20 %</t>
  </si>
  <si>
    <t>Mesure analytics fiable</t>
  </si>
  <si>
    <t>Porter à 60 % la complétude du corpus sur les champs structurants et documenter les exceptions.</t>
  </si>
  <si>
    <t>Corpus partiellement assaini</t>
  </si>
  <si>
    <t>Complétude moyenne</t>
  </si>
  <si>
    <t>≥ 70/100</t>
  </si>
  <si>
    <t>Capacité de traitement</t>
  </si>
  <si>
    <t>M7–M12</t>
  </si>
  <si>
    <t>Archives / qualité</t>
  </si>
  <si>
    <t>Achever la remise à niveau du corpus, automatiser les contrôles et auditer un échantillon chaque trimestre.</t>
  </si>
  <si>
    <t>P3</t>
  </si>
  <si>
    <t>Webmaster + Qualité</t>
  </si>
  <si>
    <t>Corpus assaini et rapport d’audit</t>
  </si>
  <si>
    <t>Champs obligatoires complets</t>
  </si>
  <si>
    <t>≥ 95 %</t>
  </si>
  <si>
    <t>Actions précédentes</t>
  </si>
  <si>
    <t>Impact / pérennité</t>
  </si>
  <si>
    <t>Publier un rapport annuel d’impact éditorial et arrêter le plan de ressources, partenariats et revenus de l’année suivante.</t>
  </si>
  <si>
    <t>Direction + Rédaction</t>
  </si>
  <si>
    <t>Rapport annuel et plan 2027–2028</t>
  </si>
  <si>
    <t>Décisions documentées et budget validé</t>
  </si>
  <si>
    <t>1 rapport</t>
  </si>
  <si>
    <t>Données annuelles complètes</t>
  </si>
  <si>
    <t>AfricaVET — calendrier opérationnel des 90 premiers jours</t>
  </si>
  <si>
    <t>Séquençage hebdomadaire du 26 août au 30 novembre 2026 | Chaque semaine se termine par une preuve vérifiable</t>
  </si>
  <si>
    <t>Semaine</t>
  </si>
  <si>
    <t>Fin</t>
  </si>
  <si>
    <t>Objectif principal</t>
  </si>
  <si>
    <t>Actions essentielles</t>
  </si>
  <si>
    <t>Livrable</t>
  </si>
  <si>
    <t>Preuve / KPI</t>
  </si>
  <si>
    <t>Point de revue</t>
  </si>
  <si>
    <t>S0</t>
  </si>
  <si>
    <t>Lancer la gouvernance</t>
  </si>
  <si>
    <t>Désigner le comité éditorial; valider le principe du RACI; geler les règles de nommage des auteurs.</t>
  </si>
  <si>
    <t>Note de lancement</t>
  </si>
  <si>
    <t>Comité nommé; réunion programmée</t>
  </si>
  <si>
    <t>30 août</t>
  </si>
  <si>
    <t>S1</t>
  </si>
  <si>
    <t>Sécuriser la publication</t>
  </si>
  <si>
    <t>Adopter check-list, double validation, politique de correction provisoire et référentiel auteurs.</t>
  </si>
  <si>
    <t>Pack qualité v1</t>
  </si>
  <si>
    <t>100 % des nouveaux contenus utilisent la check-list</t>
  </si>
  <si>
    <t>6 septembre</t>
  </si>
  <si>
    <t>S2</t>
  </si>
  <si>
    <t>Normaliser diffusion et analytics</t>
  </si>
  <si>
    <t>Finaliser UTM; auditer GA4/Matomo; définir conversions et tableau de bord minimum.</t>
  </si>
  <si>
    <t>Audience / Webmaster</t>
  </si>
  <si>
    <t>Plan de marquage</t>
  </si>
  <si>
    <t>UTM actifs; anomalies analytics documentées</t>
  </si>
  <si>
    <t>13 septembre</t>
  </si>
  <si>
    <t>S3</t>
  </si>
  <si>
    <t>Corriger le CMS</t>
  </si>
  <si>
    <t>Activer les champs obligatoires; tester langue, pays/région, sources, crédit image et SEO.</t>
  </si>
  <si>
    <t>CMS v1</t>
  </si>
  <si>
    <t>Publication bloquée si champ critique absent</t>
  </si>
  <si>
    <t>20 septembre</t>
  </si>
  <si>
    <t>S4</t>
  </si>
  <si>
    <t>Répartir les responsabilités</t>
  </si>
  <si>
    <t>Entretiens auteurs; validation des portefeuilles; confirmation des auteurs inactifs et besoins de recrutement.</t>
  </si>
  <si>
    <t>Plans individuels</t>
  </si>
  <si>
    <t>5 décisions de positionnement documentées</t>
  </si>
  <si>
    <t>27 septembre</t>
  </si>
  <si>
    <t>S5</t>
  </si>
  <si>
    <t>Fermer les lacunes géographiques</t>
  </si>
  <si>
    <t>Publier ou sécuriser les quatre sujets des pays sans couverture; lancer “55 pays, 55 regards”.</t>
  </si>
  <si>
    <t>4 articles / commandes</t>
  </si>
  <si>
    <t>55 pays couverts ou commandes fermes</t>
  </si>
  <si>
    <t>4 octobre</t>
  </si>
  <si>
    <t>S6</t>
  </si>
  <si>
    <t>Installer la programmation</t>
  </si>
  <si>
    <t>Appliquer la grille de rubriques; lancer conférence hebdomadaire et calendrier à quatre semaines.</t>
  </si>
  <si>
    <t>Calendrier octobre</t>
  </si>
  <si>
    <t>100 % des commandes affectées à une rubrique</t>
  </si>
  <si>
    <t>11 octobre</t>
  </si>
  <si>
    <t>S7</t>
  </si>
  <si>
    <t>Améliorer la distribution</t>
  </si>
  <si>
    <t>Généraliser packs RS/SEO, CTA, UTM et calendrier Facebook/X/WhatsApp.</t>
  </si>
  <si>
    <t>Pack distribution v1</t>
  </si>
  <si>
    <t>≥ 80 % des liens balisés</t>
  </si>
  <si>
    <t>18 octobre</t>
  </si>
  <si>
    <t>S8</t>
  </si>
  <si>
    <t>Commencer l’assainissement</t>
  </si>
  <si>
    <t>Traiter les 50 articles les plus vus : sources, SEO, image, pays, langue et mise à jour.</t>
  </si>
  <si>
    <t>Éditeurs / CMS</t>
  </si>
  <si>
    <t>Lot 1 corrigé</t>
  </si>
  <si>
    <t>50 articles remis à niveau</t>
  </si>
  <si>
    <t>25 octobre</t>
  </si>
  <si>
    <t>S9</t>
  </si>
  <si>
    <t>Renforcer le réseau</t>
  </si>
  <si>
    <t>Sélectionner correspondants et relecteurs; valider conditions de collaboration et délais.</t>
  </si>
  <si>
    <t>Vivier validé</t>
  </si>
  <si>
    <t>5 correspondants et 8 experts identifiés</t>
  </si>
  <si>
    <t>1er novembre</t>
  </si>
  <si>
    <t>S10</t>
  </si>
  <si>
    <t>Mesurer le premier cycle</t>
  </si>
  <si>
    <t>Produire le premier tableau mensuel : pays, thèmes, auteurs, qualité, audience et conversions.</t>
  </si>
  <si>
    <t>Analytics / Rédaction</t>
  </si>
  <si>
    <t>Dashboard octobre</t>
  </si>
  <si>
    <t>Revue tenue avant le 8 novembre</t>
  </si>
  <si>
    <t>8 novembre</t>
  </si>
  <si>
    <t>S11</t>
  </si>
  <si>
    <t>Optimiser les formats</t>
  </si>
  <si>
    <t>Comparer deux cohortes de titres, horaires et canaux; formaliser les premières décisions.</t>
  </si>
  <si>
    <t>Audience / Édition</t>
  </si>
  <si>
    <t>Note de test n°1</t>
  </si>
  <si>
    <t>Résultats J+7 documentés</t>
  </si>
  <si>
    <t>15 novembre</t>
  </si>
  <si>
    <t>S12</t>
  </si>
  <si>
    <t>Accélérer les corrections</t>
  </si>
  <si>
    <t>Porter le lot corrigé à 150 articles et vérifier la conformité des contenus sanitaires récents.</t>
  </si>
  <si>
    <t>Qualité / CMS</t>
  </si>
  <si>
    <t>Lot 2 corrigé</t>
  </si>
  <si>
    <t>150 articles cumulés remis à niveau</t>
  </si>
  <si>
    <t>22 novembre</t>
  </si>
  <si>
    <t>S13</t>
  </si>
  <si>
    <t>Clore les 90 jours</t>
  </si>
  <si>
    <t>Atteindre 200 articles corrigés; réaliser la revue stratégique; approuver le plan des mois 4 à 6.</t>
  </si>
  <si>
    <t>Rapport J+90</t>
  </si>
  <si>
    <t>KPI, écarts, décisions et budget documentés</t>
  </si>
  <si>
    <t>30 novembre</t>
  </si>
  <si>
    <t>Règle de pilotage</t>
  </si>
  <si>
    <t>Chaque fin de semaine, le responsable met à jour le statut, joint une preuve et indique tout blocage. Les sujets P0 non terminés à l’échéance sont automatiquement inscrits à l’ordre du jour du comité éditorial. La revue J+30 vérifie les fondations; la revue J+60 mesure l’adoption; la revue J+90 décide du passage à l’échelle.</t>
  </si>
  <si>
    <t>AfricaVET — recommandations détaillées par auteur</t>
  </si>
  <si>
    <t>Les objectifs individuels doivent être confirmés en entretien et contextualisés par disponibilité, commande, ancienneté et format</t>
  </si>
  <si>
    <t>90 derniers jours</t>
  </si>
  <si>
    <t>Impact moyen</t>
  </si>
  <si>
    <t>Rôle éditorial proposé</t>
  </si>
  <si>
    <t>Forces observées</t>
  </si>
  <si>
    <t>Risques / écarts</t>
  </si>
  <si>
    <t>Rubriques prioritaires</t>
  </si>
  <si>
    <t>Actions J+30</t>
  </si>
  <si>
    <t>Objectif J+90</t>
  </si>
  <si>
    <t>Objectif à 6 mois</t>
  </si>
  <si>
    <t>Appui nécessaire</t>
  </si>
  <si>
    <t>KPI individuel</t>
  </si>
  <si>
    <t>Disponibilité</t>
  </si>
  <si>
    <t>Lead de production, mentor et garant de la continuité</t>
  </si>
  <si>
    <t>Volume exceptionnel; couverture de 49 pays; maîtrise de nombreux sujets; forte réactivité</t>
  </si>
  <si>
    <t>Dépendance de la rédaction; risque de surcharge; signatures trop concentrées; contrôle qualité difficile à ce volume</t>
  </si>
  <si>
    <t>Alertes majeures; analyses continentales; dossiers stratégiques; mentorat</t>
  </si>
  <si>
    <t>Réduire les tâches mécaniques; déléguer 20 % des brèves; valider deux modèles de dossier; documenter les méthodes</t>
  </si>
  <si>
    <t>Mentorer deux auteurs/correspondants; faire passer chaque article par la check-list; limiter les réécritures après publication</t>
  </si>
  <si>
    <t>Ramener sa part sous 68 % sans réduire la qualité; piloter un dossier majeur/mois; conduire la revue mensuelle</t>
  </si>
  <si>
    <t>Appui édition/SEO, desk de fact-checking et correspondants régionaux</t>
  </si>
  <si>
    <t>Complétude ≥ 70; corrections &lt; 5 %; 2 auteurs mentorés; impact moyen maintenu</t>
  </si>
  <si>
    <t>Actif — à confirmer formellement</t>
  </si>
  <si>
    <t>Mac Juliette Johngwe</t>
  </si>
  <si>
    <t>Référence proposée pour analyses et formats à fort impact</t>
  </si>
  <si>
    <t>Meilleure moyenne de vues et meilleur impact moyen; activité récente élevée; potentiel bilingue</t>
  </si>
  <si>
    <t>Portefeuille thématique à clarifier; besoin de consolider sources, SEO et traçabilité</t>
  </si>
  <si>
    <t>Analyses; innovations; élevage durable; data stories; entretiens experts</t>
  </si>
  <si>
    <t>Définir trois séries récurrentes; sécuriser un réseau de cinq experts; standardiser les sources et jeux de données</t>
  </si>
  <si>
    <t>Publier 8 à 12 contenus à forte valeur; au moins deux data stories ou analyses longues; former un pair</t>
  </si>
  <si>
    <t>Tenir un rendez-vous analytique bimensuel; impact moyen ≥ 65; complétude ≥ 75</t>
  </si>
  <si>
    <t>Accès aux données, accompagnement visualisation et relecture scientifique</t>
  </si>
  <si>
    <t>Impact moyen ≥ 65; 30 % de formats longs; 100 % sources tracées</t>
  </si>
  <si>
    <t>Active — à confirmer formellement</t>
  </si>
  <si>
    <t>Flora J. Ingah</t>
  </si>
  <si>
    <t>Axe anglophone et suivi institutionnel, sous réserve de réactivation</t>
  </si>
  <si>
    <t>Corpus solide; part anglaise importante; bonne médiane de vues; expérience des sujets institutionnels</t>
  </si>
  <si>
    <t>Aucune publication récente sur 90 jours; rôle et disponibilité non confirmés</t>
  </si>
  <si>
    <t>Actualités anglophones; politiques sanitaires; institutions; entretiens</t>
  </si>
  <si>
    <t>Entretien de réactivation; choisir deux rubriques; actualiser la fiche auteur et les accès</t>
  </si>
  <si>
    <t>Si réactivée : 4 à 6 articles, dont deux interviews ou analyses anglophones; 100 % métadonnées</t>
  </si>
  <si>
    <t>Si active : 2 à 4 articles/mois; contribuer à la qualité linguistique EN</t>
  </si>
  <si>
    <t>Briefs réguliers, planning réaliste, soutien SEO et accès aux interlocuteurs</t>
  </si>
  <si>
    <t>Reprise effective; 100 % champs EN corrects; vues/article ≥ médiane</t>
  </si>
  <si>
    <t>À confirmer avant fixation des quotas</t>
  </si>
  <si>
    <t>Simon Yaya</t>
  </si>
  <si>
    <t>Couverture pays et décryptages nationaux, sous réserve de réactivation</t>
  </si>
  <si>
    <t>Bonne médiane; capacité à traiter l’économie de l’élevage et les enjeux pays</t>
  </si>
  <si>
    <t>Aucune activité récente sur 90 jours; spécialisation et zone de couverture à préciser</t>
  </si>
  <si>
    <t>Dossiers pays; économie et marchés; élevage; voix des acteurs</t>
  </si>
  <si>
    <t>Entretien; confirmer pays/régions accessibles; proposer une série de trois sujets liés</t>
  </si>
  <si>
    <t>Si réactivé : 3 à 5 articles nationaux avec au moins trois voix locales par reportage</t>
  </si>
  <si>
    <t>Si actif : deux dossiers pays/mois; contribuer à “55 pays, 55 regards”</t>
  </si>
  <si>
    <t>Réseau de sources locales, budget reportage et accompagnement données</t>
  </si>
  <si>
    <t>Nombre de pays couverts; diversité des sources; impact moyen ≥ 55</t>
  </si>
  <si>
    <t>Absan Bibou</t>
  </si>
  <si>
    <t>Réactivation ciblée ou statut d’archive à décider</t>
  </si>
  <si>
    <t>Expérience historique sur One Health et santé publique</t>
  </si>
  <si>
    <t>Faible volume; aucune activité récente; données anciennes insuffisantes pour fixer une cible performante</t>
  </si>
  <si>
    <t>One Health; archives; mémoire institutionnelle; fact-check historique</t>
  </si>
  <si>
    <t>Vérifier disponibilité et intérêt; décider réactivation, contributeur ponctuel ou compte archivé</t>
  </si>
  <si>
    <t>Si réactivé : un article pilote accompagné et une évaluation éditoriale</t>
  </si>
  <si>
    <t>Si concluant : un contenu spécialisé/mois; sinon maintien comme archive sans quota</t>
  </si>
  <si>
    <t>Mentorat, brief très cadré et relecture rapprochée</t>
  </si>
  <si>
    <t>Décision de statut; qualité du pilote; respect de la check-list</t>
  </si>
  <si>
    <t>À décider dans les 30 jours</t>
  </si>
  <si>
    <t>Recommandations transversales pour l’équipe</t>
  </si>
  <si>
    <t>1. Aucun quota individuel ne doit être confirmé sans entretien sur la disponibilité, le statut contractuel et les zones de compétence.
2. Séparer les objectifs de volume, qualité, impact, diversité des sources et couverture géographique.
3. Mettre en place un binôme auteur–éditeur pour chaque sujet complexe et un référent scientifique pour les contenus sanitaires sensibles.
4. Organiser une séance mensuelle de retour d’expérience à partir de deux articles réussis et de deux articles à améliorer.
5. Protéger le temps des auteurs à fort volume en confiant la mise en forme, le SEO, l’intégration CMS et la diffusion à des fonctions dédiées.
6. Recruter progressivement des correspondants afin de réduire la concentration sans fragiliser la cadence de publication.</t>
  </si>
  <si>
    <t>AfricaVET — stratégie des rubriques et formats journalistiques</t>
  </si>
  <si>
    <t>Mix éditorial recommandé, exigences minimales, fréquence et indicateurs de succès</t>
  </si>
  <si>
    <t>Formats structurés</t>
  </si>
  <si>
    <t>Mix éditorial total</t>
  </si>
  <si>
    <t>Piliers thématiques</t>
  </si>
  <si>
    <t>Série panafricaine</t>
  </si>
  <si>
    <t>Format / rubrique</t>
  </si>
  <si>
    <t>Objectif journalistique</t>
  </si>
  <si>
    <t>Part cible</t>
  </si>
  <si>
    <t>Fréquence indicative</t>
  </si>
  <si>
    <t>Longueur</t>
  </si>
  <si>
    <t>Sources minimales</t>
  </si>
  <si>
    <t>Éléments obligatoires</t>
  </si>
  <si>
    <t>Niveau de validation</t>
  </si>
  <si>
    <t>Canaux prioritaires</t>
  </si>
  <si>
    <t>KPI principal</t>
  </si>
  <si>
    <t>Alerte sanitaire / Breaking news</t>
  </si>
  <si>
    <t>Informer vite sans spéculation et préciser ce qui est confirmé, probable ou inconnu</t>
  </si>
  <si>
    <t>Selon l’actualité</t>
  </si>
  <si>
    <t>300–500 mots</t>
  </si>
  <si>
    <t>2, dont 1 primaire</t>
  </si>
  <si>
    <t>Date/lieu; situation; source officielle; risques; prochaines étapes; mention de mise à jour</t>
  </si>
  <si>
    <t>Niveau 2 ou 3</t>
  </si>
  <si>
    <t>Site; WhatsApp; X; Facebook</t>
  </si>
  <si>
    <t>Délai de publication; corrections; vues à J+1</t>
  </si>
  <si>
    <t>Actualité nationale</t>
  </si>
  <si>
    <t>Rendre compte d’une décision, campagne, événement ou évolution pays</t>
  </si>
  <si>
    <t>Quotidienne</t>
  </si>
  <si>
    <t>500–800 mots</t>
  </si>
  <si>
    <t>2 indépendantes</t>
  </si>
  <si>
    <t>Angle pays; chiffres; citation; contexte; impact pour les acteurs; lien primaire</t>
  </si>
  <si>
    <t>Niveau 1 ou 2</t>
  </si>
  <si>
    <t>Site; Facebook; WhatsApp</t>
  </si>
  <si>
    <t>Couverture pays; vues à J+7</t>
  </si>
  <si>
    <t>Analyse / décryptage</t>
  </si>
  <si>
    <t>Expliquer causes, conséquences, limites et options de politique publique</t>
  </si>
  <si>
    <t>2 à 3/semaine</t>
  </si>
  <si>
    <t>900–1 500 mots</t>
  </si>
  <si>
    <t>3</t>
  </si>
  <si>
    <t>Problème; données; voix contradictoires; limites; scénarios; conclusion utile</t>
  </si>
  <si>
    <t>Niveau 2</t>
  </si>
  <si>
    <t>Site; newsletter; LinkedIn</t>
  </si>
  <si>
    <t>Temps d’engagement; citations externes</t>
  </si>
  <si>
    <t>Reportage terrain</t>
  </si>
  <si>
    <t>Faire entendre les acteurs et documenter les réalités opérationnelles</t>
  </si>
  <si>
    <t>1 à 2/semaine</t>
  </si>
  <si>
    <t>800–1 200 mots</t>
  </si>
  <si>
    <t>3 voix locales</t>
  </si>
  <si>
    <t>Observation; contexte; citations; photos créditées; données locales; limites</t>
  </si>
  <si>
    <t>Site; Facebook; WhatsApp; vidéo</t>
  </si>
  <si>
    <t>Diversité des voix; portée locale</t>
  </si>
  <si>
    <t>Entretien / Q&amp;A</t>
  </si>
  <si>
    <t>Apporter expertise, responsabilité institutionnelle ou témoignage direct</t>
  </si>
  <si>
    <t>700–1 200 mots</t>
  </si>
  <si>
    <t>1 invité + vérifications</t>
  </si>
  <si>
    <t>Présentation; questions structurées; citations validées; conflits d’intérêts; liens utiles</t>
  </si>
  <si>
    <t>Site; newsletter; réseaux</t>
  </si>
  <si>
    <t>Taux de lecture; reprises</t>
  </si>
  <si>
    <t>Guide pratique / fiche technique</t>
  </si>
  <si>
    <t>Répondre à un besoin concret des vétérinaires, éleveurs ou décideurs</t>
  </si>
  <si>
    <t>900–1 600 mots</t>
  </si>
  <si>
    <t>3, dont normes</t>
  </si>
  <si>
    <t>Public cible; étapes; erreurs à éviter; quand consulter; sources; avertissement sanitaire</t>
  </si>
  <si>
    <t>Niveau 3</t>
  </si>
  <si>
    <t>Site; WhatsApp; téléchargement</t>
  </si>
  <si>
    <t>Téléchargements; recherche organique</t>
  </si>
  <si>
    <t>Data story / cartographie</t>
  </si>
  <si>
    <t>Transformer données et cartes en information accessible et vérifiable</t>
  </si>
  <si>
    <t>2/mois</t>
  </si>
  <si>
    <t>800–1 400 mots</t>
  </si>
  <si>
    <t>Jeu de données + méthode</t>
  </si>
  <si>
    <t>Source; période; définitions; méthode; graphique; limites; fichier téléchargeable</t>
  </si>
  <si>
    <t>Backlinks; téléchargements; temps</t>
  </si>
  <si>
    <t>Dossier thématique</t>
  </si>
  <si>
    <t>Réunir plusieurs angles et formats sur une priorité panafricaine</t>
  </si>
  <si>
    <t>1/mois</t>
  </si>
  <si>
    <t>1 500–2 500 mots</t>
  </si>
  <si>
    <t>5</t>
  </si>
  <si>
    <t>Chronologie; données; pays; experts; solutions; bibliographie; mises à jour</t>
  </si>
  <si>
    <t>Site; newsletter; partenaires</t>
  </si>
  <si>
    <t>Durée de vie; abonnements; citations</t>
  </si>
  <si>
    <t>Opportunités / appels</t>
  </si>
  <si>
    <t>Diffuser rapidement une information vérifiée et directement exploitable</t>
  </si>
  <si>
    <t>Selon disponibilité</t>
  </si>
  <si>
    <t>300–600 mots</t>
  </si>
  <si>
    <t>1 source primaire</t>
  </si>
  <si>
    <t>Éligibilité; montant; dates; procédure; contacts; lien officiel; alerte anti-fraude</t>
  </si>
  <si>
    <t>Niveau 1</t>
  </si>
  <si>
    <t>Site; WhatsApp; Facebook</t>
  </si>
  <si>
    <t>Clics sortants; conversions</t>
  </si>
  <si>
    <t>Fact-check / correction</t>
  </si>
  <si>
    <t>Corriger une information virale ou documenter une erreur importante</t>
  </si>
  <si>
    <t>Selon besoin</t>
  </si>
  <si>
    <t>500–1 000 mots</t>
  </si>
  <si>
    <t>3, priorité aux sources primaires</t>
  </si>
  <si>
    <t>Affirmation; verdict; preuves; méthode; correction; date; transparence</t>
  </si>
  <si>
    <t>Niveau 3 ou 4</t>
  </si>
  <si>
    <t>Site; X; Facebook; WhatsApp</t>
  </si>
  <si>
    <t>Délai de correction; reprises fiables</t>
  </si>
  <si>
    <t>Rééquilibrage des piliers thématiques</t>
  </si>
  <si>
    <t>Pilier</t>
  </si>
  <si>
    <t>Articles actuels</t>
  </si>
  <si>
    <t>Part actuelle</t>
  </si>
  <si>
    <t>Cible 6 mois</t>
  </si>
  <si>
    <t>Cible 12 mois</t>
  </si>
  <si>
    <t>Rythme minimum</t>
  </si>
  <si>
    <t>Angle à renforcer</t>
  </si>
  <si>
    <t>Actualités et analyses transversales</t>
  </si>
  <si>
    <t>À plafonner</t>
  </si>
  <si>
    <t>Reclasser les sujets trop génériques vers un pilier précis</t>
  </si>
  <si>
    <t>One Health, zoonoses et santé publique</t>
  </si>
  <si>
    <t>3–4/mois</t>
  </si>
  <si>
    <t>Prévention, systèmes, communautés, économie de la santé</t>
  </si>
  <si>
    <t>Référent One Health</t>
  </si>
  <si>
    <t>Santé animale et maladies</t>
  </si>
  <si>
    <t>Surveillance, diagnostic, vaccination, biosécurité</t>
  </si>
  <si>
    <t>Référent scientifique</t>
  </si>
  <si>
    <t>Élevage et productions animales</t>
  </si>
  <si>
    <t>3/mois</t>
  </si>
  <si>
    <t>Productivité, bien-être, marchés, climat et pratiques</t>
  </si>
  <si>
    <t>Desk élevage</t>
  </si>
  <si>
    <t>Pêches et aquaculture</t>
  </si>
  <si>
    <t>2–3/mois</t>
  </si>
  <si>
    <t>Santé aquatique, chaînes de valeur, pêche artisanale</t>
  </si>
  <si>
    <t>Desk aquatique</t>
  </si>
  <si>
    <t>Profession et services vétérinaires</t>
  </si>
  <si>
    <t>Métiers, paraprofessionnels, réglementation, formation</t>
  </si>
  <si>
    <t>Desk profession</t>
  </si>
  <si>
    <t>Ressources, recherche et opportunités</t>
  </si>
  <si>
    <t>Appels, outils, science africaine, transfert de connaissances</t>
  </si>
  <si>
    <t>Desk ressources</t>
  </si>
  <si>
    <t>Faune et conservation</t>
  </si>
  <si>
    <t>Interfaces faune-bétail, coexistence, conservation et risques</t>
  </si>
  <si>
    <t>Correspondant faune</t>
  </si>
  <si>
    <t>Séries transversales recommandées</t>
  </si>
  <si>
    <t>Série</t>
  </si>
  <si>
    <t>Promesse</t>
  </si>
  <si>
    <t>Fréquence</t>
  </si>
  <si>
    <t>Format dominant</t>
  </si>
  <si>
    <t>Objectif 6 mois</t>
  </si>
  <si>
    <t>KPI</t>
  </si>
  <si>
    <t>55 pays, 55 regards</t>
  </si>
  <si>
    <t>Donner une place régulière à chaque État membre de l’UA</t>
  </si>
  <si>
    <t>1/semaine</t>
  </si>
  <si>
    <t>Reportage ou dossier pays</t>
  </si>
  <si>
    <t>18 pays publiés</t>
  </si>
  <si>
    <t>Pays couverts; sources locales</t>
  </si>
  <si>
    <t>Alerte santé animale</t>
  </si>
  <si>
    <t>Séparer faits confirmés, incertitudes et conseils opérationnels</t>
  </si>
  <si>
    <t>Alerte + mise à jour</t>
  </si>
  <si>
    <t>Protocole utilisé à 100 %</t>
  </si>
  <si>
    <t>Délai; corrections</t>
  </si>
  <si>
    <t>Métiers vétérinaires</t>
  </si>
  <si>
    <t>Valoriser vétérinaires, paraprofessionnels, laboratoires et services</t>
  </si>
  <si>
    <t>Portrait / entretien</t>
  </si>
  <si>
    <t>24 professionnels</t>
  </si>
  <si>
    <t>Diversité pays et genre</t>
  </si>
  <si>
    <t>Data AfricaVET</t>
  </si>
  <si>
    <t>Expliquer une tendance par les données</t>
  </si>
  <si>
    <t>Data story</t>
  </si>
  <si>
    <t>12 analyses</t>
  </si>
  <si>
    <t>Backlinks; téléchargements</t>
  </si>
  <si>
    <t>Voix du terrain</t>
  </si>
  <si>
    <t>Faire entendre éleveurs, pêcheurs, communautés et agents locaux</t>
  </si>
  <si>
    <t>Reportage</t>
  </si>
  <si>
    <t>24 sujets</t>
  </si>
  <si>
    <t>Nombre et diversité des voix</t>
  </si>
  <si>
    <t>Le point scientifique</t>
  </si>
  <si>
    <t>Traduire une publication ou norme en décision pratique</t>
  </si>
  <si>
    <t>Analyse / guide</t>
  </si>
  <si>
    <t>12 synthèses</t>
  </si>
  <si>
    <t>Temps de lecture; citations</t>
  </si>
  <si>
    <t>AfricaVET — standards journalistiques et workflow de publication</t>
  </si>
  <si>
    <t>Délais, responsabilités, preuves obligatoires, critères de blocage et protocole de correction</t>
  </si>
  <si>
    <t>Workflow éditorial standard</t>
  </si>
  <si>
    <t>Niveaux de validation</t>
  </si>
  <si>
    <t>Étape</t>
  </si>
  <si>
    <t>SLA indicatif</t>
  </si>
  <si>
    <t>Responsable (R)</t>
  </si>
  <si>
    <t>Approbateur (A)</t>
  </si>
  <si>
    <t>Consultés (C)</t>
  </si>
  <si>
    <t>Preuve obligatoire</t>
  </si>
  <si>
    <t>Critère Go / No-Go</t>
  </si>
  <si>
    <t>Action si échec</t>
  </si>
  <si>
    <t>Usage</t>
  </si>
  <si>
    <t>Validation minimale</t>
  </si>
  <si>
    <t>Délai cible</t>
  </si>
  <si>
    <t>Exemples</t>
  </si>
  <si>
    <t>1. Proposition / commande</t>
  </si>
  <si>
    <t>≤ 4 h actualité; 48 h dossier</t>
  </si>
  <si>
    <t>Auteur / Desk</t>
  </si>
  <si>
    <t>Coordination régionale</t>
  </si>
  <si>
    <t>Pitch avec angle, public, format et échéance</t>
  </si>
  <si>
    <t>Angle distinct et utile; absence de doublon</t>
  </si>
  <si>
    <t>Reformuler ou abandonner</t>
  </si>
  <si>
    <t>N1 — courant</t>
  </si>
  <si>
    <t>Information factuelle à faible risque</t>
  </si>
  <si>
    <t>Auteur + éditeur</t>
  </si>
  <si>
    <t>Même jour</t>
  </si>
  <si>
    <t>Opportunité; annonce; compte rendu</t>
  </si>
  <si>
    <t>2. Pré-vérification</t>
  </si>
  <si>
    <t>Avant rédaction</t>
  </si>
  <si>
    <t>Éditeur</t>
  </si>
  <si>
    <t>Liste initiale des sources et risques</t>
  </si>
  <si>
    <t>Au moins une source primaire accessible</t>
  </si>
  <si>
    <t>Suspendre et rechercher</t>
  </si>
  <si>
    <t>N2 — technique</t>
  </si>
  <si>
    <t>Sujet vétérinaire ou politique nécessitant contexte</t>
  </si>
  <si>
    <t>Auteur + éditeur + référent</t>
  </si>
  <si>
    <t>≤ 24 h</t>
  </si>
  <si>
    <t>Campagne; réglementation; analyse</t>
  </si>
  <si>
    <t>3. Collecte / entretiens</t>
  </si>
  <si>
    <t>Selon format</t>
  </si>
  <si>
    <t>Experts / acteurs locaux</t>
  </si>
  <si>
    <t>Notes, enregistrements autorisés, documents et données</t>
  </si>
  <si>
    <t>Sources identifiées; citations vérifiables</t>
  </si>
  <si>
    <t>Compléter le reportage</t>
  </si>
  <si>
    <t>N3 — sensible</t>
  </si>
  <si>
    <t>Alerte maladie, santé publique, médicament ou conseil</t>
  </si>
  <si>
    <t>Double vérification + direction</t>
  </si>
  <si>
    <t>Avant diffusion</t>
  </si>
  <si>
    <t>Foyer; zoonose; diagnostic; guide</t>
  </si>
  <si>
    <t>4. Rédaction</t>
  </si>
  <si>
    <t>2 h à 7 jours</t>
  </si>
  <si>
    <t>Référent thématique</t>
  </si>
  <si>
    <t>Version datée et liens sources</t>
  </si>
  <si>
    <t>Structure, angle, chiffres et contexte complets</t>
  </si>
  <si>
    <t>Retour auteur</t>
  </si>
  <si>
    <t>N4 — juridique / enquête</t>
  </si>
  <si>
    <t>Accusation, conflit, données personnelles ou investigation</t>
  </si>
  <si>
    <t>Direction + avis juridique</t>
  </si>
  <si>
    <t>Selon risque</t>
  </si>
  <si>
    <t>Fraude; responsabilité; droit de réponse</t>
  </si>
  <si>
    <t>5. Relecture scientifique</t>
  </si>
  <si>
    <t>≤ 4 h alerte; 24 h analyse</t>
  </si>
  <si>
    <t>Laboratoire / institution</t>
  </si>
  <si>
    <t>Avis tracé dans le CMS</t>
  </si>
  <si>
    <t>Aucune erreur sanitaire majeure; incertitudes explicites</t>
  </si>
  <si>
    <t>Bloquer publication</t>
  </si>
  <si>
    <t>6. Édition journalistique</t>
  </si>
  <si>
    <t>≤ 4 h</t>
  </si>
  <si>
    <t>Version révisée; titres et citations contrôlés</t>
  </si>
  <si>
    <t>Clarté, équilibre, attribution et conformité éthique</t>
  </si>
  <si>
    <t>Retour auteur / arbitrage</t>
  </si>
  <si>
    <t>7. SEO et intégration CMS</t>
  </si>
  <si>
    <t>≤ 1 h</t>
  </si>
  <si>
    <t>Webmaster / SEO</t>
  </si>
  <si>
    <t>Tous champs obligatoires et aperçu social</t>
  </si>
  <si>
    <t>Score de complétude prépublication ≥ 80/100</t>
  </si>
  <si>
    <t>Publication bloquée</t>
  </si>
  <si>
    <t>Protocole de correction</t>
  </si>
  <si>
    <t>8. Validation finale</t>
  </si>
  <si>
    <t>≤ 30 min</t>
  </si>
  <si>
    <t>Direction si sensible</t>
  </si>
  <si>
    <t>Juridique / partenaire</t>
  </si>
  <si>
    <t>Bon à publier horodaté</t>
  </si>
  <si>
    <t>Risque juridique et scientifique acceptable</t>
  </si>
  <si>
    <t>Escalade ou report</t>
  </si>
  <si>
    <t>1. Corriger immédiatement l’erreur factuelle sans effacer l’historique.
2. Ajouter une note datée précisant ce qui a changé et pourquoi.
3. Informer les canaux sociaux si l’erreur a été diffusée largement.
4. Alerter les personnes ou institutions directement concernées.
5. En cas d’erreur majeure, revoir la cause, le workflow et la formation nécessaire.</t>
  </si>
  <si>
    <t>9. Publication / diffusion</t>
  </si>
  <si>
    <t>Immédiat</t>
  </si>
  <si>
    <t>Webmaster + Réseaux sociaux</t>
  </si>
  <si>
    <t>URL, UTM, pack Facebook/X/WhatsApp</t>
  </si>
  <si>
    <t>Liens, visuels et appels à l’action fonctionnels</t>
  </si>
  <si>
    <t>Corriger avant diffusion</t>
  </si>
  <si>
    <t>10. Suivi / mise à jour</t>
  </si>
  <si>
    <t>J+1, J+7, J+30</t>
  </si>
  <si>
    <t>Audience + Auteur</t>
  </si>
  <si>
    <t>Vues, engagement, corrections et mises à jour</t>
  </si>
  <si>
    <t>Évolution importante intégrée; erreurs corrigées</t>
  </si>
  <si>
    <t>Ajouter note de mise à jour</t>
  </si>
  <si>
    <t>Check-list obligatoire avant publication</t>
  </si>
  <si>
    <t>Contrôle</t>
  </si>
  <si>
    <t>Pourquoi</t>
  </si>
  <si>
    <t>Preuve dans le CMS</t>
  </si>
  <si>
    <t>Bloquant</t>
  </si>
  <si>
    <t>Responsable</t>
  </si>
  <si>
    <t>Quand</t>
  </si>
  <si>
    <t>Angle et public cible explicites</t>
  </si>
  <si>
    <t>Éviter les contenus génériques</t>
  </si>
  <si>
    <t>Champ angle / brief</t>
  </si>
  <si>
    <t>Oui</t>
  </si>
  <si>
    <t>Commande</t>
  </si>
  <si>
    <t>Au moins deux sources; une primaire</t>
  </si>
  <si>
    <t>Réduire erreur et dépendance</t>
  </si>
  <si>
    <t>Liens et noms des sources</t>
  </si>
  <si>
    <t>Chiffres, dates et unités vérifiés</t>
  </si>
  <si>
    <t>Éviter erreurs factuelles</t>
  </si>
  <si>
    <t>Document ou jeu de données</t>
  </si>
  <si>
    <t>Auteur / Éditeur</t>
  </si>
  <si>
    <t>Relecture</t>
  </si>
  <si>
    <t>Citation attribuée et fidèle</t>
  </si>
  <si>
    <t>Protéger les personnes et la crédibilité</t>
  </si>
  <si>
    <t>Notes ou validation</t>
  </si>
  <si>
    <t>Pays, région et portée renseignés</t>
  </si>
  <si>
    <t>Permettre le pilotage des 55 pays</t>
  </si>
  <si>
    <t>Champs CMS</t>
  </si>
  <si>
    <t>Webmaster</t>
  </si>
  <si>
    <t>Intégration</t>
  </si>
  <si>
    <t>Langue d’origine réelle renseignée</t>
  </si>
  <si>
    <t>Fiabiliser la publication bilingue</t>
  </si>
  <si>
    <t>Champ langue</t>
  </si>
  <si>
    <t>Catégorie, macrothème et format corrects</t>
  </si>
  <si>
    <t>Éviter la rubrique générique</t>
  </si>
  <si>
    <t>Taxonomie CMS</t>
  </si>
  <si>
    <t>Image autorisée, créditée et légendée</t>
  </si>
  <si>
    <t>Respecter droits et traçabilité</t>
  </si>
  <si>
    <t>Crédit, source, légende</t>
  </si>
  <si>
    <t>Conflits d’intérêts et partenariat déclarés</t>
  </si>
  <si>
    <t>Préserver l’indépendance</t>
  </si>
  <si>
    <t>Mention publique si applicable</t>
  </si>
  <si>
    <t>Oui si applicable</t>
  </si>
  <si>
    <t>Validation</t>
  </si>
  <si>
    <t>Avertissement sanitaire présent</t>
  </si>
  <si>
    <t>Limiter les conseils dangereux</t>
  </si>
  <si>
    <t>Bloc disclaimer</t>
  </si>
  <si>
    <t>Méta-titre 50–60 caractères</t>
  </si>
  <si>
    <t>Améliorer affichage et recherche</t>
  </si>
  <si>
    <t>Champ SEO</t>
  </si>
  <si>
    <t>SEO</t>
  </si>
  <si>
    <t>Méta-description 140–160 caractères</t>
  </si>
  <si>
    <t>Clarifier la promesse de lecture</t>
  </si>
  <si>
    <t>URL courte et canonique vérifiée</t>
  </si>
  <si>
    <t>Éviter doublons et liens fragiles</t>
  </si>
  <si>
    <t>Slug / canonical</t>
  </si>
  <si>
    <t>Pack Facebook, X et WhatsApp prêt</t>
  </si>
  <si>
    <t>Coordonner la diffusion</t>
  </si>
  <si>
    <t>Textes + visuel + CTA</t>
  </si>
  <si>
    <t>Réseaux sociaux</t>
  </si>
  <si>
    <t>Avant publication</t>
  </si>
  <si>
    <t>Liens UTM et événements testés</t>
  </si>
  <si>
    <t>Mesurer l’acquisition et conversion</t>
  </si>
  <si>
    <t>URL testée</t>
  </si>
  <si>
    <t>Heure, auteur et validation tracés</t>
  </si>
  <si>
    <t>Assurer responsabilité et audit</t>
  </si>
  <si>
    <t>Journal CMS</t>
  </si>
  <si>
    <t>Publication</t>
  </si>
  <si>
    <t>AfricaVET — KPI, cibles et gouvernance éditoriale</t>
  </si>
  <si>
    <t>Valeurs de référence au 25 août 2026 | Les cellules jaunes “Réalisé actuel” sont à mettre à jour lors de chaque revue</t>
  </si>
  <si>
    <t>Part du premier auteur</t>
  </si>
  <si>
    <t>Auteurs actifs sur 90 jours</t>
  </si>
  <si>
    <t>ID</t>
  </si>
  <si>
    <t>Sens</t>
  </si>
  <si>
    <t>Référence</t>
  </si>
  <si>
    <t>Unité</t>
  </si>
  <si>
    <t>Cible J+30</t>
  </si>
  <si>
    <t>Cible J+90</t>
  </si>
  <si>
    <t>Réalisé actuel</t>
  </si>
  <si>
    <t>Écart vs J+90</t>
  </si>
  <si>
    <t>Source</t>
  </si>
  <si>
    <t>Hausse</t>
  </si>
  <si>
    <t>pays</t>
  </si>
  <si>
    <t>Classement 55</t>
  </si>
  <si>
    <t>Mensuelle</t>
  </si>
  <si>
    <t>Pays UA sans article national</t>
  </si>
  <si>
    <t>Baisse</t>
  </si>
  <si>
    <t>%</t>
  </si>
  <si>
    <t>auteurs</t>
  </si>
  <si>
    <t>/100</t>
  </si>
  <si>
    <t>Qualité éditoriale</t>
  </si>
  <si>
    <t>Champ pays renseigné dans le corpus</t>
  </si>
  <si>
    <t>Corpus / API</t>
  </si>
  <si>
    <t>Méta-titre renseigné</t>
  </si>
  <si>
    <t>SEO / CMS</t>
  </si>
  <si>
    <t>Méta-description renseignée</t>
  </si>
  <si>
    <t>Crédit ou source image renseigné</t>
  </si>
  <si>
    <t>Sources structurées renseignées</t>
  </si>
  <si>
    <t>Auteurs / Éditeurs</t>
  </si>
  <si>
    <t>Relecture ou vérification tracée</t>
  </si>
  <si>
    <t>Incohérences de langue FR/EN</t>
  </si>
  <si>
    <t>articles</t>
  </si>
  <si>
    <t>Webmaster / Langues</t>
  </si>
  <si>
    <t>API / Corpus</t>
  </si>
  <si>
    <t>Hebdomadaire jusqu’à zéro</t>
  </si>
  <si>
    <t>Articles d’au moins 500 mots</t>
  </si>
  <si>
    <t>Titres de 45 à 80 caractères</t>
  </si>
  <si>
    <t>Édition / SEO</t>
  </si>
  <si>
    <t>Mesure visiteurs uniques active</t>
  </si>
  <si>
    <t>Oui=1</t>
  </si>
  <si>
    <t>Analytics / Webmaster</t>
  </si>
  <si>
    <t>GA4 ou Matomo</t>
  </si>
  <si>
    <t>Hebdomadaire jusqu’à actif</t>
  </si>
  <si>
    <t>Baseline vues/article à J+30 disponible</t>
  </si>
  <si>
    <t>Analytics</t>
  </si>
  <si>
    <t>Cohortes J+30</t>
  </si>
  <si>
    <t>Liens sociaux conformes UTM</t>
  </si>
  <si>
    <t>Rapport UTM</t>
  </si>
  <si>
    <t>Hebdomadaire</t>
  </si>
  <si>
    <t>Revue éditoriale mensuelle tenue</t>
  </si>
  <si>
    <t>Compte rendu</t>
  </si>
  <si>
    <t>Politique de correction publiée</t>
  </si>
  <si>
    <t>Site / procédure</t>
  </si>
  <si>
    <t>J+30 puis annuelle</t>
  </si>
  <si>
    <t>Articles de la série 55 pays, 55 regards</t>
  </si>
  <si>
    <t>Calendrier éditorial</t>
  </si>
  <si>
    <t>Instances et cadence de gouvernance</t>
  </si>
  <si>
    <t>Instance</t>
  </si>
  <si>
    <t>Composition minimale</t>
  </si>
  <si>
    <t>Cadence</t>
  </si>
  <si>
    <t>Décisions attendues</t>
  </si>
  <si>
    <t>Entrées</t>
  </si>
  <si>
    <t>Sorties</t>
  </si>
  <si>
    <t>Desk quotidien</t>
  </si>
  <si>
    <t>Éditeur de permanence; auteur; réseaux sociaux</t>
  </si>
  <si>
    <t>15 min chaque matin</t>
  </si>
  <si>
    <t>Priorités du jour; alertes; mises à jour</t>
  </si>
  <si>
    <t>Agenda, veille, incidents</t>
  </si>
  <si>
    <t>Liste de commandes et responsables</t>
  </si>
  <si>
    <t>Conférence hebdomadaire</t>
  </si>
  <si>
    <t>Rédaction en chef; auteurs; audience; CMS</t>
  </si>
  <si>
    <t>1 fois/semaine</t>
  </si>
  <si>
    <t>Calendrier à 4 semaines; formats; pays; sources</t>
  </si>
  <si>
    <t>Pitchs, KPI courts, calendrier</t>
  </si>
  <si>
    <t>Commandes et arbitrages</t>
  </si>
  <si>
    <t>Revue audience et qualité</t>
  </si>
  <si>
    <t>Audience; SEO; CMS; éditeur</t>
  </si>
  <si>
    <t>Corrections rapides; distribution; tests</t>
  </si>
  <si>
    <t>Top/bottom articles; UTM; erreurs</t>
  </si>
  <si>
    <t>Actions correctives</t>
  </si>
  <si>
    <t>Comité éditorial mensuel</t>
  </si>
  <si>
    <t>Direction; rédaction; scientifique; audience</t>
  </si>
  <si>
    <t>Avant le 7 du mois</t>
  </si>
  <si>
    <t>Ressources; écarts KPI; risques; partenariats</t>
  </si>
  <si>
    <t>Dashboard complet; corrections; plaintes</t>
  </si>
  <si>
    <t>Compte rendu et plan du mois</t>
  </si>
  <si>
    <t>Revue stratégique trimestrielle</t>
  </si>
  <si>
    <t>Direction; comité; partenaires invités si utile</t>
  </si>
  <si>
    <t>Trimestrielle</t>
  </si>
  <si>
    <t>Rééquilibrage pays/thèmes; réseau; budget</t>
  </si>
  <si>
    <t>Tendances 3 mois; audit échantillon</t>
  </si>
  <si>
    <t>Décisions stratégiques</t>
  </si>
  <si>
    <t>Rapport annuel</t>
  </si>
  <si>
    <t>Direction et rédaction</t>
  </si>
  <si>
    <t>Annuelle</t>
  </si>
  <si>
    <t>Priorités, ressources, indépendance et impact</t>
  </si>
  <si>
    <t>Données annuelles consolidées</t>
  </si>
  <si>
    <t>Rapport public et plan annuel</t>
  </si>
  <si>
    <t>RACI simplifié</t>
  </si>
  <si>
    <t>Activité</t>
  </si>
  <si>
    <t>CMS / SEO</t>
  </si>
  <si>
    <t>Stratégie annuelle</t>
  </si>
  <si>
    <t>A</t>
  </si>
  <si>
    <t>R</t>
  </si>
  <si>
    <t>C</t>
  </si>
  <si>
    <t>Commande éditoriale</t>
  </si>
  <si>
    <t>I</t>
  </si>
  <si>
    <t>A/R</t>
  </si>
  <si>
    <t>Collecte et rédaction</t>
  </si>
  <si>
    <t>Validation scientifique</t>
  </si>
  <si>
    <t>SEO et intégration</t>
  </si>
  <si>
    <t>Publication et correction</t>
  </si>
  <si>
    <t>Diffusion et conversion</t>
  </si>
  <si>
    <t>Revue des KPI</t>
  </si>
  <si>
    <t>Légende RACI et règle d’escalade</t>
  </si>
  <si>
    <t>R = réalise; A = approuve et répond du résultat; C = consulté; I = informé. Une activité critique ne doit avoir qu’un seul A. Tout contenu de niveau 3 ou 4 est automatiquement escaladé à la rédaction en chef; la direction intervient si le risque juridique, institutionnel ou réputationnel est significatif.</t>
  </si>
  <si>
    <t>AfricaVET — classement éditorial des 55 États membres de l’UA</t>
  </si>
  <si>
    <t>Corpus au 25 août 2026 | Les comptes nationaux sont distincts des articles régionaux, continentaux et multinationaux</t>
  </si>
  <si>
    <t>Région UA</t>
  </si>
  <si>
    <t>Confirmés</t>
  </si>
  <si>
    <t>Contextuels</t>
  </si>
  <si>
    <t>Mentions totales</t>
  </si>
  <si>
    <t>Part nationale</t>
  </si>
  <si>
    <t>Articles 2026</t>
  </si>
  <si>
    <t>12 derniers mois</t>
  </si>
  <si>
    <t>Première publication</t>
  </si>
  <si>
    <t>Dernière publication</t>
  </si>
  <si>
    <t>Jours sans article</t>
  </si>
  <si>
    <t>Niveau de couverture</t>
  </si>
  <si>
    <t>Priorité éditoriale</t>
  </si>
  <si>
    <t>Thème dominant</t>
  </si>
  <si>
    <t>Diversité thématique</t>
  </si>
  <si>
    <t>Attr. élevée</t>
  </si>
  <si>
    <t>Attr. moyenne</t>
  </si>
  <si>
    <t>Cameroun</t>
  </si>
  <si>
    <t>Afrique centrale</t>
  </si>
  <si>
    <t>Très élevée</t>
  </si>
  <si>
    <t>P4 - maintenir/diversifier</t>
  </si>
  <si>
    <t>Sénégal</t>
  </si>
  <si>
    <t>Afrique de l'Ouest</t>
  </si>
  <si>
    <t>Côte d’Ivoire</t>
  </si>
  <si>
    <t>Kenya</t>
  </si>
  <si>
    <t>Afrique de l'Est</t>
  </si>
  <si>
    <t>Burkina Faso</t>
  </si>
  <si>
    <t>Élevée</t>
  </si>
  <si>
    <t>Afrique du Sud</t>
  </si>
  <si>
    <t>Afrique australe</t>
  </si>
  <si>
    <t>Nigeria</t>
  </si>
  <si>
    <t>Tchad</t>
  </si>
  <si>
    <t>RDC</t>
  </si>
  <si>
    <t>Maroc</t>
  </si>
  <si>
    <t>Afrique du Nord</t>
  </si>
  <si>
    <t>Togo</t>
  </si>
  <si>
    <t>Moyenne</t>
  </si>
  <si>
    <t>P3 - consolider</t>
  </si>
  <si>
    <t>Tanzanie</t>
  </si>
  <si>
    <t>Niger</t>
  </si>
  <si>
    <t>P2 - renforcer</t>
  </si>
  <si>
    <t>Ouganda</t>
  </si>
  <si>
    <t>Rwanda</t>
  </si>
  <si>
    <t>Éthiopie</t>
  </si>
  <si>
    <t>Égypte</t>
  </si>
  <si>
    <t>Tunisie</t>
  </si>
  <si>
    <t>Gabon</t>
  </si>
  <si>
    <t>Madagascar</t>
  </si>
  <si>
    <t>Guinée</t>
  </si>
  <si>
    <t>Faible</t>
  </si>
  <si>
    <t>Mali</t>
  </si>
  <si>
    <t>Cabo Verde</t>
  </si>
  <si>
    <t>Mauritanie</t>
  </si>
  <si>
    <t>Soudan du Sud</t>
  </si>
  <si>
    <t>Zimbabwe</t>
  </si>
  <si>
    <t>Guinée équatoriale</t>
  </si>
  <si>
    <t>P1 - relancer rapidement</t>
  </si>
  <si>
    <t>Ghana</t>
  </si>
  <si>
    <t>Guinée-Bissau</t>
  </si>
  <si>
    <t>Malawi</t>
  </si>
  <si>
    <t>Soudan</t>
  </si>
  <si>
    <t>Mozambique</t>
  </si>
  <si>
    <t>Zambie</t>
  </si>
  <si>
    <t>Burundi</t>
  </si>
  <si>
    <t>Très faible</t>
  </si>
  <si>
    <t>Bénin</t>
  </si>
  <si>
    <t>Somalie</t>
  </si>
  <si>
    <t>République du Congo</t>
  </si>
  <si>
    <t>Algérie</t>
  </si>
  <si>
    <t>Angola</t>
  </si>
  <si>
    <t>Botswana</t>
  </si>
  <si>
    <t>Comores</t>
  </si>
  <si>
    <t>Djibouti</t>
  </si>
  <si>
    <t>Eswatini</t>
  </si>
  <si>
    <t>Gambie</t>
  </si>
  <si>
    <t>Lesotho</t>
  </si>
  <si>
    <t>Liberia</t>
  </si>
  <si>
    <t>Maurice</t>
  </si>
  <si>
    <t>Namibie</t>
  </si>
  <si>
    <t>République centrafricaine</t>
  </si>
  <si>
    <t>Seychelles</t>
  </si>
  <si>
    <t>Sierra Leone</t>
  </si>
  <si>
    <t>Libye</t>
  </si>
  <si>
    <t>Nulle</t>
  </si>
  <si>
    <t>P1 - lancer la couverture</t>
  </si>
  <si>
    <t>RASD / Sahara occidental</t>
  </si>
  <si>
    <t>Sao Tomé-et-Principe</t>
  </si>
  <si>
    <t>Érythrée</t>
  </si>
  <si>
    <t>Date</t>
  </si>
  <si>
    <t>Année</t>
  </si>
  <si>
    <t>Titre</t>
  </si>
  <si>
    <t>URL</t>
  </si>
  <si>
    <t>Pays principal</t>
  </si>
  <si>
    <t>Autres pays UA</t>
  </si>
  <si>
    <t>Portée</t>
  </si>
  <si>
    <t>Méthode d’attribution</t>
  </si>
  <si>
    <t>Confiance</t>
  </si>
  <si>
    <t>Catégorie</t>
  </si>
  <si>
    <t>Macrothème</t>
  </si>
  <si>
    <t>Langue détectée</t>
  </si>
  <si>
    <t>Champ pays source</t>
  </si>
  <si>
    <t>Slug</t>
  </si>
  <si>
    <t>Eswatini Reopens Breeding-Livestock Imports Under Strict Disease Controls</t>
  </si>
  <si>
    <t>https://www.africavet.com/article/eswatini-reopens-breeding-livestock-imports-under-strict-disease-controls</t>
  </si>
  <si>
    <t>National</t>
  </si>
  <si>
    <t>Champ pays</t>
  </si>
  <si>
    <t>Productions animales</t>
  </si>
  <si>
    <t>EN</t>
  </si>
  <si>
    <t>eswatini-reopens-breeding-livestock-imports-under-strict-disease-controls</t>
  </si>
  <si>
    <t>Kenya: Meat Expo 2026 Puts Veterinary Paraprofessionals in the Spotlight</t>
  </si>
  <si>
    <t>https://www.africavet.com/article/kenya-meat-expo-2026-puts-veterinary-paraprofessionals-in-the-spotlight</t>
  </si>
  <si>
    <t>Breaking news</t>
  </si>
  <si>
    <t>kenya-meat-expo-2026-puts-veterinary-paraprofessionals-in-the-spotlight</t>
  </si>
  <si>
    <t>Djibouti : quatre nouveaux investissements pour renforcer l’élevage et les filières alimentaires</t>
  </si>
  <si>
    <t>https://www.africavet.com/article/djibouti-quatre-nouveaux-investissements-pour-renforcer-lelevage-et-les-filieres-alimentaires</t>
  </si>
  <si>
    <t>Elévage</t>
  </si>
  <si>
    <t>FR</t>
  </si>
  <si>
    <t>djibouti-quatre-nouveaux-investissements-pour-renforcer-lelevage-et-les-filieres-alimentaires</t>
  </si>
  <si>
    <t>South Sudan: 8,688 Pigs Die in Yambio as African Swine Fever Is Suspected</t>
  </si>
  <si>
    <t>https://www.africavet.com/article/south-sudan-8688-pigs-die-in-yambio-as-african-swine-fever-is-suspected</t>
  </si>
  <si>
    <t>Maladies porcines</t>
  </si>
  <si>
    <t>South Sudan</t>
  </si>
  <si>
    <t>south-sudan-8688-pigs-die-in-yambio-as-african-swine-fever-is-suspected</t>
  </si>
  <si>
    <t>Tchad : à Abéché, un abattoir moderne annoncé face aux défis sanitaires de la filière viande</t>
  </si>
  <si>
    <t>https://www.africavet.com/article/tchad-a-abeche-un-abattoir-moderne-annonce-face-aux-defis-sanitaires-de-la-filiere-viande</t>
  </si>
  <si>
    <t>Actualités</t>
  </si>
  <si>
    <t>tchad-a-abeche-un-abattoir-moderne-annonce-face-aux-defis-sanitaires-de-la-filiere-viande</t>
  </si>
  <si>
    <t>Cameroun : le CNFZV de Foumban forme 153 nouveaux professionnels des filières animales</t>
  </si>
  <si>
    <t>https://www.africavet.com/article/cameroun-le-cnfzv-de-foumban-forme-153-nouveaux-professionnels-des-filieres-animales</t>
  </si>
  <si>
    <t>Services vétérinaires</t>
  </si>
  <si>
    <t>cameroun-le-cnfzv-de-foumban-forme-153-nouveaux-professionnels-des-filieres-animales</t>
  </si>
  <si>
    <t>Sénégal : à Saint-Louis, le ministre de l’Agriculture au chevet des filières de la Vallée</t>
  </si>
  <si>
    <t>https://www.africavet.com/article/senegal-a-saint-louis-le-ministre-de-lagriculture-au-chevet-des-filieres-de-la-vallee</t>
  </si>
  <si>
    <t>senegal-a-saint-louis-le-ministre-de-lagriculture-au-chevet-des-filieres-de-la-vallee</t>
  </si>
  <si>
    <t>Niger : malgré le retour des pluies, la soudure pastorale fragilise encore les troupeaux</t>
  </si>
  <si>
    <t>https://www.africavet.com/article/niger-malgre-le-retour-des-pluies-la-soudure-pastorale-fragilise-encore-les-troupeaux</t>
  </si>
  <si>
    <t>Pastoralisme</t>
  </si>
  <si>
    <t>niger-malgre-le-retour-des-pluies-la-soudure-pastorale-fragilise-encore-les-troupeaux</t>
  </si>
  <si>
    <t>Malawi: Farming Practices Around Fishponds Raise Quiet Concerns for Fish and Human Health</t>
  </si>
  <si>
    <t>https://www.africavet.com/article/malawi-farming-practices-around-fishponds-raise-quiet-concerns-for-fish-and-human-health</t>
  </si>
  <si>
    <t>Aquaculture</t>
  </si>
  <si>
    <t>malawi-farming-practices-around-fishponds-raise-quiet-concerns-for-fish-and-human-health</t>
  </si>
  <si>
    <t>Aquatic Animal Health: WOAH Sets Global Priorities for Better Disease Prevention</t>
  </si>
  <si>
    <t>https://www.africavet.com/article/aquatic-animal-health-woah-sets-global-priorities-for-better-disease-prevention</t>
  </si>
  <si>
    <t>Continental africain</t>
  </si>
  <si>
    <t>Aucun pays AU détecté</t>
  </si>
  <si>
    <t>À vérifier</t>
  </si>
  <si>
    <t>Pêches</t>
  </si>
  <si>
    <t>aquatic-animal-health-woah-sets-global-priorities-for-better-disease-prevention</t>
  </si>
  <si>
    <t>Nigeria : à Maiduguri, un nouvel hôpital vétérinaire face au défi de l’accès aux soins</t>
  </si>
  <si>
    <t>https://www.africavet.com/article/nigeria-a-maiduguri-un-nouvel-hopital-veterinaire-face-au-defi-de-lacces-aux-soins</t>
  </si>
  <si>
    <t>nigeria-a-maiduguri-un-nouvel-hopital-veterinaire-face-au-defi-de-lacces-aux-soins</t>
  </si>
  <si>
    <t>Maroc : 1,02 million d’éleveurs soutenus pour préserver les femelles et reconstruire le cheptel</t>
  </si>
  <si>
    <t>https://www.africavet.com/article/maroc-102-million-deleveurs-soutenus-pour-preserver-les-femelles-et-reconstruire-le-cheptel</t>
  </si>
  <si>
    <t>maroc-102-million-deleveurs-soutenus-pour-preserver-les-femelles-et-reconstruire-le-cheptel</t>
  </si>
  <si>
    <t>Maroc : avec la loi 19.25, la gestion des animaux errants change de cap</t>
  </si>
  <si>
    <t>https://www.africavet.com/article/maroc-avec-la-loi-1925-la-gestion-des-animaux-errants-change-de-cap</t>
  </si>
  <si>
    <t>maroc-avec-la-loi-1925-la-gestion-des-animaux-errants-change-de-cap</t>
  </si>
  <si>
    <t>Africa is Ready to Lead: CPHIA 2026 Opens the Next Chapter of African Public Health</t>
  </si>
  <si>
    <t>https://www.africavet.com/article/africa-is-ready-to-lead-cphia-2026-opens-the-next-chapter-of-african-public-health</t>
  </si>
  <si>
    <t>Portée continentale dans le titre</t>
  </si>
  <si>
    <t>Call/Grants</t>
  </si>
  <si>
    <t>africa-is-ready-to-lead-cphia-2026-opens-the-next-chapter-of-african-public-health</t>
  </si>
  <si>
    <t>Burkina Faso : les éleveurs peuvent demander et suivre en ligne une insémination artificielle</t>
  </si>
  <si>
    <t>https://www.africavet.com/article/burkina-faso-les-eleveurs-peuvent-demander-et-suivre-en-ligne-une-insemination-artificielle</t>
  </si>
  <si>
    <t>Bovins et petits ruminants</t>
  </si>
  <si>
    <t>burkina-faso-les-eleveurs-peuvent-demander-et-suivre-en-ligne-une-insemination-artificielle</t>
  </si>
  <si>
    <t>Burkina Faso : les régions mobilisées pour la campagne de vaccination animale 2026-2027</t>
  </si>
  <si>
    <t>https://www.africavet.com/article/burkina-faso-les-regions-mobilisees-pour-la-campagne-de-vaccination-animale-2026-2027</t>
  </si>
  <si>
    <t>Maladies des ruminants</t>
  </si>
  <si>
    <t>burkina-faso-les-regions-mobilisees-pour-la-campagne-de-vaccination-animale-2026-2027</t>
  </si>
  <si>
    <t>Madagascar : vétérinaires et forces de l’ordre testent leur riposte face à l’agrocriminalité</t>
  </si>
  <si>
    <t>https://www.africavet.com/article/madagascar-veterinaires-et-forces-de-lordre-testent-leur-riposte-face-a-lagrocriminalite</t>
  </si>
  <si>
    <t>One Health</t>
  </si>
  <si>
    <t>madagascar-veterinaires-et-forces-de-lordre-testent-leur-riposte-face-a-lagrocriminalite</t>
  </si>
  <si>
    <t>CALL FOR ABSTRACTS : Conference on Human-Wildlife Coexistence</t>
  </si>
  <si>
    <t>https://www.africavet.com/article/call-for-abstracts-conference-on-human-wildlife-coexistence</t>
  </si>
  <si>
    <t>Non attribué</t>
  </si>
  <si>
    <t>call-for-abstracts-conference-on-human-wildlife-coexistence</t>
  </si>
  <si>
    <t>Nigeria: UK-funded programme targets safer meat, eggs, fish and honey for export markets</t>
  </si>
  <si>
    <t>https://www.africavet.com/article/nigeria-uk-funded-programme-targets-safer-meat-eggs-fish-and-honey-for-export-markets</t>
  </si>
  <si>
    <t>nigeria-uk-funded-programme-targets-safer-meat-eggs-fish-and-honey-for-export-markets</t>
  </si>
  <si>
    <t>Afrique : jusqu’à 65 000 dollars pour financer la recherche sur les maladies tropicales négligées</t>
  </si>
  <si>
    <t>https://www.africavet.com/article/afrique-jusqua-65-000-dollars-pour-financer-la-recherche-sur-les-maladies-tropicales-negligees</t>
  </si>
  <si>
    <t>afrique-jusqua-65-000-dollars-pour-financer-la-recherche-sur-les-maladies-tropicales-negligees</t>
  </si>
  <si>
    <t>Cameroun : 6,5 milliards FCFA supplémentaires pour financer l’élevage bovin, le lait et le poisson</t>
  </si>
  <si>
    <t>https://www.africavet.com/article/cameroun-65-milliards-fcfa-supplementaires-pour-financer-lelevage-bovin-le-lait-et-le-poisson</t>
  </si>
  <si>
    <t>cameroun-65-milliards-fcfa-supplementaires-pour-financer-lelevage-bovin-le-lait-et-le-poisson</t>
  </si>
  <si>
    <t>Antibiotiques chez les poulets : pourquoi traiter sans diagnostic peut être une erreur</t>
  </si>
  <si>
    <t>https://www.africavet.com/article/antibiotiques-chez-les-poulets-pourquoi-traiter-sans-diagnostic-peut-etre-une-erreur</t>
  </si>
  <si>
    <t>Guides</t>
  </si>
  <si>
    <t>antibiotiques-chez-les-poulets-pourquoi-traiter-sans-diagnostic-peut-etre-une-erreur</t>
  </si>
  <si>
    <t>Sénégal : 969 millions FCFA pour produire localement des œufs à couver et réduire la dépendance avicole</t>
  </si>
  <si>
    <t>https://www.africavet.com/article/senegal-969-millions-fcfa-pour-produire-localement-des-oeufs-a-couver-et-reduire-la-dependance-avicole</t>
  </si>
  <si>
    <t>Aviculture</t>
  </si>
  <si>
    <t>senegal-969-millions-fcfa-pour-produire-localement-des-oeufs-a-couver-et-reduire-la-dependance-avicole</t>
  </si>
  <si>
    <t>WHO/TDR Call for Proposals: Up to US$15,000 for Health and One Health Research in Africa</t>
  </si>
  <si>
    <t>https://www.africavet.com/article/whotdr-call-for-proposals-up-to-usdollar15000-for-health-and-one-health-research-in-africa</t>
  </si>
  <si>
    <t>whotdr-call-for-proposals-up-to-usdollar15000-for-health-and-one-health-research-in-africa</t>
  </si>
  <si>
    <t>Intelligence artificielle et agriculture : la FAO et Smart Africa mobilisent 50 000 USD pour déployer une solution en Afrique</t>
  </si>
  <si>
    <t>https://www.africavet.com/article/intelligence-artificielle-et-agriculture-la-fao-et-smart-africa-mobilisent-50-000-usd-pour-deployer-une-solution-en-afrique</t>
  </si>
  <si>
    <t>Bourses</t>
  </si>
  <si>
    <t>intelligence-artificielle-et-agriculture-la-fao-et-smart-africa-mobilisent-50-000-usd-pour-deployer-une-solution-en-afrique</t>
  </si>
  <si>
    <t>South Africa: Herpesvirus Detected in Sardines Following Mass Die-Off</t>
  </si>
  <si>
    <t>https://www.africavet.com/article/south-africa-herpesvirus-detected-in-sardines-following-mass-die-off</t>
  </si>
  <si>
    <t>South Africa</t>
  </si>
  <si>
    <t>south-africa-herpesvirus-detected-in-sardines-following-mass-die-off</t>
  </si>
  <si>
    <t>Kenya : Mystère et tensions autour de la mort d’une vingtaine d’éléphants empoisonnés</t>
  </si>
  <si>
    <t>https://www.africavet.com/article/kenya-mystere-et-tensions-autour-de-la-mort-dune-vingtaine-delephants-empoisonnes</t>
  </si>
  <si>
    <t>Faune</t>
  </si>
  <si>
    <t>kenya-mystere-et-tensions-autour-de-la-mort-dune-vingtaine-delephants-empoisonnes</t>
  </si>
  <si>
    <t>Burkina Faso : l’opération « Zéro poulailler vide » veut remettre 500 élevages avicoles en production</t>
  </si>
  <si>
    <t>https://www.africavet.com/article/burkina-faso-loperation-zero-poulailler-vide-veut-remettre-500-elevages-avicoles-en-production</t>
  </si>
  <si>
    <t>burkina-faso-loperation-zero-poulailler-vide-veut-remettre-500-elevages-avicoles-en-production</t>
  </si>
  <si>
    <t>Cameroun : 93 stages ouverts dans des projets financés par la BAD, dont huit au PDCVEP</t>
  </si>
  <si>
    <t>https://www.africavet.com/article/cameroun-93-stages-ouverts-dans-des-projets-finances-par-la-bad-dont-huit-au-pdcvep</t>
  </si>
  <si>
    <t>cameroun-93-stages-ouverts-dans-des-projets-finances-par-la-bad-dont-huit-au-pdcvep</t>
  </si>
  <si>
    <t>Virus Shamonda : l’alerte bovine s’étend en Europe et interpelle l’Afrique</t>
  </si>
  <si>
    <t>https://www.africavet.com/article/virus-shamonda-lalerte-bovine-setend-en-europe-et-interpelle-lafrique</t>
  </si>
  <si>
    <t>virus-shamonda-lalerte-bovine-setend-en-europe-et-interpelle-lafrique</t>
  </si>
  <si>
    <t>Coccidiose chez les poulets : ces signes discrets qui peuvent coûter cher à l’éleveur</t>
  </si>
  <si>
    <t>https://www.africavet.com/article/coccidiose-chez-les-poulets-ces-signes-discrets-qui-peuvent-couter-cher-a-leleveur</t>
  </si>
  <si>
    <t>coccidiose-chez-les-poulets-ces-signes-discrets-qui-peuvent-couter-cher-a-leleveur</t>
  </si>
  <si>
    <t>PPR : les « épisystèmes », un levier stratégique pour le PAPS et l’éradication en Afrique</t>
  </si>
  <si>
    <t>https://www.africavet.com/article/ppr-les-episystemes-un-levier-strategique-pour-le-paps-et-leradication-en-afrique</t>
  </si>
  <si>
    <t>News</t>
  </si>
  <si>
    <t>ppr-les-episystemes-un-levier-strategique-pour-le-paps-et-leradication-en-afrique</t>
  </si>
  <si>
    <t>Tunisie : jusqu’à 150 moutons et chèvres morts à Métlaoui, les analyses doivent trancher</t>
  </si>
  <si>
    <t>https://www.africavet.com/article/tunisie-jusqua-150-moutons-et-chevres-morts-a-metlaoui-les-analyses-doivent-trancher</t>
  </si>
  <si>
    <t>tunisie-jusqua-150-moutons-et-chevres-morts-a-metlaoui-les-analyses-doivent-trancher</t>
  </si>
  <si>
    <t>South Sudan Faces Growing Cross-Border Ebola Risk as Outbreak in DRC Moves Closer</t>
  </si>
  <si>
    <t>https://www.africavet.com/article/south-sudan-faces-growing-cross-border-ebola-risk-as-outbreak-in-drc-moves-closer</t>
  </si>
  <si>
    <t>Non renseignée</t>
  </si>
  <si>
    <t>south-sudan-faces-growing-cross-border-ebola-risk-as-outbreak-in-drc-moves-closer</t>
  </si>
  <si>
    <t>Deux lions, trois pays : un voyage exceptionnel à travers l’Afrique</t>
  </si>
  <si>
    <t>https://www.africavet.com/article/deux-lions-trois-pays-un-voyage-exceptionnel-a-travers-lafrique</t>
  </si>
  <si>
    <t>Conservation</t>
  </si>
  <si>
    <t>deux-lions-trois-pays-un-voyage-exceptionnel-a-travers-lafrique</t>
  </si>
  <si>
    <t>Cap-Vert : 18 épidémiologistes de terrain pour transformer les alertes sanitaires en actions</t>
  </si>
  <si>
    <t>https://www.africavet.com/article/cap-vert-18-epidemiologistes-de-terrain-pour-transformer-les-alertes-sanitaires-en-actions</t>
  </si>
  <si>
    <t>Vets</t>
  </si>
  <si>
    <t>Cap-Vert</t>
  </si>
  <si>
    <t>cap-vert-18-epidemiologistes-de-terrain-pour-transformer-les-alertes-sanitaires-en-actions</t>
  </si>
  <si>
    <t>Madagascar : un poulet sur cinq meurt avant le marché, la santé animale peut inverser la tendance</t>
  </si>
  <si>
    <t>https://www.africavet.com/article/madagascar-un-poulet-sur-cinq-meurt-avant-le-marche-la-sante-animale-peut-inverser-la-tendance</t>
  </si>
  <si>
    <t>Maladies aviaires</t>
  </si>
  <si>
    <t>madagascar-un-poulet-sur-cinq-meurt-avant-le-marche-la-sante-animale-peut-inverser-la-tendance</t>
  </si>
  <si>
    <t>À Maurice, les démarches vétérinaires passent au numérique pour sécuriser le commerce animal</t>
  </si>
  <si>
    <t>https://www.africavet.com/article/a-maurice-les-demarches-veterinaires-passent-au-numerique-pour-securiser-le-commerce-animal</t>
  </si>
  <si>
    <t>Titre/slug</t>
  </si>
  <si>
    <t>Innovation</t>
  </si>
  <si>
    <t>a-maurice-les-demarches-veterinaires-passent-au-numerique-pour-securiser-le-commerce-animal</t>
  </si>
  <si>
    <t>Comores : le nouveau Code de l’élevage ouvre une nouvelle ère pour la santé animale</t>
  </si>
  <si>
    <t>https://www.africavet.com/article/comores-le-nouveau-code-de-lelevage-ouvre-une-nouvelle-ere-pour-la-sante-animale</t>
  </si>
  <si>
    <t>Santé publique vétérinaire</t>
  </si>
  <si>
    <t>comores-le-nouveau-code-de-lelevage-ouvre-une-nouvelle-ere-pour-la-sante-animale</t>
  </si>
  <si>
    <t>Over 1,000 Pigs Dead as African Swine Fever Strikes Kiambu</t>
  </si>
  <si>
    <t>https://www.africavet.com/article/over-1000-pigs-dead-as-african-swine-fever-strikes-kiambu</t>
  </si>
  <si>
    <t>Diseases</t>
  </si>
  <si>
    <t>over-1000-pigs-dead-as-african-swine-fever-strikes-kiambu</t>
  </si>
  <si>
    <t>Chenille légionnaire africaine : pourquoi une invasion des pâturages peut aussi menacer les bovins</t>
  </si>
  <si>
    <t>https://www.africavet.com/article/chenille-legionnaire-africaine-pourquoi-une-invasion-des-paturages-peut-aussi-menacer-les-bovins</t>
  </si>
  <si>
    <t>Chapeau</t>
  </si>
  <si>
    <t>chenille-legionnaire-africaine-pourquoi-une-invasion-des-paturages-peut-aussi-menacer-les-bovins</t>
  </si>
  <si>
    <t>Sénégal : à Kaffrine, l’usage des antibiotiques dans les troupeaux révèle un défi One Health</t>
  </si>
  <si>
    <t>https://www.africavet.com/article/senegal-a-kaffrine-lusage-des-antibiotiques-dans-les-troupeaux-revele-un-defi-one-health</t>
  </si>
  <si>
    <t>Antibiorésistance</t>
  </si>
  <si>
    <t>senegal-a-kaffrine-lusage-des-antibiotiques-dans-les-troupeaux-revele-un-defi-one-health</t>
  </si>
  <si>
    <t>2026 Call for Nominations for AAS Fellowship</t>
  </si>
  <si>
    <t>https://www.africavet.com/article/2026-call-for-nominations-for-aas-fellowship</t>
  </si>
  <si>
    <t>2026-call-for-nominations-for-aas-fellowship</t>
  </si>
  <si>
    <t>Bovins en Afrique de l’Ouest : mieux nourrir avec les ressources locales plutôt que nourrir davantage</t>
  </si>
  <si>
    <t>https://www.africavet.com/article/bovins-en-afrique-de-louest-mieux-nourrir-avec-les-ressources-locales-plutot-que-nourrir-davantage</t>
  </si>
  <si>
    <t>Régional africain</t>
  </si>
  <si>
    <t>Portée régionale dans le titre</t>
  </si>
  <si>
    <t>bovins-en-afrique-de-louest-mieux-nourrir-avec-les-ressources-locales-plutot-que-nourrir-davantage</t>
  </si>
  <si>
    <t>La biosécurité commence avant l’épidémie : le SAVC rappelle que les personnes sont la première ligne de défense</t>
  </si>
  <si>
    <t>https://www.africavet.com/article/la-biosecurite-commence-avant-lepidemie-le-savc-rappelle-que-les-personnes-sont-la-premiere-ligne-de-defense</t>
  </si>
  <si>
    <t>Santé animale</t>
  </si>
  <si>
    <t>la-biosecurite-commence-avant-lepidemie-le-savc-rappelle-que-les-personnes-sont-la-premiere-ligne-de-defense</t>
  </si>
  <si>
    <t>Abnormal chicken droppings: What their colour can reveal — and what it cannot diagnose</t>
  </si>
  <si>
    <t>https://www.africavet.com/article/abnormal-chicken-droppings-what-their-colour-can-reveal-and-what-it-cannot-diagnose</t>
  </si>
  <si>
    <t>Fiches techniques</t>
  </si>
  <si>
    <t>abnormal-chicken-droppings-what-their-colour-can-reveal-and-what-it-cannot-diagnose</t>
  </si>
  <si>
    <t>Fientes anormales chez les poulets : ce que leur couleur peut révéler — et ce qu’elle ne permet pas de diagnostiquer</t>
  </si>
  <si>
    <t>https://www.africavet.com/article/fientes-anormales-chez-les-poulets-ce-que-leur-couleur-peut-reveler-et-ce-quelle-ne-permet-pas-de-diagnostiquer</t>
  </si>
  <si>
    <t>fientes-anormales-chez-les-poulets-ce-que-leur-couleur-peut-reveler-et-ce-quelle-ne-permet-pas-de-diagnostiquer</t>
  </si>
  <si>
    <t>Namibia Responds to Confirmed Rabies Case in Ondangwa with Emergency Vaccination Campaign</t>
  </si>
  <si>
    <t>https://www.africavet.com/article/namibia-responds-to-confirmed-rabies-case-in-ondangwa-with-emergency-vaccination-campaign</t>
  </si>
  <si>
    <t>Rage</t>
  </si>
  <si>
    <t>Namibia</t>
  </si>
  <si>
    <t>namibia-responds-to-confirmed-rabies-case-in-ondangwa-with-emergency-vaccination-campaign</t>
  </si>
  <si>
    <t>Poulets qui meurent subitement : les 7 vérifications à faire avant de traiter</t>
  </si>
  <si>
    <t>https://www.africavet.com/article/poulets-qui-meurent-subitement-les-7-verifications-a-faire-avant-de-traiter</t>
  </si>
  <si>
    <t>poulets-qui-meurent-subitement-les-7-verifications-a-faire-avant-de-traiter</t>
  </si>
  <si>
    <t>Fièvre aphteuse en Afrique du Sud : RMIS lance une plateforme de commande et sécurise 4,5 millions de doses</t>
  </si>
  <si>
    <t>https://www.africavet.com/article/fievre-aphteuse-en-afrique-du-sud-rmis-lance-une-plateforme-de-commande-et-securise-45-millions-de-doses</t>
  </si>
  <si>
    <t>Sécurité Sanitaire</t>
  </si>
  <si>
    <t>fievre-aphteuse-en-afrique-du-sud-rmis-lance-une-plateforme-de-commande-et-securise-45-millions-de-doses</t>
  </si>
  <si>
    <t>Lake Victoria: Cage aquaculture is expanding, but biosecurity must keep pace</t>
  </si>
  <si>
    <t>https://www.africavet.com/article/lake-victoria-cage-aquaculture-is-expanding-but-biosecurity-must-keep-pace</t>
  </si>
  <si>
    <t>lake-victoria-cage-aquaculture-is-expanding-but-biosecurity-must-keep-pace</t>
  </si>
  <si>
    <t>West Africa trains One Health experts to turn regional plans into measurable results</t>
  </si>
  <si>
    <t>https://www.africavet.com/article/west-africa-trains-one-health-experts-to-turn-regional-plans-into-measurable-results</t>
  </si>
  <si>
    <t>west-africa-trains-one-health-experts-to-turn-regional-plans-into-measurable-results</t>
  </si>
  <si>
    <t>Ghana: women bushmeat traders make food safety a priority in Kumasi</t>
  </si>
  <si>
    <t>https://www.africavet.com/article/ghana-women-bushmeat-traders-make-food-safety-a-priority-in-kumasi</t>
  </si>
  <si>
    <t>Interface faune-bétail</t>
  </si>
  <si>
    <t>ghana-women-bushmeat-traders-make-food-safety-a-priority-in-kumasi</t>
  </si>
  <si>
    <t>Incendies de forêt : pour les animaux aussi, chaque minute compte</t>
  </si>
  <si>
    <t>https://www.africavet.com/article/incendies-de-foret-pour-les-animaux-aussi-chaque-minute-compte</t>
  </si>
  <si>
    <t>incendies-de-foret-pour-les-animaux-aussi-chaque-minute-compte</t>
  </si>
  <si>
    <t>Avian Influenza in June–July 2026: An Exceptional Wildlife Threat and a Continuing Challenge for Africa</t>
  </si>
  <si>
    <t>https://www.africavet.com/article/avian-influenza-in-june-july-2026-an-exceptional-wildlife-threat-and-a-continuing-challenge-for-africa</t>
  </si>
  <si>
    <t>avian-influenza-in-june-july-2026-an-exceptional-wildlife-threat-and-a-continuing-challenge-for-africa</t>
  </si>
  <si>
    <t>Nigeria moves to develop its first national strategy against Newcastle disease</t>
  </si>
  <si>
    <t>https://www.africavet.com/article/nigeria-moves-to-develop-its-first-national-strategy-against-newcastle-disease</t>
  </si>
  <si>
    <t>nigeria-moves-to-develop-its-first-national-strategy-against-newcastle-disease</t>
  </si>
  <si>
    <t>Côte d’Ivoire : l’identification électronique des animaux passe à l’échelle nationale</t>
  </si>
  <si>
    <t>https://www.africavet.com/article/cote-divoire-lidentification-electronique-des-animaux-passe-a-lechelle-nationale</t>
  </si>
  <si>
    <t>cote-divoire-lidentification-electronique-des-animaux-passe-a-lechelle-nationale</t>
  </si>
  <si>
    <t>Ebola en RDC : la génomique révèle un nouveau passage probable de l’animal à l’homme</t>
  </si>
  <si>
    <t>https://www.africavet.com/article/ebola-en-rdc-la-genomique-revele-un-nouveau-passage-probable-de-lanimal-a-lhomme</t>
  </si>
  <si>
    <t>ebola-en-rdc-la-genomique-revele-un-nouveau-passage-probable-de-lanimal-a-lhomme</t>
  </si>
  <si>
    <t>Kenya: Livestock Insurance Is Booming. Can It Protect Herds Before the Next Drought?</t>
  </si>
  <si>
    <t>https://www.africavet.com/article/kenya-livestock-insurance-is-booming-can-it-protect-herds-before-the-next-drought</t>
  </si>
  <si>
    <t>kenya-livestock-insurance-is-booming-can-it-protect-herds-before-the-next-drought</t>
  </si>
  <si>
    <t>MERS-CoV in East Africa: Why the Dromedary Camel Is Once Again a One Health Sentinel</t>
  </si>
  <si>
    <t>https://www.africavet.com/article/mers-cov-in-east-africa-why-the-dromedary-camel-is-once-again-a-one-health-sentinel</t>
  </si>
  <si>
    <t>mers-cov-in-east-africa-why-the-dromedary-camel-is-once-again-a-one-health-sentinel</t>
  </si>
  <si>
    <t>Tchad : après la vaccination PPR, mesurer enfin la protection réelle des troupeaux</t>
  </si>
  <si>
    <t>https://www.africavet.com/article/tchad-apres-la-vaccination-ppr-mesurer-enfin-la-protection-reelle-des-troupeaux</t>
  </si>
  <si>
    <t>tchad-apres-la-vaccination-ppr-mesurer-enfin-la-protection-reelle-des-troupeaux</t>
  </si>
  <si>
    <t>Somalia: In Gedo, PPR vaccination must follow the real routes of livestock</t>
  </si>
  <si>
    <t>https://www.africavet.com/article/somalia-in-gedo-ppr-vaccination-must-follow-the-real-routes-of-livestock</t>
  </si>
  <si>
    <t>Somalia</t>
  </si>
  <si>
    <t>somalia-in-gedo-ppr-vaccination-must-follow-the-real-routes-of-livestock</t>
  </si>
  <si>
    <t>Congo : l’aquaculture veut changer d’échelle, mais la santé des poissons devient un enjeu clé</t>
  </si>
  <si>
    <t>https://www.africavet.com/article/congo-laquaculture-veut-changer-dechelle-mais-la-sante-des-poissons-devient-un-enjeu-cle</t>
  </si>
  <si>
    <t>Congo</t>
  </si>
  <si>
    <t>congo-laquaculture-veut-changer-dechelle-mais-la-sante-des-poissons-devient-un-enjeu-cle</t>
  </si>
  <si>
    <t>Kenya: 16 elephant deaths near Amboseli raise wider environmental concerns</t>
  </si>
  <si>
    <t>https://www.africavet.com/article/kenya-16-elephant-deaths-near-amboseli-raise-wider-environmental-concerns</t>
  </si>
  <si>
    <t>kenya-16-elephant-deaths-near-amboseli-raise-wider-environmental-concerns</t>
  </si>
  <si>
    <t>Afrique : 309 millions de personnes souffrent de la faim, l’aquaculture peut-elle changer la donne ?</t>
  </si>
  <si>
    <t>https://www.africavet.com/article/afrique-309-millions-de-personnes-souffrent-de-la-faim-laquaculture-peut-elle-changer-la-donne</t>
  </si>
  <si>
    <t>afrique-309-millions-de-personnes-souffrent-de-la-faim-laquaculture-peut-elle-changer-la-donne</t>
  </si>
  <si>
    <t>Rwanda : la fièvre de la Vallée du Rift ravive l’alerte dans les élevages</t>
  </si>
  <si>
    <t>https://www.africavet.com/article/rwanda-la-fievre-de-la-vallee-du-rift-ravive-lalerte-dans-les-elevages</t>
  </si>
  <si>
    <t>rwanda-la-fievre-de-la-vallee-du-rift-ravive-lalerte-dans-les-elevages</t>
  </si>
  <si>
    <t>Foot-and-mouth disease in Southern Africa: five gaps undermining vaccination campaigns</t>
  </si>
  <si>
    <t>https://www.africavet.com/article/foot-and-mouth-disease-in-southern-africa-five-gaps-undermining-vaccination-campaigns</t>
  </si>
  <si>
    <t>Maladies transfrontalières</t>
  </si>
  <si>
    <t>foot-and-mouth-disease-in-southern-africa-five-gaps-undermining-vaccination-campaigns</t>
  </si>
  <si>
    <t>Afrique : l’AU-IBAR et l’AAIN s’allient pour stimuler l’emploi des jeunes dans les filières animales</t>
  </si>
  <si>
    <t>https://www.africavet.com/article/afrique-lau-ibar-et-laain-sallient-pour-stimuler-lemploi-des-jeunes-dans-les-filieres-animales</t>
  </si>
  <si>
    <t>afrique-lau-ibar-et-laain-sallient-pour-stimuler-lemploi-des-jeunes-dans-les-filieres-animales</t>
  </si>
  <si>
    <t>Ebola en RDC : Alerte sur une mutation, mortalité infantile record et course au vaccin</t>
  </si>
  <si>
    <t>https://www.africavet.com/article/ebola-en-rdc-alerte-sur-une-mutation-mortalite-infantile-record-et-course-au-vaccin</t>
  </si>
  <si>
    <t>ebola-en-rdc-alerte-sur-une-mutation-mortalite-infantile-record-et-course-au-vaccin</t>
  </si>
  <si>
    <t>La FAO et l’IGAD alertent sur un risque accru de Fièvre de la Vallée du Rift en raison d’un fort épisode El Niño en Afrique de l’Est</t>
  </si>
  <si>
    <t>https://www.africavet.com/article/la-fao-et-ligad-alertent-sur-un-risque-accru-de-fievre-de-la-vallee-du-rift-en-raison-dun-fort-episode-el-nino-en-afrique-de-lest</t>
  </si>
  <si>
    <t>la-fao-et-ligad-alertent-sur-un-risque-accru-de-fievre-de-la-vallee-du-rift-en-raison-dun-fort-episode-el-nino-en-afrique-de-lest</t>
  </si>
  <si>
    <t>Malawi: Epizootic Ulcerative Syndrome Threatens Wild Fish and Aquaculture</t>
  </si>
  <si>
    <t>https://www.africavet.com/article/malawi-epizootic-ulcerative-syndrome-threatens-wild-fish-and-aquaculture</t>
  </si>
  <si>
    <t>malawi-epizootic-ulcerative-syndrome-threatens-wild-fish-and-aquaculture</t>
  </si>
  <si>
    <t>Mauritanie : après la fièvre de la Vallée du Rift, renforcer l’alerte Une seule Santé dans les zones pastorales</t>
  </si>
  <si>
    <t>https://www.africavet.com/article/mauritanie-apres-la-fievre-de-la-vallee-du-rift-renforcer-lalerte-une-seule-sante-dans-les-zones-pastorales</t>
  </si>
  <si>
    <t>mauritanie-apres-la-fievre-de-la-vallee-du-rift-renforcer-lalerte-une-seule-sante-dans-les-zones-pastorales</t>
  </si>
  <si>
    <t>Cameroun : la CDPM appelée à accélérer les projets de pêche et d’aquaculture</t>
  </si>
  <si>
    <t>https://www.africavet.com/article/cameroun-la-cdpm-appelee-a-accelerer-les-projets-de-peche-et-daquaculture</t>
  </si>
  <si>
    <t>cameroun-la-cdpm-appelee-a-accelerer-les-projets-de-peche-et-daquaculture</t>
  </si>
  <si>
    <t>Quels poissons pondent le plus d’œufs ? En Afrique, la perche du Nil figure parmi les championnes</t>
  </si>
  <si>
    <t>https://www.africavet.com/article/quels-poissons-pondent-le-plus-doeufs-en-afrique-la-perche-du-nil-figure-parmi-les-championnes</t>
  </si>
  <si>
    <t>quels-poissons-pondent-le-plus-doeufs-en-afrique-la-perche-du-nil-figure-parmi-les-championnes</t>
  </si>
  <si>
    <t>Sudan: Vaccinating livestock amid conflict, a cross-border logistical challenge</t>
  </si>
  <si>
    <t>https://www.africavet.com/article/sudan-vaccinating-livestock-amid-conflict-a-cross-border-logistical-challenge</t>
  </si>
  <si>
    <t>sudan-vaccinating-livestock-amid-conflict-a-cross-border-logistical-challenge</t>
  </si>
  <si>
    <t>Cameroon: CDEN Reports 80% Budget Execution as Livestock Support Continues in the North</t>
  </si>
  <si>
    <t>https://www.africavet.com/article/cameroon-cden-reports-80percent-budget-execution-as-livestock-support-continues-in-the-north</t>
  </si>
  <si>
    <t>Cameroon</t>
  </si>
  <si>
    <t>cameroon-cden-reports-80percent-budget-execution-as-livestock-support-continues-in-the-north</t>
  </si>
  <si>
    <t>Cameroun : 28 navires sur la liste provisoire des licences de pêche industrielle pour 2026</t>
  </si>
  <si>
    <t>https://www.africavet.com/article/cameroun-28-navires-sur-la-liste-provisoire-des-licences-de-peche-industrielle-pour-2026</t>
  </si>
  <si>
    <t>cameroun-28-navires-sur-la-liste-provisoire-des-licences-de-peche-industrielle-pour-2026</t>
  </si>
  <si>
    <t>Corne de l’Afrique : la chaleur extrême pousse les dromadaires à bout</t>
  </si>
  <si>
    <t>https://www.africavet.com/article/corne-de-lafrique-la-chaleur-extreme-pousse-les-dromadaires-a-bout</t>
  </si>
  <si>
    <t>corne-de-lafrique-la-chaleur-extreme-pousse-les-dromadaires-a-bout</t>
  </si>
  <si>
    <t>Sénégal : à Mbao, 1 000 ruches pour donner un nouvel élan à l’apiculture</t>
  </si>
  <si>
    <t>https://www.africavet.com/article/senegal-a-mbao-1-000-ruches-pour-donner-un-nouvel-elan-a-lapiculture</t>
  </si>
  <si>
    <t>Sécurité sanitaire des aliments</t>
  </si>
  <si>
    <t>senegal-a-mbao-1-000-ruches-pour-donner-un-nouvel-elan-a-lapiculture</t>
  </si>
  <si>
    <t>Cameroun : à Maroua, les bons gestes au cœur de la sécurité des repas collectifs</t>
  </si>
  <si>
    <t>https://www.africavet.com/article/cameroun-a-maroua-les-bons-gestes-au-coeur-de-la-securite-des-repas-collectifs</t>
  </si>
  <si>
    <t>cameroun-a-maroua-les-bons-gestes-au-coeur-de-la-securite-des-repas-collectifs</t>
  </si>
  <si>
    <t>first Scientific Conference on Animal Health &amp; Welfare</t>
  </si>
  <si>
    <t>https://www.africavet.com/article/first-scientific-conference-on-animal-health-and-welfare</t>
  </si>
  <si>
    <t>first-scientific-conference-on-animal-health-and-welfare</t>
  </si>
  <si>
    <t>De la coordination continentale à l’action de terrain : l’Afrique progresse vers l’éradication de la PPR</t>
  </si>
  <si>
    <t>https://www.africavet.com/article/de-la-coordination-continentale-a-laction-de-terrain-lafrique-progresse-vers-leradication-de-la-ppr</t>
  </si>
  <si>
    <t>de-la-coordination-continentale-a-laction-de-terrain-lafrique-progresse-vers-leradication-de-la-ppr</t>
  </si>
  <si>
    <t>La FAO présente un nouveau modèle stratégique pour lutter contre les maladies animales transfrontalières</t>
  </si>
  <si>
    <t>https://www.africavet.com/article/la-fao-presente-un-nouveau-modele-strategique-pour-lutter-contre-les-maladies-animales-transfrontalieres</t>
  </si>
  <si>
    <t>la-fao-presente-un-nouveau-modele-strategique-pour-lutter-contre-les-maladies-animales-transfrontalieres</t>
  </si>
  <si>
    <t>Élever la sécurité des aliments aquatiques : comment l’hygiène portuaire et les innovations de la chaîne du froid renforcent les chaînes de valeur durables</t>
  </si>
  <si>
    <t>https://www.africavet.com/article/elever-la-securite-des-aliments-aquatiques-comment-lhygiene-portuaire-et-les-innovations-de-la-chaine-du-froid-renforcent-les-chaines-de-valeur-durables</t>
  </si>
  <si>
    <t>Pêche industrielle</t>
  </si>
  <si>
    <t>elever-la-securite-des-aliments-aquatiques-comment-lhygiene-portuaire-et-les-innovations-de-la-chaine-du-froid-renforcent-les-chaines-de-valeur-durables</t>
  </si>
  <si>
    <t>L’Ouganda et la Chine s’allient pour lutter contre les maladies du bétail</t>
  </si>
  <si>
    <t>https://www.africavet.com/article/louganda-et-la-chine-sallient-pour-lutter-contre-les-maladies-du-betail</t>
  </si>
  <si>
    <t>Uganda</t>
  </si>
  <si>
    <t>louganda-et-la-chine-sallient-pour-lutter-contre-les-maladies-du-betail</t>
  </si>
  <si>
    <t>Maladies animales transfrontalières : la FAO propose un nouveau modèle piloté par les pays</t>
  </si>
  <si>
    <t>https://www.africavet.com/article/maladies-animales-transfrontalieres-la-fao-propose-un-nouveau-modele-pilote-par-les-pays</t>
  </si>
  <si>
    <t>maladies-animales-transfrontalieres-la-fao-propose-un-nouveau-modele-pilote-par-les-pays</t>
  </si>
  <si>
    <t>À Djerba, des pêcheurs expérimentent une alternative solaire au carburant</t>
  </si>
  <si>
    <t>https://www.africavet.com/article/a-djerba-des-pecheurs-experimentent-une-alternative-solaire-au-carburant</t>
  </si>
  <si>
    <t>a-djerba-des-pecheurs-experimentent-une-alternative-solaire-au-carburant</t>
  </si>
  <si>
    <t>À Dakar, l’EISMV place la qualité de la formation vétérinaire au cœur de son Conseil d’établissement 2026</t>
  </si>
  <si>
    <t>https://www.africavet.com/article/a-dakar-leismv-place-la-qualite-de-la-formation-veterinaire-au-coeur-de-son-conseil-detablissement-2026</t>
  </si>
  <si>
    <t>a-dakar-leismv-place-la-qualite-de-la-formation-veterinaire-au-coeur-de-son-conseil-detablissement-2026</t>
  </si>
  <si>
    <t>Guinée-Bissau : l’intelligence artificielle aide à détecter la lèpre chez les chimpanzés sauvages</t>
  </si>
  <si>
    <t>https://www.africavet.com/article/guinee-bissau-lintelligence-artificielle-aide-a-detecter-la-lepre-chez-les-chimpanzes-sauvages</t>
  </si>
  <si>
    <t>guinee-bissau-lintelligence-artificielle-aide-a-detecter-la-lepre-chez-les-chimpanzes-sauvages</t>
  </si>
  <si>
    <t>PRESS RELEASE : 44 African countries gather in Addis Ababa to accelerate the eradication of Peste des petits ruminants (PPR)</t>
  </si>
  <si>
    <t>https://www.africavet.com/article/press-release-44-african-countries-gather-in-addis-ababa-to-accelerate-the-eradication-of-peste-des-petits-ruminants-ppr</t>
  </si>
  <si>
    <t>Ethiopia</t>
  </si>
  <si>
    <t>press-release-44-african-countries-gather-in-addis-ababa-to-accelerate-the-eradication-of-peste-des-petits-ruminants-ppr</t>
  </si>
  <si>
    <t>Restaurer la terre, restaurer l’espoir : le pastoralisme comme solution climatique oubliée</t>
  </si>
  <si>
    <t>https://www.africavet.com/article/restaurer-la-terre-restaurer-lespoir-le-pastoralisme-comme-solution-climatique-oubliee</t>
  </si>
  <si>
    <t>Début du texte</t>
  </si>
  <si>
    <t>restaurer-la-terre-restaurer-lespoir-le-pastoralisme-comme-solution-climatique-oubliee</t>
  </si>
  <si>
    <t>La durabilité et la résilience de la pêche artisanale en Afrique</t>
  </si>
  <si>
    <t>https://www.africavet.com/article/la-durabilite-et-la-resilience-de-la-peche-artisanale-en-afrique</t>
  </si>
  <si>
    <t>la-durabilite-et-la-resilience-de-la-peche-artisanale-en-afrique</t>
  </si>
  <si>
    <t>Mortalité des poussins : les erreurs des sept premiers jours qui peuvent ruiner un élevage</t>
  </si>
  <si>
    <t>https://www.africavet.com/article/mortalite-des-poussins-les-erreurs-des-sept-premiers-jours-qui-peuvent-ruiner-un-elevage</t>
  </si>
  <si>
    <t>mortalite-des-poussins-les-erreurs-des-sept-premiers-jours-qui-peuvent-ruiner-un-elevage</t>
  </si>
  <si>
    <t>Cameroun : 44 % de la production de viande perdue en deux ans, la génétique brésilienne suffira-t-elle ?</t>
  </si>
  <si>
    <t>https://www.africavet.com/article/cameroun-44-percent-de-la-production-de-viande-perdue-en-deux-ans-la-genetique-bresilienne-suffira-t-elle</t>
  </si>
  <si>
    <t>cameroun-44-percent-de-la-production-de-viande-perdue-en-deux-ans-la-genetique-bresilienne-suffira-t-elle</t>
  </si>
  <si>
    <t>Sevrage des veaux : mieux préparer la séparation pour éviter stress, maladies et pertes de poids</t>
  </si>
  <si>
    <t>https://www.africavet.com/article/sevrage-des-veaux-mieux-preparer-la-separation-pour-eviter-stress-maladies-et-pertes-de-poids</t>
  </si>
  <si>
    <t>sevrage-des-veaux-mieux-preparer-la-separation-pour-eviter-stress-maladies-et-pertes-de-poids</t>
  </si>
  <si>
    <t>Pêche en Afrique : femmes et jeunes, piliers encore invisibles de l’économie bleue</t>
  </si>
  <si>
    <t>https://www.africavet.com/article/peche-en-afrique-femmes-et-jeunes-piliers-encore-invisibles-de-leconomie-bleue</t>
  </si>
  <si>
    <t>peche-en-afrique-femmes-et-jeunes-piliers-encore-invisibles-de-leconomie-bleue</t>
  </si>
  <si>
    <t>Kenya: West Pokot launches cross-border vaccination against PPR and CCPP</t>
  </si>
  <si>
    <t>https://www.africavet.com/article/kenya-west-pokot-launches-cross-border-vaccination-against-ppr-and-ccpp</t>
  </si>
  <si>
    <t>kenya-west-pokot-launches-cross-border-vaccination-against-ppr-and-ccpp</t>
  </si>
  <si>
    <t>Nigeria : un projet d’usine de vaccins vétérinaires à 100 millions de dollars</t>
  </si>
  <si>
    <t>https://www.africavet.com/article/nigeria-un-projet-dusine-de-vaccins-veterinaires-a-100-millions-de-dollars</t>
  </si>
  <si>
    <t>nigeria-un-projet-dusine-de-vaccins-veterinaires-a-100-millions-de-dollars</t>
  </si>
  <si>
    <t>Sécheresse et élevage : le Kenya, l’Ouganda et la Somalie misent sur l’assurance climatique</t>
  </si>
  <si>
    <t>https://www.africavet.com/article/secheresse-et-elevage-le-kenya-louganda-et-la-somalie-misent-sur-lassurance-climatique</t>
  </si>
  <si>
    <t>Somalie; Ouganda</t>
  </si>
  <si>
    <t>Multinational africain</t>
  </si>
  <si>
    <t>secheresse-et-elevage-le-kenya-louganda-et-la-somalie-misent-sur-lassurance-climatique</t>
  </si>
  <si>
    <t>DOSSIER DE LA RÉDACTION | Rage chez les otaries à fourrure du Cap</t>
  </si>
  <si>
    <t>https://www.africavet.com/article/dossier-de-la-redaction-or-rage-chez-les-otaries-a-fourrure-du-cap</t>
  </si>
  <si>
    <t>dossier-de-la-redaction-or-rage-chez-les-otaries-a-fourrure-du-cap</t>
  </si>
  <si>
    <t>Intelligence artificielle et santé en Afrique : la chaise vide des vétérinaires</t>
  </si>
  <si>
    <t>https://www.africavet.com/article/intelligence-artificielle-et-sante-en-afrique-la-chaise-vide-des-veterinaires</t>
  </si>
  <si>
    <t>intelligence-artificielle-et-sante-en-afrique-la-chaise-vide-des-veterinaires</t>
  </si>
  <si>
    <t>Protéger la volaille africaine : leçons de la lutte collaborative de l’Afrique du Sud contre la grippe aviaire</t>
  </si>
  <si>
    <t>https://www.africavet.com/article/proteger-la-volaille-africaine-lecons-de-la-lutte-collaborative-de-lafrique-du-sud-contre-la-grippe-aviaire</t>
  </si>
  <si>
    <t>proteger-la-volaille-africaine-lecons-de-la-lutte-collaborative-de-lafrique-du-sud-contre-la-grippe-aviaire</t>
  </si>
  <si>
    <t>À Dakar, la CEDEAO associe producteurs et éleveurs à la révision de la stratégie régionale de stockage alimentaire</t>
  </si>
  <si>
    <t>https://www.africavet.com/article/a-dakar-la-cedeao-associe-producteurs-et-eleveurs-a-la-revision-de-la-strategie-regionale-de-stockage-alimentaire</t>
  </si>
  <si>
    <t>a-dakar-la-cedeao-associe-producteurs-et-eleveurs-a-la-revision-de-la-strategie-regionale-de-stockage-alimentaire</t>
  </si>
  <si>
    <t>Actions on One Health: Voices from youth</t>
  </si>
  <si>
    <t>https://www.africavet.com/article/actions-on-one-health-voices-from-youth</t>
  </si>
  <si>
    <t>actions-on-one-health-voices-from-youth</t>
  </si>
  <si>
    <t>Éthiopie : au cœur de l’élevage africain, de la santé animale et de la production vaccinale</t>
  </si>
  <si>
    <t>https://www.africavet.com/article/ethiopie-au-coeur-de-lelevage-africain-de-la-sante-animale-et-de-la-production-vaccinale</t>
  </si>
  <si>
    <t>ethiopie-au-coeur-de-lelevage-africain-de-la-sante-animale-et-de-la-production-vaccinale</t>
  </si>
  <si>
    <t>Foot-and-mouth disease in Lesotho: protecting livestock means protecting rural livelihoods</t>
  </si>
  <si>
    <t>https://www.africavet.com/article/foot-and-mouth-disease-in-lesotho-protecting-livestock-means-protecting-rural-livelihoods</t>
  </si>
  <si>
    <t>foot-and-mouth-disease-in-lesotho-protecting-livestock-means-protecting-rural-livelihoods</t>
  </si>
  <si>
    <t>Le dernier patient est guéri d’Ebola en Ouganda</t>
  </si>
  <si>
    <t>https://www.africavet.com/article/le-dernier-patient-est-gueri-debola-en-ouganda</t>
  </si>
  <si>
    <t>Zoonoses</t>
  </si>
  <si>
    <t>le-dernier-patient-est-gueri-debola-en-ouganda</t>
  </si>
  <si>
    <t>L’Afrique en marche vers l'éradication de la peste des petits ruminants : Un rendez-vous historique à Addis-Abeba</t>
  </si>
  <si>
    <t>https://www.africavet.com/article/lafrique-en-marche-vers-leradication-de-la-peste-des-petits-ruminants-un-rendez-vous-historique-a-addis-abeba</t>
  </si>
  <si>
    <t>lafrique-en-marche-vers-leradication-de-la-peste-des-petits-ruminants-un-rendez-vous-historique-a-addis-abeba</t>
  </si>
  <si>
    <t>Grippe aviaire H5N1 : l’Afrique de l’Ouest ne peut plus attendre les premières mortalités</t>
  </si>
  <si>
    <t>https://www.africavet.com/article/grippe-aviaire-h5n1-lafrique-de-louest-ne-peut-plus-attendre-les-premieres-mortalites</t>
  </si>
  <si>
    <t>grippe-aviaire-h5n1-lafrique-de-louest-ne-peut-plus-attendre-les-premieres-mortalites</t>
  </si>
  <si>
    <t>Épidémie d’Ebola en RDC : une crise hors de contrôle</t>
  </si>
  <si>
    <t>https://www.africavet.com/article/epidemie-debola-en-rdc-une-crise-hors-de-controle</t>
  </si>
  <si>
    <t>RDC, Ouganda</t>
  </si>
  <si>
    <t>epidemie-debola-en-rdc-une-crise-hors-de-controle</t>
  </si>
  <si>
    <t>Moyen-Chari lance une campagne de vaccination du bétail</t>
  </si>
  <si>
    <t>https://www.africavet.com/article/moyen-chari-lance-une-campagne-de-vaccination-du-betail</t>
  </si>
  <si>
    <t>moyen-chari-lance-une-campagne-de-vaccination-du-betail</t>
  </si>
  <si>
    <t>South Africa: North West strengthens animal health technicians against brucellosis and bovine tuberculosis</t>
  </si>
  <si>
    <t>https://www.africavet.com/article/south-africa-north-west-strengthens-animal-health-technicians-against-brucellosis-and-bovine-tuberculosis</t>
  </si>
  <si>
    <t>south-africa-north-west-strengthens-animal-health-technicians-against-brucellosis-and-bovine-tuberculosis</t>
  </si>
  <si>
    <t>Foot-and-mouth disease: SADC countries seek a common regional response</t>
  </si>
  <si>
    <t>https://www.africavet.com/article/foot-and-mouth-disease-sadc-countries-seek-a-common-regional-response</t>
  </si>
  <si>
    <t>foot-and-mouth-disease-sadc-countries-seek-a-common-regional-response</t>
  </si>
  <si>
    <t>Kenya’s animal feed industry turns to quality, innovation and sustainability</t>
  </si>
  <si>
    <t>https://www.africavet.com/article/kenyas-animal-feed-industry-turns-to-quality-innovation-and-sustainability</t>
  </si>
  <si>
    <t>Économie et marchés</t>
  </si>
  <si>
    <t>kenyas-animal-feed-industry-turns-to-quality-innovation-and-sustainability</t>
  </si>
  <si>
    <t>Uganda launches first phase of national foot-and-mouth disease vaccination campaign</t>
  </si>
  <si>
    <t>https://www.africavet.com/article/uganda-launches-first-phase-of-national-foot-and-mouth-disease-vaccination-campaign-1784458728616</t>
  </si>
  <si>
    <t>uganda-launches-first-phase-of-national-foot-and-mouth-disease-vaccination-campaign-1784458728616</t>
  </si>
  <si>
    <t>Tchad : la stratégie One Health va au-devant des familles nomades et de leurs troupeaux</t>
  </si>
  <si>
    <t>https://www.africavet.com/article/tchad-la-strategie-one-health-va-au-devant-des-familles-nomades-et-de-leurs-troupeaux</t>
  </si>
  <si>
    <t>tchad-la-strategie-one-health-va-au-devant-des-familles-nomades-et-de-leurs-troupeaux</t>
  </si>
  <si>
    <t>Épidémie suspectée d’anthrax gastro‑intestinal à Sheema, Ouganda</t>
  </si>
  <si>
    <t>https://www.africavet.com/article/epidemie-suspectee-danthrax-gastrointestinal-a-sheema-ouganda</t>
  </si>
  <si>
    <t>epidemie-suspectee-danthrax-gastrointestinal-a-sheema-ouganda</t>
  </si>
  <si>
    <t>Afrique de l’Ouest : la CEDEAO renforce le contrôle des résidus de médicaments vétérinaires</t>
  </si>
  <si>
    <t>https://www.africavet.com/article/afrique-de-louest-la-cedeao-renforce-le-controle-des-residus-de-medicaments-veterinaires</t>
  </si>
  <si>
    <t>afrique-de-louest-la-cedeao-renforce-le-controle-des-residus-de-medicaments-veterinaires</t>
  </si>
  <si>
    <t>Nigeria prepares a new 2026–2030 plan to accelerate PPR eradication</t>
  </si>
  <si>
    <t>https://www.africavet.com/article/nigeria-prepares-a-new-2026-2030-plan-to-accelerate-ppr-eradication</t>
  </si>
  <si>
    <t>Nigéria</t>
  </si>
  <si>
    <t>nigeria-prepares-a-new-2026-2030-plan-to-accelerate-ppr-eradication</t>
  </si>
  <si>
    <t>Du Maroc au Nigeria, la traçabilité numérique veut sécuriser le commerce du bétail en Afrique</t>
  </si>
  <si>
    <t>https://www.africavet.com/article/du-maroc-au-nigeria-la-tracabilite-numerique-veut-securiser-le-commerce-du-betail-en-afrique</t>
  </si>
  <si>
    <t>du-maroc-au-nigeria-la-tracabilite-numerique-veut-securiser-le-commerce-du-betail-en-afrique</t>
  </si>
  <si>
    <t>Bien-être animal : l’EISMV de Dakar et Brooke Afrique de l’Ouest veulent renforcer leur partenariat</t>
  </si>
  <si>
    <t>https://www.africavet.com/article/bien-etre-animal-leismv-de-dakar-et-brooke-afrique-de-louest-veulent-renforcer-leur-partenariat</t>
  </si>
  <si>
    <t>bien-etre-animal-leismv-de-dakar-et-brooke-afrique-de-louest-veulent-renforcer-leur-partenariat</t>
  </si>
  <si>
    <t>ZLECAf : les ministres africains veulent accélérer le commerce du bétail et transformer l’économie pastorale</t>
  </si>
  <si>
    <t>https://www.africavet.com/article/zlecaf-les-ministres-africains-veulent-accelerer-le-commerce-du-betail-et-transformer-leconomie-pastorale</t>
  </si>
  <si>
    <t>Politiques publiques</t>
  </si>
  <si>
    <t>Addis-Abeba</t>
  </si>
  <si>
    <t>zlecaf-les-ministres-africains-veulent-accelerer-le-commerce-du-betail-et-transformer-leconomie-pastorale</t>
  </si>
  <si>
    <t>Climate change pushes South African tick into new regions, raising disease risks by 2065</t>
  </si>
  <si>
    <t>https://www.africavet.com/article/climate-change-pushes-south-african-tick-into-new-regions-raising-disease-risks-by-2065</t>
  </si>
  <si>
    <t>climate-change-pushes-south-african-tick-into-new-regions-raising-disease-risks-by-2065</t>
  </si>
  <si>
    <t>Cameroon launches emergency response to African swine fever outbreak</t>
  </si>
  <si>
    <t>https://www.africavet.com/article/cameroon-launches-emergency-response-to-african-swine-fever-outbreak</t>
  </si>
  <si>
    <t>cameroon-launches-emergency-response-to-african-swine-fever-outbreak</t>
  </si>
  <si>
    <t>Le Nord-Ouest, Afrique du Sud, renforce ses capacités vétérinaires contre les maladies du bétail</t>
  </si>
  <si>
    <t>https://www.africavet.com/article/le-nord-ouest-afrique-du-sud-renforce-ses-capacites-veterinaires-contre-les-maladies-du-betail</t>
  </si>
  <si>
    <t>le-nord-ouest-afrique-du-sud-renforce-ses-capacites-veterinaires-contre-les-maladies-du-betail</t>
  </si>
  <si>
    <t>Fièvre de la Vallée du Rift : l’Afrique de l’Ouest veut mieux anticiper pour protéger les troupeaux et les familles</t>
  </si>
  <si>
    <t>https://www.africavet.com/article/fievre-de-la-vallee-du-rift-lafrique-de-louest-veut-mieux-anticiper-pour-proteger-les-troupeaux-et-les-familles</t>
  </si>
  <si>
    <t>fievre-de-la-vallee-du-rift-lafrique-de-louest-veut-mieux-anticiper-pour-proteger-les-troupeaux-et-les-familles</t>
  </si>
  <si>
    <t>World Aquaculture 2026 invites abstracts, exhibitors and side events for a Tanzania session on antimicrobial resistance, aquatic animal health and One Health</t>
  </si>
  <si>
    <t>https://www.africavet.com/article/world-aquaculture-2026-invites-abstracts-exhibitors-and-side-events-for-a-tanzania</t>
  </si>
  <si>
    <t>Health</t>
  </si>
  <si>
    <t>world-aquaculture-2026-invites-abstracts-exhibitors-and-side-events-for-a-tanzania</t>
  </si>
  <si>
    <t>Maladie à virus Ebola : guide pratique pour les services vétérinaires africains</t>
  </si>
  <si>
    <t>https://www.africavet.com/article/maladie-a-virus-ebola-guide-pratique-pour-les-services-veterinaires-africains</t>
  </si>
  <si>
    <t>maladie-a-virus-ebola-guide-pratique-pour-les-services-veterinaires-africains</t>
  </si>
  <si>
    <t>Peste des petits ruminants : symptômes, transmission, diagnostic, vaccination et prévention</t>
  </si>
  <si>
    <t>https://www.africavet.com/article/peste-des-petits-ruminants-symptomes-diagnostic-vaccination-prevention</t>
  </si>
  <si>
    <t>peste-des-petits-ruminants-symptomes-diagnostic-vaccination-prevention</t>
  </si>
  <si>
    <t>Journée mondiale « Une Seule Santé » : la santé animale au cœur de la protection des populations</t>
  </si>
  <si>
    <t>https://www.africavet.com/article/journee-mondiale-une-seule-sante-la-sante-animale-au-coeur-de-la-protection-des-populations</t>
  </si>
  <si>
    <t>journee-mondiale-une-seule-sante-la-sante-animale-au-coeur-de-la-protection-des-populations</t>
  </si>
  <si>
    <t>Kenya : la génétique porcine au cœur d’un rapprochement avec Topigs Norsvin</t>
  </si>
  <si>
    <t>https://www.africavet.com/article/kenya-la-genetique-porcine-au-coeur-dun-rapprochement-avec-topigs-norsvin</t>
  </si>
  <si>
    <t>kenya-la-genetique-porcine-au-coeur-dun-rapprochement-avec-topigs-norsvin</t>
  </si>
  <si>
    <t>Mali’s Food Security at Risk: When Pastures Dry Up and Rivers Empty</t>
  </si>
  <si>
    <t>https://www.africavet.com/article/malis-food-security-at-risk-when-pastures-dry-up-and-rivers-empty</t>
  </si>
  <si>
    <t>malis-food-security-at-risk-when-pastures-dry-up-and-rivers-empty</t>
  </si>
  <si>
    <t>Kenya : l’usage abusif des médicaments vétérinaires menace les exportations de viande</t>
  </si>
  <si>
    <t>https://www.africavet.com/article/kenya-lusage-abusif-des-medicaments-veterinaires-menace-les-exportations-de-viande</t>
  </si>
  <si>
    <t>kenya-lusage-abusif-des-medicaments-veterinaires-menace-les-exportations-de-viande</t>
  </si>
  <si>
    <t>Aquaculture en Afrique : opportunité alimentaire ou menace écologique ?</t>
  </si>
  <si>
    <t>https://www.africavet.com/article/aquaculture-en-afrique-opportunite-alimentaire-ou-menace-ecologique</t>
  </si>
  <si>
    <t>aquaculture-en-afrique-opportunite-alimentaire-ou-menace-ecologique</t>
  </si>
  <si>
    <t>Passation de service à l’EISMV de Dakar : une nouvelle page s’ouvre pour la formation vétérinaire africaine</t>
  </si>
  <si>
    <t>https://www.africavet.com/article/passation-de-service-a-leismv-de-dakar-une-nouvelle-page-souvre-pour-la-formation-veterinaire-africaine</t>
  </si>
  <si>
    <t>passation-de-service-a-leismv-de-dakar-une-nouvelle-page-souvre-pour-la-formation-veterinaire-africaine</t>
  </si>
  <si>
    <t>Appel à commentaires publics sur un Cadre stratégique pour accélérer l’action quadripartite contre la grippe aviaire</t>
  </si>
  <si>
    <t>https://www.africavet.com/article/appel-a-commentaires-publics-sur-un-cadre-strategique-pour-accelerer-laction-quadripartite-contre-la-grippe-aviaire</t>
  </si>
  <si>
    <t>appel-a-commentaires-publics-sur-un-cadre-strategique-pour-accelerer-laction-quadripartite-contre-la-grippe-aviaire</t>
  </si>
  <si>
    <t>El Niño : la FAO alerte sur les zones agricoles et pastorales les plus exposées à la sécheresse</t>
  </si>
  <si>
    <t>https://www.africavet.com/article/el-nino-la-fao-alerte-sur-les-zones-agricoles-et-pastorales-les-plus-exposees-a-la-secheresse</t>
  </si>
  <si>
    <t>el-nino-la-fao-alerte-sur-les-zones-agricoles-et-pastorales-les-plus-exposees-a-la-secheresse</t>
  </si>
  <si>
    <t>Santé de la faune sauvage : pourquoi notre survie dépend de celle des écosystèmes</t>
  </si>
  <si>
    <t>https://www.africavet.com/article/sante-de-la-faune-sauvage-pourquoi-notre-survie-depend-de-celle-des-ecosystemes</t>
  </si>
  <si>
    <t>sante-de-la-faune-sauvage-pourquoi-notre-survie-depend-de-celle-des-ecosystemes</t>
  </si>
  <si>
    <t>La fin du risque viral : Une nouvelle ère pour la santé des chevaux en Afrique</t>
  </si>
  <si>
    <t>https://www.africavet.com/article/la-fin-du-risque-viral-une-nouvelle-ere-pour-la-sante-des-chevaux-en-afrique</t>
  </si>
  <si>
    <t>la-fin-du-risque-viral-une-nouvelle-ere-pour-la-sante-des-chevaux-en-afrique</t>
  </si>
  <si>
    <t>Ebola Bundibugyo : Africa CDC chiffre la riposte à 1,4 milliard de dollars</t>
  </si>
  <si>
    <t>https://www.africavet.com/article/ebola-bundibugyo-africa-cdc-chiffre-la-riposte</t>
  </si>
  <si>
    <t>ebola-bundibugyo-africa-cdc-chiffre-la-riposte</t>
  </si>
  <si>
    <t>Égypte : l’énergie solaire aide les pisciculteurs et les vendeuses de poisson à réduire leurs coûts et leurs pertes</t>
  </si>
  <si>
    <t>https://www.africavet.com/article/egypte-lenergie-solaire-aide-les-pisciculteurs-et-les-vendeuses-de-poisson</t>
  </si>
  <si>
    <t>egypte-lenergie-solaire-aide-les-pisciculteurs-et-les-vendeuses-de-poisson</t>
  </si>
  <si>
    <t>WOAH Launches Wildlife Health Strategy 2026–2030 to Strengthen Prevention, Surveillance and Rapid Response</t>
  </si>
  <si>
    <t>https://www.africavet.com/article/woah-launches-wildlife-health-strategy-2026-2030-to-strengthen-prevention-surveillance-and-rapid-response</t>
  </si>
  <si>
    <t>woah-launches-wildlife-health-strategy-2026-2030-to-strengthen-prevention-surveillance-and-rapid-response</t>
  </si>
  <si>
    <t>Togo : un plan national validé pour accélérer l’élimination des décès humains dus à la rage d’ici 2030</t>
  </si>
  <si>
    <t>https://www.africavet.com/article/togo-un-plan-national-valide-pour-accelerer-lelimination-des-deces-humains-dus-a-la-rage-dici-2030</t>
  </si>
  <si>
    <t>togo-un-plan-national-valide-pour-accelerer-lelimination-des-deces-humains-dus-a-la-rage-dici-2030</t>
  </si>
  <si>
    <t>Call for Applications: GENVET WAAVP-AN Scholarship Program 2026. Training in Veterinary Parasitology: Genomics &amp; Epidemiology</t>
  </si>
  <si>
    <t>https://www.africavet.com/article/call-for-applications-genvet-waavp-an-scholarship-program-2026-training-in-veterinary-parasitology-genomics-epidemiology</t>
  </si>
  <si>
    <t>call-for-applications-genvet-waavp-an-scholarship-program-2026-training-in-veterinary-parasitology-genomics-epidemiology</t>
  </si>
  <si>
    <t>African Farmers Urgent Call to Eradicate Peste des Petits Ruminants by 2030</t>
  </si>
  <si>
    <t>https://www.africavet.com/article/african-farmers-urgent-call-to-eradicate-peste-des-petits-ruminants-by-2030</t>
  </si>
  <si>
    <t>african-farmers-urgent-call-to-eradicate-peste-des-petits-ruminants-by-2030</t>
  </si>
  <si>
    <t>Stratégie avicole en Guinée : un modèle pour l’Afrique</t>
  </si>
  <si>
    <t>https://www.africavet.com/article/strategie-avicole-en-guinee-un-modele-pour-lafrique</t>
  </si>
  <si>
    <t>strategie-avicole-en-guinee-un-modele-pour-lafrique</t>
  </si>
  <si>
    <t>Tanzania: TSh 216 Billion Plan to Strengthen Animal Health</t>
  </si>
  <si>
    <t>https://www.africavet.com/article/tanzania-tsh-216-billion-plan-to-strengthen-animal-health</t>
  </si>
  <si>
    <t>tanzania-tsh-216-billion-plan-to-strengthen-animal-health</t>
  </si>
  <si>
    <t>Zimbabwe: BelAgroGen plans USD 50 million veterinary vaccine production project</t>
  </si>
  <si>
    <t>https://www.africavet.com/article/belagrogen-plans-usd-50-million-veterinary-vaccine-production-project</t>
  </si>
  <si>
    <t>belagrogen-plans-usd-50-million-veterinary-vaccine-production-project</t>
  </si>
  <si>
    <t>FAO Call for Applications: One Health Innovations in Agrifood Systems</t>
  </si>
  <si>
    <t>https://www.africavet.com/article/fao-call-for-applications-one-health-innovations-in-agrifood-systems</t>
  </si>
  <si>
    <t>fao-call-for-applications-one-health-innovations-in-agrifood-systems</t>
  </si>
  <si>
    <t>African Swine Fever: WOAH Issues New Guidelines on Vaccine Use</t>
  </si>
  <si>
    <t>https://www.africavet.com/article/african-swine-fever-woah-issues-new-guidelines-on-vaccine-use</t>
  </si>
  <si>
    <t>african-swine-fever-woah-issues-new-guidelines-on-vaccine-use</t>
  </si>
  <si>
    <t>Madagascar consolide sa préparation aux urgences sanitaires avec l’appui de l’OMS</t>
  </si>
  <si>
    <t>https://www.africavet.com/article/preparation-aux-urgences-sanitaires-avec-lappui-de-loms</t>
  </si>
  <si>
    <t>preparation-aux-urgences-sanitaires-avec-lappui-de-loms</t>
  </si>
  <si>
    <t>Australie : première détection du virus H5N1 hautement pathogène chez un oiseau sauvage</t>
  </si>
  <si>
    <t>https://www.africavet.com/article/australie-premiere-detection-du-virus-h5n1-hautement-pathogene-chez-un-oiseau-sauvage</t>
  </si>
  <si>
    <t>Hors Afrique / international</t>
  </si>
  <si>
    <t>Pays hors UA dans le titre</t>
  </si>
  <si>
    <t>australie-premiere-detection-du-virus-h5n1-hautement-pathogene-chez-un-oiseau-sauvage</t>
  </si>
  <si>
    <t>Call for Experts to Join WOAH’s Specialist Commissions </t>
  </si>
  <si>
    <t>https://www.africavet.com/article/call-for-experts-to-join-woahs-specialist-commissions</t>
  </si>
  <si>
    <t>call-for-experts-to-join-woahs-specialist-commissions</t>
  </si>
  <si>
    <t>Élevage et pêche : l’Afrique centrale trace sa voie vers 2035</t>
  </si>
  <si>
    <t>https://www.africavet.com/article/elevage-et-peche-lafrique-centrale-trace-sa-voie-vers-2035</t>
  </si>
  <si>
    <t>elevage-et-peche-lafrique-centrale-trace-sa-voie-vers-2035</t>
  </si>
  <si>
    <t>Beyond the Vaccine: Why Biosafety is Africa’s True Livestock Wealth Shield</t>
  </si>
  <si>
    <t>https://www.africavet.com/article/beyond-the-vaccine-why-biosafety-is-africas-true-livestock-wealth-shield</t>
  </si>
  <si>
    <t>beyond-the-vaccine-why-biosafety-is-africas-true-livestock-wealth-shield</t>
  </si>
  <si>
    <t>Call : Cornell University Opens Applications for the K. Lisa Yang Wildlife Health Fellows Program 2026–2027</t>
  </si>
  <si>
    <t>https://www.africavet.com/article/call-cornell-university-opens-applications-for-the-k-lisa-yang-wildlife-health-fellows-program-2026-2027</t>
  </si>
  <si>
    <t>call-cornell-university-opens-applications-for-the-k-lisa-yang-wildlife-health-fellows-program-2026-2027</t>
  </si>
  <si>
    <t>Avian Influenza Resurges: Africa Faces Crisis Amid Global H5N1 Spread</t>
  </si>
  <si>
    <t>https://www.africavet.com/article/avian-influenza-resurges-africa-faces-crisis-amid-global-h5n1-spread</t>
  </si>
  <si>
    <t>avian-influenza-resurges-africa-faces-crisis-amid-global-h5n1-spread</t>
  </si>
  <si>
    <t>Économie bleue en lumière : La souveraineté africaine face à la transparence maritime</t>
  </si>
  <si>
    <t>https://www.africavet.com/article/economie-bleue-en-lumiere-la-souverainete-africaine-face-a-la-transparence-maritime</t>
  </si>
  <si>
    <t>economie-bleue-en-lumiere-la-souverainete-africaine-face-a-la-transparence-maritime</t>
  </si>
  <si>
    <t>Beyond the Herd: Africa’s Food Sovereignty Hinges on Industrial Integration</t>
  </si>
  <si>
    <t>https://www.africavet.com/article/beyond-the-herd-africas-food-sovereignty-hinges-on-industrial-integration</t>
  </si>
  <si>
    <t>beyond-the-herd-africas-food-sovereignty-hinges-on-industrial-integration</t>
  </si>
  <si>
    <t>Leveraging Indigenous Genetics for a Climate-Resilient Future</t>
  </si>
  <si>
    <t>https://www.africavet.com/article/leveraging-indigenous-genetics-for-a-climate-resilient-future</t>
  </si>
  <si>
    <t>leveraging-indigenous-genetics-for-a-climate-resilient-future</t>
  </si>
  <si>
    <t>Aquaculture, Nouveau Pari Gagnant</t>
  </si>
  <si>
    <t>https://www.africavet.com/article/aquaculture-nouveau-pari-gagnant</t>
  </si>
  <si>
    <t>aquaculture-nouveau-pari-gagnant</t>
  </si>
  <si>
    <t>RDC : un mois après la déclaration de l’épidémie d’Ebola, MSF alerte sur des failles critiques dans la riposte</t>
  </si>
  <si>
    <t>https://www.africavet.com/article/rdc-ebola-msf-failles-riposte-ituri-one-health</t>
  </si>
  <si>
    <t>rdc-ebola-msf-failles-riposte-ituri-one-health</t>
  </si>
  <si>
    <t>Mid-June 2026 Ebola Update: The Fragile Line Between Border Politics and One Health Realities</t>
  </si>
  <si>
    <t>https://www.africavet.com/article/mid-june-2026-ebola-update-the-fragile-line-between-border-politics-and-one-health-realities</t>
  </si>
  <si>
    <t>mid-june-2026-ebola-update-the-fragile-line-between-border-politics-and-one-health-realities</t>
  </si>
  <si>
    <t>La Peste Porcine Africaine en Hongrie : Une Menace Economique qui Interpelle l’Afrique</t>
  </si>
  <si>
    <t>https://www.africavet.com/article/la-peste-porcine-africaine-en-hongrie-une-menace-economique-qui-interpelle-lafrique</t>
  </si>
  <si>
    <t>la-peste-porcine-africaine-en-hongrie-une-menace-economique-qui-interpelle-lafrique</t>
  </si>
  <si>
    <t>WOAH launches call for applications for the PVS Pathway Expert Training Programme</t>
  </si>
  <si>
    <t>https://www.africavet.com/article/woah-launches-call-for-applications-for-the-pvs-pathway-expert-training-programme</t>
  </si>
  <si>
    <t>woah-launches-call-for-applications-for-the-pvs-pathway-expert-training-programme</t>
  </si>
  <si>
    <t>WOAH Statement on the Ebola Virus Disease Outbreak in the Democratic Republic of the Congo and Uganda</t>
  </si>
  <si>
    <t>https://www.africavet.com/article/woah-statement-on-the-ebola-virus-disease-outbreak-in-the-democratic-republic-of-the-congo-and-uganda</t>
  </si>
  <si>
    <t>woah-statement-on-the-ebola-virus-disease-outbreak-in-the-democratic-republic-of-the-congo-and-uganda</t>
  </si>
  <si>
    <t>Rethinking Fisheries Governance in Africa</t>
  </si>
  <si>
    <t>https://www.africavet.com/article/rethinking-fisheries-governance-in-africa</t>
  </si>
  <si>
    <t>rethinking-fisheries-governance-in-africa</t>
  </si>
  <si>
    <t>Des filets locaux aux mers continentales : repenser la gouvernance des pêches en Afrique</t>
  </si>
  <si>
    <t>https://www.africavet.com/article/des-filets-locaux-aux-mers-continentales-repenser-la-gouvernance-des-peches-en-afrique</t>
  </si>
  <si>
    <t>des-filets-locaux-aux-mers-continentales-repenser-la-gouvernance-des-peches-en-afrique</t>
  </si>
  <si>
    <t>Un laboratoire au Kenya qui change la donne pour la santé publique</t>
  </si>
  <si>
    <t>https://www.africavet.com/article/un-laboratoire-au-kenya-qui-change-la-donne-pour-la-sante-publique-1781044571561</t>
  </si>
  <si>
    <t>un-laboratoire-au-kenya-qui-change-la-donne-pour-la-sante-publique-1781044571561</t>
  </si>
  <si>
    <t>Innovation au Sénégal et vigilance en Guinée : deux forces complémentaires contre les zoonoses</t>
  </si>
  <si>
    <t>https://www.africavet.com/article/innovation-au-senegal-et-vigilance-en-guinee-deux-forces-complementaires-contre-les-zoonoses</t>
  </si>
  <si>
    <t>innovation-au-senegal-et-vigilance-en-guinee-deux-forces-complementaires-contre-les-zoonoses</t>
  </si>
  <si>
    <t>La surveillance sanitaire de la faune sauvage s'impose comme un impératif « Une Seule Santé »</t>
  </si>
  <si>
    <t>https://www.africavet.com/article/la-surveillance-sanitaire-de-la-faune-sauvage-simpose-comme-un-imperatif-une-seule-sante</t>
  </si>
  <si>
    <t>la-surveillance-sanitaire-de-la-faune-sauvage-simpose-comme-un-imperatif-une-seule-sante</t>
  </si>
  <si>
    <t>Dissiper la désinformation pour protéger les communautés et les animaux domestiques</t>
  </si>
  <si>
    <t>https://www.africavet.com/article/dissiper-la-desinformation-pour-proteger-les-communautes-et-les-animaux-domestiques</t>
  </si>
  <si>
    <t>dissiper-la-desinformation-pour-proteger-les-communautes-et-les-animaux-domestiques</t>
  </si>
  <si>
    <t>L’essor de l’aquaculture au Cameroun : le SIAC Acte 2 s’ouvre à Yaoundé</t>
  </si>
  <si>
    <t>https://www.africavet.com/article/lessor-de-laquaculture-au-cameroun-le-siac-acte-2-souvre-a-yaounde</t>
  </si>
  <si>
    <t>lessor-de-laquaculture-au-cameroun-le-siac-acte-2-souvre-a-yaounde</t>
  </si>
  <si>
    <t>Le Point de Rupture de l’Économie Bleue : Durabilité vs. Moyens de Subsistance en Afrique de l’Ouest</t>
  </si>
  <si>
    <t>https://www.africavet.com/article/le-point-de-rupture-de-leconomie-bleue-durabilite-vs-moyens-de-subsistance-en-afrique-de-louest</t>
  </si>
  <si>
    <t>le-point-de-rupture-de-leconomie-bleue-durabilite-vs-moyens-de-subsistance-en-afrique-de-louest</t>
  </si>
  <si>
    <t>Afrique : la génomique bovine ouvre une nouvelle voie pour une santé animale plus résiliente</t>
  </si>
  <si>
    <t>https://www.africavet.com/article/afrique-la-genomique-bovine-ouvre-une-nouvelle-voie-pour-une-sante-animale-plus-resiliente</t>
  </si>
  <si>
    <t>afrique-la-genomique-bovine-ouvre-une-nouvelle-voie-pour-une-sante-animale-plus-resiliente</t>
  </si>
  <si>
    <t>The Digital Leap: Transforming Africa’s One Health Vision into Local Realities</t>
  </si>
  <si>
    <t>https://www.africavet.com/article/the-digital-leap-transforming-africas-one-health-vision-into-local-realities</t>
  </si>
  <si>
    <t>the-digital-leap-transforming-africas-one-health-vision-into-local-realities</t>
  </si>
  <si>
    <t>What a Local Swine Fever Outbreak Teaches Us About African Resilience</t>
  </si>
  <si>
    <t>https://www.africavet.com/article/what-a-local-swine-fever-outbreak-teaches-us-about-african-resilience</t>
  </si>
  <si>
    <t>what-a-local-swine-fever-outbreak-teaches-us-about-african-resilience</t>
  </si>
  <si>
    <t>One Health at the Frontline: Bundibugyo Ebola and Hidden Hantavirus Risks</t>
  </si>
  <si>
    <t>https://www.africavet.com/article/one-health-at-the-frontline-bundibugyo-ebola-and-hidden-hantavirus-risks</t>
  </si>
  <si>
    <t>Côte d’Ivoire; RDC; Ouganda</t>
  </si>
  <si>
    <t>one-health-at-the-frontline-bundibugyo-ebola-and-hidden-hantavirus-risks</t>
  </si>
  <si>
    <t>Egypt Raises Veterinary Readiness Ahead of Eid El-Adha to Safeguard Livestock and Food Safety</t>
  </si>
  <si>
    <t>https://www.africavet.com/article/egypt-raises-veterinary-readiness-ahead-of-eid-el-adha-to-safeguard-livestock-and-food-safety</t>
  </si>
  <si>
    <t>egypt-raises-veterinary-readiness-ahead-of-eid-el-adha-to-safeguard-livestock-and-food-safety</t>
  </si>
  <si>
    <t>Egypt: Over 5.8 Million Vaccine Doses Administered to Protect Livestock Against FMD and Rift Valley Fever</t>
  </si>
  <si>
    <t>https://www.africavet.com/article/egypt-over-5-8-million-vaccine-doses-administered-to-protect-livestock-against-fmd-and-rift-valley-fever</t>
  </si>
  <si>
    <t>egypt-over-5-8-million-vaccine-doses-administered-to-protect-livestock-against-fmd-and-rift-valley-fever</t>
  </si>
  <si>
    <t>Abeilles et pollinisateurs : un enjeu vital pour la sécurité alimentaire en Afrique</t>
  </si>
  <si>
    <t>https://www.africavet.com/article/abeilles-et-pollinisateurs-un-enjeu-vital-pour-la-securite-alimentaire-en-afrique</t>
  </si>
  <si>
    <t>abeilles-et-pollinisateurs-un-enjeu-vital-pour-la-securite-alimentaire-en-afrique</t>
  </si>
  <si>
    <t>Maroc : reconstitution du cheptel et contrôle sanitaire au cœur des préparatifs de l’Aïd Al-Adha 2026</t>
  </si>
  <si>
    <t>https://www.africavet.com/article/maroc-reconstitution-du-cheptel-et-controle-sanitaire-au-coeur-des-preparatifs</t>
  </si>
  <si>
    <t>maroc-reconstitution-du-cheptel-et-controle-sanitaire-au-coeur-des-preparatifs</t>
  </si>
  <si>
    <t>South Africa–Botswana: A Joint Action Plan to Strengthen the Fight Against Foot-and-Mouth Disease</t>
  </si>
  <si>
    <t>https://www.africavet.com/article/south-africa-botswana-a-joint-action-plan-to-strengthen-the-fight-against-fmd</t>
  </si>
  <si>
    <t>south-africa-botswana-a-joint-action-plan-to-strengthen-the-fight-against-fmd</t>
  </si>
  <si>
    <t>L’élevage africain au cœur de l'avenir : pourquoi la santé animale est un investissement stratégique</t>
  </si>
  <si>
    <t>https://www.africavet.com/article/lelevage-africain-au-coeur-de-lavenir-pourquoi-la-sante-animale-est-un-investissement-strategique</t>
  </si>
  <si>
    <t>lelevage-africain-au-coeur-de-lavenir-pourquoi-la-sante-animale-est-un-investissement-strategique</t>
  </si>
  <si>
    <t>Déclaration de l’OMSA sur le hantavirus </t>
  </si>
  <si>
    <t>https://www.africavet.com/article/declaration-de-lomsa-sur-le-hantavirus</t>
  </si>
  <si>
    <t>declaration-de-lomsa-sur-le-hantavirus</t>
  </si>
  <si>
    <t>Santé animale : quand le monde investit dans la défense, mais sous-finance sa première ligne contre les pandémies</t>
  </si>
  <si>
    <t>https://www.africavet.com/article/sante-animale-quand-le-monde-investit-dans-la-defense-mais-sous-finance-sa-premiere-ligne-contre-les-pandemies</t>
  </si>
  <si>
    <t>sante-animale-quand-le-monde-investit-dans-la-defense-mais-sous-finance-sa-premiere-ligne-contre-les-pandemies</t>
  </si>
  <si>
    <t>The 0.6% Gamble: Why Neglecting Animal Health is a Risk We Can’t Afford</t>
  </si>
  <si>
    <t>https://www.africavet.com/article/the-0-6-gamble-why-neglecting-animal-health-is-a-risk-we-cant-afford</t>
  </si>
  <si>
    <t>the-0-6-gamble-why-neglecting-animal-health-is-a-risk-we-cant-afford</t>
  </si>
  <si>
    <t>Sénégal : à Dakar, Afrique One-REACH forme ses boursiers pour renforcer l’approche « Une seule santé »</t>
  </si>
  <si>
    <t>https://www.africavet.com/article/senegal-a-dakar-afrique-one-reach-forme-ses-boursiers-pour-renforcer-lapproche-une-seule-sante</t>
  </si>
  <si>
    <t>senegal-a-dakar-afrique-one-reach-forme-ses-boursiers-pour-renforcer-lapproche-une-seule-sante</t>
  </si>
  <si>
    <t>West Africa Advances Inclusive Fisheries Governance with Establishment of Small-Scale Fisheries Technical Working Group</t>
  </si>
  <si>
    <t>https://www.africavet.com/article/west-africa-advances-inclusive-fisheries-governance-with-establishment-of-small-scale-fisheries-technical-working-group</t>
  </si>
  <si>
    <t>west-africa-advances-inclusive-fisheries-governance-with-establishment-of-small-scale-fisheries-technical-working-group</t>
  </si>
  <si>
    <t>Les Fermiers Kényans Réclament un Blocus sur le Bœuf Sud-Africain</t>
  </si>
  <si>
    <t>https://www.africavet.com/article/les-fermiers-kenyans-reclament-un-blocus-sur-le-boeuf-sud-africain</t>
  </si>
  <si>
    <t>les-fermiers-kenyans-reclament-un-blocus-sur-le-boeuf-sud-africain</t>
  </si>
  <si>
    <t>Africa Forward Summit 2026: Investing in animal resources to sustainably transform Africa</t>
  </si>
  <si>
    <t>https://www.africavet.com/article/africa-forward-summit-2026-investing-in-animal-resources-to-sustainably-transform-africa</t>
  </si>
  <si>
    <t>africa-forward-summit-2026-investing-in-animal-resources-to-sustainably-transform-africa</t>
  </si>
  <si>
    <t>Côte d’Ivoire : plus de 20 000 animaux ciblés par une campagne de vaccination contre la rage</t>
  </si>
  <si>
    <t>https://www.africavet.com/article/cote-divoire-plus-de-20-000-animaux-cibles-par-une-campagne-de-vaccination-contre-la-rage</t>
  </si>
  <si>
    <t>cote-divoire-plus-de-20-000-animaux-cibles-par-une-campagne-de-vaccination-contre-la-rage</t>
  </si>
  <si>
    <t>International: China’s first detection of FMD SAT1 raises an alert for animal disease surveillance</t>
  </si>
  <si>
    <t>https://www.africavet.com/article/international-chinas-first-detection-of-fmd-sat1-raises-an-alert-for-animal-disease-surveillance</t>
  </si>
  <si>
    <t>international-chinas-first-detection-of-fmd-sat1-raises-an-alert-for-animal-disease-surveillance</t>
  </si>
  <si>
    <t>International: Vietnam Launches 2026–2030 Plan Against Avian Influenza, Foot-and-Mouth Disease and African Swine Fever</t>
  </si>
  <si>
    <t>https://www.africavet.com/article/international-vietnam-launches-2026-2030-plan-against-avian-influenza-foot-and-mouth-disease-and-african-swine-fever</t>
  </si>
  <si>
    <t>international-vietnam-launches-2026-2030-plan-against-avian-influenza-foot-and-mouth-disease-and-african-swine-fever</t>
  </si>
  <si>
    <t>Burkina Faso : à Ziga, plus de 56 tonnes de poissons capturées dans un contexte de défis économiques, alimentaires et sécuritaires</t>
  </si>
  <si>
    <t>https://www.africavet.com/article/burkina-faso-a-ziga-plus-de-56-tonnes-de-poissons-capturees-dans-un-contexte-de-defis-economiques-alimentaires-et-securitaires</t>
  </si>
  <si>
    <t>burkina-faso-a-ziga-plus-de-56-tonnes-de-poissons-capturees-dans-un-contexte-de-defis-economiques-alimentaires-et-securitaires</t>
  </si>
  <si>
    <t>Cameroun : un centre de semence bovine à Ngaoundéré pour moderniser l’élevage</t>
  </si>
  <si>
    <t>https://www.africavet.com/article/cameroun-un-centre-de-semence-bovine-a-ngaoundere-pour-moderniser-lelevage</t>
  </si>
  <si>
    <t>cameroun-un-centre-de-semence-bovine-a-ngaoundere-pour-moderniser-lelevage</t>
  </si>
  <si>
    <t>Cameroun : 5,68 milliards FCFA pour trois fermes porcines à Kouden, Bali et Kaélé</t>
  </si>
  <si>
    <t>https://www.africavet.com/article/cameroun-568-milliards-fcfa-pour-trois-fermes-porcines-a-kouden-bali-et-kaele</t>
  </si>
  <si>
    <t>cameroun-568-milliards-fcfa-pour-trois-fermes-porcines-a-kouden-bali-et-kaele</t>
  </si>
  <si>
    <t>Cameroun : plus de 7 milliards FCFA pour deux bateaux de pêche et la modernisation du débarcadère de Youpwe</t>
  </si>
  <si>
    <t>https://www.africavet.com/article/cameroun-plus-de-7-milliards-fcfa-pour-deux-bateaux-de-peche-et-la-modernisation-du-debarcadere-de-youpwe</t>
  </si>
  <si>
    <t>cameroun-plus-de-7-milliards-fcfa-pour-deux-bateaux-de-peche-et-la-modernisation-du-debarcadere-de-youpwe</t>
  </si>
  <si>
    <t>Cameroun : un abattoir industriel à Maroua pour moderniser la filière bétail-viande</t>
  </si>
  <si>
    <t>https://www.africavet.com/article/cameroun-un-abattoir-industriel-a-maroua-pour-moderniser-la-filiere-betail-viande</t>
  </si>
  <si>
    <t>cameroun-un-abattoir-industriel-a-maroua-pour-moderniser-la-filiere-betail-viande</t>
  </si>
  <si>
    <t>Mexique : l’intelligence sanitaire et la traçabilité au service de la protection du bétail</t>
  </si>
  <si>
    <t>https://www.africavet.com/article/mexique-lintelligence-sanitaire-et-la-tracabilite-au-service-de-la-protection-du-betail</t>
  </si>
  <si>
    <t>mexique-lintelligence-sanitaire-et-la-tracabilite-au-service-de-la-protection-du-betail</t>
  </si>
  <si>
    <t>Europe : la Commission européenne clarifie la protection des oiseaux sauvages</t>
  </si>
  <si>
    <t>https://www.africavet.com/article/europe-la-commission-europeenne-clarifie-la-protection-des-oiseaux-sauvages</t>
  </si>
  <si>
    <t>europe-la-commission-europeenne-clarifie-la-protection-des-oiseaux-sauvages</t>
  </si>
  <si>
    <t>International Donkey Day: Dr Hiver BOUSSINI Calls for better protection of a silent Pillar of Rural Communities</t>
  </si>
  <si>
    <t>https://www.africavet.com/article/international-donkey-day-dr-hiver-boussini-calls-for-better-protection-of-a-silent-pillar-of-rural-communities</t>
  </si>
  <si>
    <t>international-donkey-day-dr-hiver-boussini-calls-for-better-protection-of-a-silent-pillar-of-rural-communities</t>
  </si>
  <si>
    <t>Journée Internationale de l’Âne : Dr Hiver BOUSSINI appelle à mieux protéger un pilier silencieux des communautés rurales</t>
  </si>
  <si>
    <t>https://www.africavet.com/article/journee-internationale-de-lane-dr-hiver-boussini-appelle-a-mieux-proteger-un-pilier-silencieux-des-communautes-rurales</t>
  </si>
  <si>
    <t>journee-internationale-de-lane-dr-hiver-boussini-appelle-a-mieux-proteger-un-pilier-silencieux-des-communautes-rurales</t>
  </si>
  <si>
    <t>Maroc : la vigilance sanitaire encadre la reprise des importations avicoles du Portugal</t>
  </si>
  <si>
    <t>https://www.africavet.com/article/maroc-la-vigilance-sanitaire-encadre-la-reprise-des-importations-avicoles-du-portugal</t>
  </si>
  <si>
    <t>maroc-la-vigilance-sanitaire-encadre-la-reprise-des-importations-avicoles-du-portugal</t>
  </si>
  <si>
    <t>Burkina Faso : des frontières renforcées contre la grippe aviaire</t>
  </si>
  <si>
    <t>https://www.africavet.com/article/burkina-faso-des-frontieres-renforcees-contre-la-grippe-aviaire</t>
  </si>
  <si>
    <t>burkina-faso-des-frontieres-renforcees-contre-la-grippe-aviaire</t>
  </si>
  <si>
    <t>PPR: Eastern Africa and the Great Lakes Region Step Up Cross-Border Action to Stop the Disease</t>
  </si>
  <si>
    <t>https://www.africavet.com/article/ppr-eastern-africa-and-the-great-lakes-region-step-up-cross-border-action-to-stop-the-disease</t>
  </si>
  <si>
    <t>ppr-eastern-africa-and-the-great-lakes-region-step-up-cross-border-action-to-stop-the-disease</t>
  </si>
  <si>
    <t>Blantyre se mobilise pour vaccinez contre la rage</t>
  </si>
  <si>
    <t>https://www.africavet.com/article/blantyre-se-mobilise-pour-vaccinez-contre-la-rage</t>
  </si>
  <si>
    <t>blantyre-se-mobilise-pour-vaccinez-contre-la-rage</t>
  </si>
  <si>
    <t>Animal Vaccination: Preventing crises, protecting farmers and accelerating PPR Eradication</t>
  </si>
  <si>
    <t>https://www.africavet.com/article/animal-vaccination-preventing-crises-protecting-farmers-and-accelerating-ppr-eradication</t>
  </si>
  <si>
    <t>animal-vaccination-preventing-crises-protecting-farmers-and-accelerating-ppr-eradication</t>
  </si>
  <si>
    <t>Vaccination animale : prévenir les crises pour protéger les éleveurs et accélérer l’éradication de la PPR</t>
  </si>
  <si>
    <t>https://www.africavet.com/article/vaccination-animale-prevenir-les-crises-pour-proteger-les-eleveurs-et-accelerer-leradication-de-la-ppr</t>
  </si>
  <si>
    <t>vaccination-animale-prevenir-les-crises-pour-proteger-les-eleveurs-et-accelerer-leradication-de-la-ppr</t>
  </si>
  <si>
    <t>African Livestock: Behind the USD 90 Billion opportunity, families are waiting for better support</t>
  </si>
  <si>
    <t>https://www.africavet.com/article/african-livestock-behind-the-usd-90-billion-opportunity-families-are-waiting-for-better-support</t>
  </si>
  <si>
    <t>african-livestock-behind-the-usd-90-billion-opportunity-families-are-waiting-for-better-support</t>
  </si>
  <si>
    <t>Food safety alert in Senegal over the ‘shrimp virus’ that causes blindness</t>
  </si>
  <si>
    <t>https://www.africavet.com/article/food-safety-alert-in-senegal-over-the-shrimp-virus-that-causes-blindness</t>
  </si>
  <si>
    <t>food-safety-alert-in-senegal-over-the-shrimp-virus-that-causes-blindness</t>
  </si>
  <si>
    <t>Cameroon: The government assures about the success of the cencus in crisis-hit areas</t>
  </si>
  <si>
    <t>https://www.africavet.com/article/cameroon-the-government-assures-about-the-success-of-the-cencus-in-crisis-hit-areas</t>
  </si>
  <si>
    <t>cameroon-the-government-assures-about-the-success-of-the-cencus-in-crisis-hit-areas</t>
  </si>
  <si>
    <t>Mozambique Launches 2026 Animal Vaccination Campaign to Protect Livestock and Rural Families</t>
  </si>
  <si>
    <t>https://www.africavet.com/article/mozambique-launches-2026-animal-vaccination-campaign-to-protect-livestock-and-rural-families</t>
  </si>
  <si>
    <t>mozambique-launches-2026-animal-vaccination-campaign-to-protect-livestock-and-rural-families</t>
  </si>
  <si>
    <t>A New Pastoral Well in Batha to Secure Herders' Access to Water in Abou-Agarib</t>
  </si>
  <si>
    <t>https://www.africavet.com/article/a-new-pastoral-well-in-batha-to-secure-herders-access-to-water-in-abou-agarib</t>
  </si>
  <si>
    <t>a-new-pastoral-well-in-batha-to-secure-herders-access-to-water-in-abou-agarib</t>
  </si>
  <si>
    <t>Two Sides of the Same Coin: The Crisis of Trust and the Celebration of Excellence in African Livestock</t>
  </si>
  <si>
    <t>https://www.africavet.com/article/two-sides-of-the-same-coin-the-crisis-of-trust-and-the-celebration-of-excellence-in-african-livestock</t>
  </si>
  <si>
    <t>two-sides-of-the-same-coin-the-crisis-of-trust-and-the-celebration-of-excellence-in-african-livestock</t>
  </si>
  <si>
    <t>Burkina Faso : Faso Guulgo mise sur l’aliment local pour rendre la pisciculture plus rentable</t>
  </si>
  <si>
    <t>https://www.africavet.com/article/burkina-faso-faso-guulgo-mise-sur-laliment-local-pour-rendre-la-pisciculture-plus-rentable</t>
  </si>
  <si>
    <t>burkina-faso-faso-guulgo-mise-sur-laliment-local-pour-rendre-la-pisciculture-plus-rentable</t>
  </si>
  <si>
    <t>FIARA 2024 is Seeding Senegal’s Future</t>
  </si>
  <si>
    <t>https://www.africavet.com/article/fiara-2024-is-seeding-senegals-future</t>
  </si>
  <si>
    <t>fiara-2024-is-seeding-senegals-future</t>
  </si>
  <si>
    <t>Tracer pour protéger : L’avenir de l’élevage en Afrique de l’Ouest</t>
  </si>
  <si>
    <t>https://www.africavet.com/article/tracer-pour-proteger-lavenir-de-lelevage-en-afrique-de-louest</t>
  </si>
  <si>
    <t>tracer-pour-proteger-lavenir-de-lelevage-en-afrique-de-louest</t>
  </si>
  <si>
    <t>Du village au marché mondial : Le voyage incroyable du poulet Herero</t>
  </si>
  <si>
    <t>https://www.africavet.com/article/du-village-au-marche-mondial-le-voyage-incroyable-du-poulet-herero</t>
  </si>
  <si>
    <t>du-village-au-marche-mondial-le-voyage-incroyable-du-poulet-herero</t>
  </si>
  <si>
    <t>La Chèvre comme Moteur de la Transformation Agricole en Afrique</t>
  </si>
  <si>
    <t>https://www.africavet.com/article/6865-2</t>
  </si>
  <si>
    <t>6865-2</t>
  </si>
  <si>
    <t>Charting a New Course with the Morocco-Cameroon Alliance for a Resilient Blue Economy</t>
  </si>
  <si>
    <t>https://www.africavet.com/article/charting-a-new-course-with-the-morocco-cameroon-alliance-for-a-resilient-blue-economy</t>
  </si>
  <si>
    <t>charting-a-new-course-with-the-morocco-cameroon-alliance-for-a-resilient-blue-economy</t>
  </si>
  <si>
    <t>Union européenne : un nouveau vaccin contre la mammite bovine relance la prévention en élevage laitier</t>
  </si>
  <si>
    <t>https://www.africavet.com/article/union-europeenne-un-nouveau-vaccin-contre-la-mammite-bovine-relance-la-prevention-en-elevage-laitier</t>
  </si>
  <si>
    <t>union-europeenne-un-nouveau-vaccin-contre-la-mammite-bovine-relance-la-prevention-en-elevage-laitier</t>
  </si>
  <si>
    <t>Malte : la fièvre aphteuse SAT1 met l’Europe vétérinaire sous pression</t>
  </si>
  <si>
    <t>https://www.africavet.com/article/malte-la-fievre-aphteuse-sat1-met-leurope-veterinaire-sous-pression</t>
  </si>
  <si>
    <t>malte-la-fievre-aphteuse-sat1-met-leurope-veterinaire-sous-pression</t>
  </si>
  <si>
    <t>La FAO met en ligne un nouvel outil pour mieux investir dans l’élevage</t>
  </si>
  <si>
    <t>https://www.africavet.com/article/la-fao-met-en-ligne-un-nouvel-outil-pour-mieux-investir-dans-lelevage</t>
  </si>
  <si>
    <t>la-fao-met-en-ligne-un-nouvel-outil-pour-mieux-investir-dans-lelevage</t>
  </si>
  <si>
    <t>World Veterinary Day: AfricaVET Celebrates the Voices and Impact of Veterinary Professionals in Africa</t>
  </si>
  <si>
    <t>https://www.africavet.com/article/world-veterinary-day-africavet-celebrates-the-voices-and-impact-of-veterinary-professionals-in-africa</t>
  </si>
  <si>
    <t>world-veterinary-day-africavet-celebrates-the-voices-and-impact-of-veterinary-professionals-in-africa</t>
  </si>
  <si>
    <t>Kenya et Zambie 2026 : Un front uni pour la santé animale et la sécurité alimentaire en Afrique</t>
  </si>
  <si>
    <t>https://www.africavet.com/article/kenya-et-zambie-2026-un-front-uni-pour-la-sante-animale-et-la-securite-alimentaire-en-afrique</t>
  </si>
  <si>
    <t>kenya-et-zambie-2026-un-front-uni-pour-la-sante-animale-et-la-securite-alimentaire-en-afrique</t>
  </si>
  <si>
    <t>Fièvre de la Vallée du Rift : les pluies extrêmes replacent l’Afrique de l’Est et australe sous haute vigilance</t>
  </si>
  <si>
    <t>https://www.africavet.com/article/fievre-de-la-vallee-du-rift-les-pluies-extremes-replacent-lafrique-de-lest-et-australe-sous-haute-vigilance</t>
  </si>
  <si>
    <t>fievre-de-la-vallee-du-rift-les-pluies-extremes-replacent-lafrique-de-lest-et-australe-sous-haute-vigilance</t>
  </si>
  <si>
    <t>Bird Flu Outbreak in Ivory Coast</t>
  </si>
  <si>
    <t>https://www.africavet.com/article/bird-flu-outbreak-in-ivory-coast</t>
  </si>
  <si>
    <t>bird-flu-outbreak-in-ivory-coast</t>
  </si>
  <si>
    <t>Anthrax Re-emerges in Kenya’s Vihiga County</t>
  </si>
  <si>
    <t>https://www.africavet.com/article/anthrax-re-emerges-in-kenyas-vihiga-county</t>
  </si>
  <si>
    <t>anthrax-re-emerges-in-kenyas-vihiga-county</t>
  </si>
  <si>
    <t>Lumpy Skin Disease, the Silent Scourge to Africa’s Herds</t>
  </si>
  <si>
    <t>https://www.africavet.com/article/lumpy-skin-disease-the-silent-scourge-to-africas-herds</t>
  </si>
  <si>
    <t>lumpy-skin-disease-the-silent-scourge-to-africas-herds</t>
  </si>
  <si>
    <t>Why Africa’s Livestock Strategy is a War on Two Fronts</t>
  </si>
  <si>
    <t>https://www.africavet.com/article/why-africas-livestock-strategy-is-a-war-on-two-fronts</t>
  </si>
  <si>
    <t>why-africas-livestock-strategy-is-a-war-on-two-fronts</t>
  </si>
  <si>
    <t>Une nouvelle feuille de route pour sécuriser la santé animale au Kenya</t>
  </si>
  <si>
    <t>https://www.africavet.com/article/une-nouvelle-feuille-de-route-pour-securiser-la-sante-animale-au-kenya</t>
  </si>
  <si>
    <t>une-nouvelle-feuille-de-route-pour-securiser-la-sante-animale-au-kenya</t>
  </si>
  <si>
    <t>Tech-Driven Harvests: How Morocco is Shielding Its Fields and Flocks for 2026</t>
  </si>
  <si>
    <t>https://www.africavet.com/article/tech-driven-harvests-how-morocco-is-shielding-its-fields-and-flocks-for-2026</t>
  </si>
  <si>
    <t>tech-driven-harvests-how-morocco-is-shielding-its-fields-and-flocks-for-2026</t>
  </si>
  <si>
    <t>Breaking Barriers: Women in Bor Lead the Way in Animal Health</t>
  </si>
  <si>
    <t>https://www.africavet.com/article/breaking-barriers-women-in-bor-lead-the-way-in-animal-health</t>
  </si>
  <si>
    <t>breaking-barriers-women-in-bor-lead-the-way-in-animal-health</t>
  </si>
  <si>
    <t>Le pastoralisme au Sahel : Une réponse collective face au défi climatique</t>
  </si>
  <si>
    <t>https://www.africavet.com/article/le-pastoralisme-au-sahel-une-reponse-collective-face-au-defi-climatique</t>
  </si>
  <si>
    <t>le-pastoralisme-au-sahel-une-reponse-collective-face-au-defi-climatique</t>
  </si>
  <si>
    <t>Industrial Overfishing in Guinea-Bissau</t>
  </si>
  <si>
    <t>https://www.africavet.com/article/industrial-overfishing-in-guinea-bissau</t>
  </si>
  <si>
    <t>industrial-overfishing-in-guinea-bissau</t>
  </si>
  <si>
    <t>Crise de la fièvre aphteuse en Afrique du Sud : le conflit autour des « gatekeepers »</t>
  </si>
  <si>
    <t>https://www.africavet.com/article/crise-de-la-fievre-aphteuse-en-afrique-du-sud-le-conflit-autour-des-gatekeepers-prives</t>
  </si>
  <si>
    <t>crise-de-la-fievre-aphteuse-en-afrique-du-sud-le-conflit-autour-des-gatekeepers-prives</t>
  </si>
  <si>
    <t>The Rise of Sustainable Livestock</t>
  </si>
  <si>
    <t>https://www.africavet.com/article/the-rise-of-sustainable-livestock</t>
  </si>
  <si>
    <t>the-rise-of-sustainable-livestock</t>
  </si>
  <si>
    <t>La sécurité et la diplomatie autour de l’élevage pastoral en Mauritanie</t>
  </si>
  <si>
    <t>https://www.africavet.com/article/la-securite-et-la-diplomatie-autour-de-lelevage-pastoral-en-mauritanie</t>
  </si>
  <si>
    <t>la-securite-et-la-diplomatie-autour-de-lelevage-pastoral-en-mauritanie</t>
  </si>
  <si>
    <t>L’innovation au service de l’élevage africain</t>
  </si>
  <si>
    <t>https://www.africavet.com/article/linnovation-au-service-de-lelevage-africain</t>
  </si>
  <si>
    <t>linnovation-au-service-de-lelevage-africain</t>
  </si>
  <si>
    <t>Cultivating Resilience for Africa's Food Security</t>
  </si>
  <si>
    <t>https://www.africavet.com/article/cultivating-resilience-for-africas-food-security</t>
  </si>
  <si>
    <t>cultivating-resilience-for-africas-food-security</t>
  </si>
  <si>
    <t>Entre l'émancipation des femmes vétérinaires dans Eastern Cape et l'ombre grandissante de la RAM</t>
  </si>
  <si>
    <t>https://www.africavet.com/article/entre-lemancipation-des-femmes-veterinaires-dans-eastern-cape-et-lombre-grandissante-de-la-ram</t>
  </si>
  <si>
    <t>entre-lemancipation-des-femmes-veterinaires-dans-eastern-cape-et-lombre-grandissante-de-la-ram</t>
  </si>
  <si>
    <t>Establishment of a Regional Animal Health Center in Bissau</t>
  </si>
  <si>
    <t>https://www.africavet.com/article/establishment-of-a-regional-animal-health-center-in-bissau</t>
  </si>
  <si>
    <t>establishment-of-a-regional-animal-health-center-in-bissau</t>
  </si>
  <si>
    <t>Vers une Afrique sans rage d'ici 2030 : Le continent accélère la cadence en ce début d’année 2026</t>
  </si>
  <si>
    <t>https://www.africavet.com/article/vers-une-afrique-sans-rage-dici-2030-le-continent-accelere-la-cadence-en-ce-debut-dannee-2026</t>
  </si>
  <si>
    <t>vers-une-afrique-sans-rage-dici-2030-le-continent-accelere-la-cadence-en-ce-debut-dannee-2026</t>
  </si>
  <si>
    <t>La santé animale : Un pont entre nos nations</t>
  </si>
  <si>
    <t>https://www.africavet.com/article/la-sante-animale-un-pont-entre-nos-nations</t>
  </si>
  <si>
    <t>la-sante-animale-un-pont-entre-nos-nations</t>
  </si>
  <si>
    <t>Webinar – La FAO met les outils numériques au service de l’intelligence One Health</t>
  </si>
  <si>
    <t>https://www.africavet.com/article/webinar-la-fao-met-les-outils-numeriques-au-service-de-lintelligence-one-health</t>
  </si>
  <si>
    <t>webinar-la-fao-met-les-outils-numeriques-au-service-de-lintelligence-one-health</t>
  </si>
  <si>
    <t>La Toxocariose : Sous nos pieds, une menace invisible</t>
  </si>
  <si>
    <t>https://www.africavet.com/article/la-toxocariose-sous-nos-pieds-une-menace-invisible</t>
  </si>
  <si>
    <t>la-toxocariose-sous-nos-pieds-une-menace-invisible</t>
  </si>
  <si>
    <t>Un Seul Monde, Une Seule Santé : Pourquoi notre avenir dépend d’un équilibre fragile</t>
  </si>
  <si>
    <t>https://www.africavet.com/article/un-seul-monde-une-seule-sante-pourquoi-notre-avenir-depend-dun-equilibre-fragile</t>
  </si>
  <si>
    <t>un-seul-monde-une-seule-sante-pourquoi-notre-avenir-depend-dun-equilibre-fragile</t>
  </si>
  <si>
    <t>Protéger notre patrimoine : Lancement d'un livre historique sur l'élevage en Afrique</t>
  </si>
  <si>
    <t>https://www.africavet.com/article/proteger-notre-patrimoine-lancement-dun-livre-historique-sur-lelevage-en-afrique</t>
  </si>
  <si>
    <t>proteger-notre-patrimoine-lancement-dun-livre-historique-sur-lelevage-en-afrique</t>
  </si>
  <si>
    <t>The Hunger Games of the Atlantic</t>
  </si>
  <si>
    <t>https://www.africavet.com/article/the-hunger-games-of-the-atlantic</t>
  </si>
  <si>
    <t>the-hunger-games-of-the-atlantic</t>
  </si>
  <si>
    <t>Le rempart sanitaire devient une prison économique pour l'Afrique australe</t>
  </si>
  <si>
    <t>https://www.africavet.com/article/le-rempart-sanitaire-devient-une-prison-economique-pour-lafrique-australe</t>
  </si>
  <si>
    <t>le-rempart-sanitaire-devient-une-prison-economique-pour-lafrique-australe</t>
  </si>
  <si>
    <t>The Economic and Environmental Crossroads of North and West African Fisheries</t>
  </si>
  <si>
    <t>https://www.africavet.com/article/the-economic-and-environmental-crossroads-of-north-and-west-african-fisheries</t>
  </si>
  <si>
    <t>the-economic-and-environmental-crossroads-of-north-and-west-african-fisheries</t>
  </si>
  <si>
    <t>Le Festival d'Argungu : Les Eaux du Nigeria Célèbrent l’Âme d’un Peuple</t>
  </si>
  <si>
    <t>https://www.africavet.com/article/le-festival-dargungu-les-eaux-du-nigeria-celebrent-lame-dun-peuple</t>
  </si>
  <si>
    <t>le-festival-dargungu-les-eaux-du-nigeria-celebrent-lame-dun-peuple</t>
  </si>
  <si>
    <t>Le Pacte AgriConnect : Les Vétérinaires, Piliers de la Souveraineté Alimentaire au Sénégal</t>
  </si>
  <si>
    <t>https://www.africavet.com/article/le-pacte-agriconnect-les-veterinaires-piliers-de-la-souverainete-alimentaire-au-senegal</t>
  </si>
  <si>
    <t>le-pacte-agriconnect-les-veterinaires-piliers-de-la-souverainete-alimentaire-au-senegal</t>
  </si>
  <si>
    <t>Le diplôme vétérinaire africain, moteur d’un leadership « One Health » mondial</t>
  </si>
  <si>
    <t>https://www.africavet.com/article/le-diplome-veterinaire-africain-moteur-dun-leadership-one-health-mondial</t>
  </si>
  <si>
    <t>le-diplome-veterinaire-africain-moteur-dun-leadership-one-health-mondial</t>
  </si>
  <si>
    <t>Strengthening Regional Stability: FAO Orchestrates Strategic Cooperation on Cross-Border Transhumance</t>
  </si>
  <si>
    <t>https://www.africavet.com/article/strengthening-regional-stability-fao-orchestrates-strategic-cooperation-on-cross-border-transhumance</t>
  </si>
  <si>
    <t>strengthening-regional-stability-fao-orchestrates-strategic-cooperation-on-cross-border-transhumance</t>
  </si>
  <si>
    <t>Vol de bétail en Afrique de l’Ouest : Un fléau à 255 milliards qui menace notre sécurité sanitaire</t>
  </si>
  <si>
    <t>https://www.africavet.com/article/vol-de-betail-en-afrique-de-louest-un-fleau-a-255-milliards-qui-menace-notre-securite-sanitaire</t>
  </si>
  <si>
    <t>vol-de-betail-en-afrique-de-louest-un-fleau-a-255-milliards-qui-menace-notre-securite-sanitaire</t>
  </si>
  <si>
    <t>Bridging Innovation and Ecology: The Dual Path to Livestock Productivity in Africa</t>
  </si>
  <si>
    <t>https://www.africavet.com/article/bridging-innovation-and-ecology-the-dual-path-to-livestock-productivity-in-africa</t>
  </si>
  <si>
    <t>bridging-innovation-and-ecology-the-dual-path-to-livestock-productivity-in-africa</t>
  </si>
  <si>
    <t>Kenya: Dr. Patrick K. Ketiem Takes the Helm at KALRO — Why This Matters for Agriculture and Livestock</t>
  </si>
  <si>
    <t>https://www.africavet.com/article/kalro-ushers-in-new-leadership-as-dr-patrick-ketiem-takes-office-as-director-general</t>
  </si>
  <si>
    <t>kalro-ushers-in-new-leadership-as-dr-patrick-ketiem-takes-office-as-director-general</t>
  </si>
  <si>
    <t>Variole ovine et variole caprine : le nouveau manuel FAO qui renforce l’éradication de la PPR… en évitant les mauvaises pistes sur le terrain</t>
  </si>
  <si>
    <t>https://www.africavet.com/article/variole-ovine-et-variole-caprine-le-nouveau-manuel-fao-qui-renforce-leradication-de-la-ppr-en-evitant-les-mauvaises-pistes-sur-le-terrain</t>
  </si>
  <si>
    <t>variole-ovine-et-variole-caprine-le-nouveau-manuel-fao-qui-renforce-leradication-de-la-ppr-en-evitant-les-mauvaises-pistes-sur-le-terrain</t>
  </si>
  <si>
    <t>Burkina Faso : Au barrage de Yakouta, des cages qui flottent… et une promesse de poisson pour le Liptako</t>
  </si>
  <si>
    <t>https://www.africavet.com/article/burkina-faso-au-barrage-de-yakouta-des-cages-qui-flottent-et-une-promesse-de-poisson-pour-le-liptako</t>
  </si>
  <si>
    <t>burkina-faso-au-barrage-de-yakouta-des-cages-qui-flottent-et-une-promesse-de-poisson-pour-le-liptako</t>
  </si>
  <si>
    <t>L’Afrique australe face à la fièvre aphteuse : épidémie au Botswana, confinement en Afrique du Sud et risques transfrontaliers</t>
  </si>
  <si>
    <t>https://www.africavet.com/article/lafrique-australe-face-a-la-fievre-aphteuse-epidemie-au-botswana-confinement-en-afrique-du-sud-et-risques-transfrontaliers</t>
  </si>
  <si>
    <t>lafrique-australe-face-a-la-fievre-aphteuse-epidemie-au-botswana-confinement-en-afrique-du-sud-et-risques-transfrontaliers</t>
  </si>
  <si>
    <t>Le Canada autorise des porcs résistants au SDRP pour l’alimentation humaine et animale</t>
  </si>
  <si>
    <t>https://www.africavet.com/article/6484-2</t>
  </si>
  <si>
    <t>6484-2</t>
  </si>
  <si>
    <t>Au Tchad, le Ouaddaï passe à l’action : 300 000 animaux ciblés contre la PPR et la PPCB</t>
  </si>
  <si>
    <t>https://www.africavet.com/article/au-tchad-le-ouaddai-passe-a-laction-300-000-animaux-cibles-contre-la-ppr-et-la-ppcb</t>
  </si>
  <si>
    <t>au-tchad-le-ouaddai-passe-a-laction-300-000-animaux-cibles-contre-la-ppr-et-la-ppcb</t>
  </si>
  <si>
    <t>Alerte sur l’Abus des Antibiotiques en Élevage au Burkina Faso</t>
  </si>
  <si>
    <t>https://www.africavet.com/article/alerte-sur-labus-des-antibiotiques-en-elevage-au-burkina-faso</t>
  </si>
  <si>
    <t>alerte-sur-labus-des-antibiotiques-en-elevage-au-burkina-faso</t>
  </si>
  <si>
    <t>From Juba to Accra: Kenyan expert Dr Meshack Malo appointed FAO Deputy Regional Representative for Africa</t>
  </si>
  <si>
    <t>https://www.africavet.com/article/from-juba-to-accra-kenyan-expert-dr-meshack-malo-appointed-fao-deputy-regional-representative-for-africa</t>
  </si>
  <si>
    <t>Kenya; Soudan du Sud</t>
  </si>
  <si>
    <t>from-juba-to-accra-kenyan-expert-dr-meshack-malo-appointed-fao-deputy-regional-representative-for-africa</t>
  </si>
  <si>
    <t>TEAM 2026 : un appel à projets de 300 000 € pour renforcer les partenariats académiques avec 17 pays partenaires</t>
  </si>
  <si>
    <t>https://www.africavet.com/article/6455-2</t>
  </si>
  <si>
    <t>RDC; Éthiopie; Kenya; Maroc; Afrique du Sud; Tanzanie; Ouganda</t>
  </si>
  <si>
    <t>6455-2</t>
  </si>
  <si>
    <t>Trypanosomose animale : COMBAT veut “changer d’échelle” contre un fléau qui coûte 4 milliards $/an à l’élevage africain</t>
  </si>
  <si>
    <t>https://www.africavet.com/article/trypanosomose-animale-combat-veut-changer-dechelle-contre-un-fleau-qui-coute-4-milliards-an-a-lelevage-africain</t>
  </si>
  <si>
    <t>trypanosomose-animale-combat-veut-changer-dechelle-contre-un-fleau-qui-coute-4-milliards-an-a-lelevage-africain</t>
  </si>
  <si>
    <t>Urgences Vétérinaires, la passion au service des animaux</t>
  </si>
  <si>
    <t>https://www.africavet.com/article/urgences-veterinaires-la-passion-au-service-des-animaux</t>
  </si>
  <si>
    <t>Vidéos</t>
  </si>
  <si>
    <t>urgences-veterinaires-la-passion-au-service-des-animaux</t>
  </si>
  <si>
    <t>BAD–AFD : près de 2,4 milliards d’euros mobilisés pour l’énergie, l’emploi et l’agriculture, un levier aussi pour la santé animale en Afrique</t>
  </si>
  <si>
    <t>https://www.africavet.com/article/bad-afd-pres-de-24-milliards-deuros-mobilises-pour-lenergie-lemploi-et-lagriculture-un-levier-aussi-pour-la-sante-animale-en-afrique</t>
  </si>
  <si>
    <t>bad-afd-pres-de-24-milliards-deuros-mobilises-pour-lenergie-lemploi-et-lagriculture-un-levier-aussi-pour-la-sante-animale-en-afrique</t>
  </si>
  <si>
    <t>Gabon : quand la statistique devient un outil de terrain pour l’agriculture et la santé animale (projet HISWACA)</t>
  </si>
  <si>
    <t>https://www.africavet.com/article/gabon-quand-la-statistique-devient-un-outil-de-terrain-pour-lagriculture-et-la-sante-animale-projet-hiswaca</t>
  </si>
  <si>
    <t>gabon-quand-la-statistique-devient-un-outil-de-terrain-pour-lagriculture-et-la-sante-animale-projet-hiswaca</t>
  </si>
  <si>
    <t>Kenya : Nairobi dit non à la fusion “médicaments humains + vétérinaires” et défend une régulation dédiée</t>
  </si>
  <si>
    <t>https://www.africavet.com/article/kenya-nairobi-dit-non-a-la-fusion-medicaments-humains-veterinaires-et-defend-une-regulation-dediee</t>
  </si>
  <si>
    <t>kenya-nairobi-dit-non-a-la-fusion-medicaments-humains-veterinaires-et-defend-une-regulation-dediee</t>
  </si>
  <si>
    <t>Sénégal : Keur Momar Sarr lance la vaccination nationale du cheptel 2026 et une coopérative agricole communautaire de 500 hectares</t>
  </si>
  <si>
    <t>https://www.africavet.com/article/senegal-keur-momar-sarr-lance-la-vaccination-nationale-du-cheptel-2026</t>
  </si>
  <si>
    <t>senegal-keur-momar-sarr-lance-la-vaccination-nationale-du-cheptel-2026</t>
  </si>
  <si>
    <t>MINEPIA–PDCVEP : COPIL 6, des réalisations concrètes et un cap 2026 confirmé</t>
  </si>
  <si>
    <t>https://www.africavet.com/article/minepia-pdcvep-copil-6-des-realisations-concretes-et-un-cap-2026-confirme</t>
  </si>
  <si>
    <t>minepia-pdcvep-copil-6-des-realisations-concretes-et-un-cap-2026-confirme</t>
  </si>
  <si>
    <t>Cameroon: From markets to laboratories, women are on the frontline of One Health—yet still under-represented in decision-making</t>
  </si>
  <si>
    <t>https://www.africavet.com/article/cameroon-from-markets-to-laboratories-women-are-on-the-frontline-of-one-health-yet-still-under-represented-in-decision-making</t>
  </si>
  <si>
    <t>cameroon-from-markets-to-laboratories-women-are-on-the-frontline-of-one-health-yet-still-under-represented-in-decision-making</t>
  </si>
  <si>
    <t>France 2030–PREZODE : deux nouveaux projets pour prévenir l’émergence des zoonoses, au plus près du terrain</t>
  </si>
  <si>
    <t>https://www.africavet.com/article/france-2030prezode-deux-nouveaux-projets-pour-prevenir-lemergence-des-zoonoses-au-plus-pres-du-terrain</t>
  </si>
  <si>
    <t>france-2030prezode-deux-nouveaux-projets-pour-prevenir-lemergence-des-zoonoses-au-plus-pres-du-terrain</t>
  </si>
  <si>
    <t>Mpox dans l’océan Indien : une alerte régionale qui appelle une réponse « Une Seule Santé »</t>
  </si>
  <si>
    <t>https://www.africavet.com/article/mpox-dans-locean-indien-une-alerte-regionale-qui-appelle-une-reponse-une-seule-sante</t>
  </si>
  <si>
    <t>mpox-dans-locean-indien-une-alerte-regionale-qui-appelle-une-reponse-une-seule-sante</t>
  </si>
  <si>
    <t>Sénégal : farine de poisson, quand l’export fragilise la transformation artisanale</t>
  </si>
  <si>
    <t>https://www.africavet.com/article/senegal-farine-de-poisson-quand-lexport-fragilise-la-transformation-artisanale</t>
  </si>
  <si>
    <t>senegal-farine-de-poisson-quand-lexport-fragilise-la-transformation-artisanale</t>
  </si>
  <si>
    <t>Côte d’Ivoire : le MIRAH et l’association française Rom Selection veulent faire des interprofessions un pilier de la souveraineté alimentaire</t>
  </si>
  <si>
    <t>https://www.africavet.com/article/cote-divoire-le-mirah-et-lassociation-francaise-rom-selection-veulent-faire-des-interprofessions-un-pilier-de-la-souverainete-alimentaire</t>
  </si>
  <si>
    <t>cote-divoire-le-mirah-et-lassociation-francaise-rom-selection-veulent-faire-des-interprofessions-un-pilier-de-la-souverainete-alimentaire</t>
  </si>
  <si>
    <t>The Silence of the Bloem Show: A Case Study in the Economic and Biosecurity Cost of Foot-and-Mouth Disease</t>
  </si>
  <si>
    <t>https://www.africavet.com/article/the-silence-of-the-bloem-show-a-case-study-in-the-economic-and-biosecurity-cost-of-foot-and-mouth-disease</t>
  </si>
  <si>
    <t>the-silence-of-the-bloem-show-a-case-study-in-the-economic-and-biosecurity-cost-of-foot-and-mouth-disease</t>
  </si>
  <si>
    <t>Innovation, Diplomatie « One Health » à la 3ème édition du One Health Summer Institute (OHSI)</t>
  </si>
  <si>
    <t>https://www.africavet.com/article/innovation-diplomatie-one-health-a-la-3eme-edition-du-one-health-summer-institute-ohsi</t>
  </si>
  <si>
    <t>innovation-diplomatie-one-health-a-la-3eme-edition-du-one-health-summer-institute-ohsi</t>
  </si>
  <si>
    <t>Grippe aviaire (IAHP) H5N1 : la FAO signale de nouveaux foyers au Nigeria et en Afrique du Sud</t>
  </si>
  <si>
    <t>https://www.africavet.com/article/grippe-aviaire-iahp-h5n1-la-fao-signale-de-nouveaux-foyers-au-nigeria-et-en-afrique-du-sud</t>
  </si>
  <si>
    <t>grippe-aviaire-iahp-h5n1-la-fao-signale-de-nouveaux-foyers-au-nigeria-et-en-afrique-du-sud</t>
  </si>
  <si>
    <t>Brésil : comment les normes OMSA de « zonage » ont ouvert la voie au statut indemne de fièvre aphteuse</t>
  </si>
  <si>
    <t>https://www.africavet.com/article/bresil-comment-les-normes-omsa-de-zonage-ont-ouvert-la-voie-au-statut-indemne-de-fievre-aphteuse</t>
  </si>
  <si>
    <t>bresil-comment-les-normes-omsa-de-zonage-ont-ouvert-la-voie-au-statut-indemne-de-fievre-aphteuse</t>
  </si>
  <si>
    <t>Maroc-Pologne : Un Memorandum (MoU) vétérinaire pour renforcer le cheptel national</t>
  </si>
  <si>
    <t>https://www.africavet.com/article/maroc-pologne-un-memorandum-mou-veterinaire-pour-renforcer-le-cheptel-national</t>
  </si>
  <si>
    <t>maroc-pologne-un-memorandum-mou-veterinaire-pour-renforcer-le-cheptel-national</t>
  </si>
  <si>
    <t>Corée du Sud : la peste porcine africaine refait surface à Gangneung, 20 000 porcs abattus</t>
  </si>
  <si>
    <t>https://www.africavet.com/article/coree-du-sud-la-peste-porcine-africaine-refait-surface-a-gangneung-20-000-porcs-abattus</t>
  </si>
  <si>
    <t>coree-du-sud-la-peste-porcine-africaine-refait-surface-a-gangneung-20-000-porcs-abattus</t>
  </si>
  <si>
    <t>Le Destin au Bout du Pâturage : L’Histoire de Yaya Bassara</t>
  </si>
  <si>
    <t>https://www.africavet.com/article/le-destin-au-bout-du-paturage-lhistoire-de-yaya-bassara</t>
  </si>
  <si>
    <t>le-destin-au-bout-du-paturage-lhistoire-de-yaya-bassara</t>
  </si>
  <si>
    <t>Senegal’s 145 Billion FCFA Leap: Engineering the Future of African Livestock</t>
  </si>
  <si>
    <t>https://www.africavet.com/article/senegals-145-billion-fcfa-leap-engineering-the-future-of-african-livestock</t>
  </si>
  <si>
    <t>senegals-145-billion-fcfa-leap-engineering-the-future-of-african-livestock</t>
  </si>
  <si>
    <t>Mauritania’s Green Frontier: From Arid Landscapes to Agricultural Ambition</t>
  </si>
  <si>
    <t>https://www.africavet.com/article/mauritanias-green-frontier-from-arid-landscapes-to-agricultural-ambition</t>
  </si>
  <si>
    <t>mauritanias-green-frontier-from-arid-landscapes-to-agricultural-ambition</t>
  </si>
  <si>
    <t>Ndiaganiao au cœur de la révolution génétique : Un nouveau souffle pour l’élevage sénégalais</t>
  </si>
  <si>
    <t>https://www.africavet.com/article/ndiaganiao-au-coeur-de-la-revolution-genetique-un-nouveau-souffle-pour-lelevage-senegalais</t>
  </si>
  <si>
    <t>ndiaganiao-au-coeur-de-la-revolution-genetique-un-nouveau-souffle-pour-lelevage-senegalais</t>
  </si>
  <si>
    <t>Safeguarding Africa’s Livestock Through Veterinary Regulation: Lessons from Limpopo</t>
  </si>
  <si>
    <t>https://www.africavet.com/article/safeguarding-africas-livestock-through-veterinary-regulation-lessons-from-limpopo</t>
  </si>
  <si>
    <t>safeguarding-africas-livestock-through-veterinary-regulation-lessons-from-limpopo</t>
  </si>
  <si>
    <t>Rwanda’s National Veterinary Laboratory to Reclaim Africa's Scientific Destiny in Zoonotic Disease Control</t>
  </si>
  <si>
    <t>https://www.africavet.com/article/rwandas-national-veterinary-laboratory-to-reclaim-africas-scientific-destiny-in-zoonotic-disease-control</t>
  </si>
  <si>
    <t>rwandas-national-veterinary-laboratory-to-reclaim-africas-scientific-destiny-in-zoonotic-disease-control</t>
  </si>
  <si>
    <t>From Tiny to Africa’s Livelihoods: Ceva’s One Health Journey</t>
  </si>
  <si>
    <t>https://www.africavet.com/article/from-tiny-to-africas-livelihoods-cevas-one-health-journey</t>
  </si>
  <si>
    <t>from-tiny-to-africas-livelihoods-cevas-one-health-journey</t>
  </si>
  <si>
    <t>Mali : à Kayes, des kits d’élevage, de maraîchage et de pisciculture pour relancer les moyens d’existence de réfugiés et déplacés</t>
  </si>
  <si>
    <t>https://www.africavet.com/article/mali-a-kayes-des-kits-delevage-de-maraichage-et-de-pisciculture-pour-relancer-les-moyens-dexistence-de-refugies-et-deplaces</t>
  </si>
  <si>
    <t>mali-a-kayes-des-kits-delevage-de-maraichage-et-de-pisciculture-pour-relancer-les-moyens-dexistence-de-refugies-et-deplaces</t>
  </si>
  <si>
    <t>Filière halieutique à Madagascar : pisciculture encadrée à Ihorombe, pêche responsable renforcée dans la Diana</t>
  </si>
  <si>
    <t>https://www.africavet.com/article/filiere-halieutique-a-madagascar-pisciculture</t>
  </si>
  <si>
    <t>filiere-halieutique-a-madagascar-pisciculture</t>
  </si>
  <si>
    <t>VSF-Suisse s’implante au Tchad : ce que cela change concrètement pour les communautés pastorales</t>
  </si>
  <si>
    <t>https://www.africavet.com/article/vsf-suisse-simplante-au-tchad-ce-que-cela-change-concretement-pour-les-communautes-pastorales</t>
  </si>
  <si>
    <t>vsf-suisse-simplante-au-tchad-ce-que-cela-change-concretement-pour-les-communautes-pastorales</t>
  </si>
  <si>
    <t>La FAO équipe les laboratoires vétérinaires au Togo : 150 millions FCFA pour raccourcir le délai entre “signal” et “réponse”</t>
  </si>
  <si>
    <t>https://www.africavet.com/article/la-fao-equipe-les-laboratoires-veterinaires-au-togo-150-millions-fcfa-pour-raccourcir-le-delai-entre-signal-et-reponse</t>
  </si>
  <si>
    <t>la-fao-equipe-les-laboratoires-veterinaires-au-togo-150-millions-fcfa-pour-raccourcir-le-delai-entre-signal-et-reponse</t>
  </si>
  <si>
    <t>Soudan : fabriquer le vaccin antirabique sur place pour briser la chaîne de transmission — et protéger d’abord les enfants</t>
  </si>
  <si>
    <t>https://www.africavet.com/article/soudan-fabriquer-le-vaccin-antirabique-sur-place-pour-briser-la-chaine</t>
  </si>
  <si>
    <t>soudan-fabriquer-le-vaccin-antirabique-sur-place-pour-briser-la-chaine</t>
  </si>
  <si>
    <t>South Africa launches “FMD-free with vaccination” roadmap, with mass roll-out from February 2026</t>
  </si>
  <si>
    <t>https://www.africavet.com/article/south-africa-launches-fmd-free-with-vaccination</t>
  </si>
  <si>
    <t>south-africa-launches-fmd-free-with-vaccination</t>
  </si>
  <si>
    <t>Burkina Faso : la vaccination du cheptel progresse dans le Nando et le Nazinon, avec des couvertures élevées contre la PPR</t>
  </si>
  <si>
    <t>https://www.africavet.com/article/burkina-faso-la-vaccination-du-cheptel-progresse-dans-le-nando-et-le-nazinon-avec-des-couvertures-elevees-contre-la-ppr</t>
  </si>
  <si>
    <t>burkina-faso-la-vaccination-du-cheptel-progresse-dans-le-nando-et-le-nazinon-avec-des-couvertures-elevees-contre-la-ppr</t>
  </si>
  <si>
    <t>Sénégal : une hausse budgétaire de 38 % annoncée pour l’agriculture en 2026, au cœur de l’ambition de souveraineté alimentaire</t>
  </si>
  <si>
    <t>https://www.africavet.com/article/senegal-une-hausse-budgetaire-de-38-annoncee-pour-lagriculture-en-2026-au-coeur-de-lambition-de-souverainete-alimentaire</t>
  </si>
  <si>
    <t>senegal-une-hausse-budgetaire-de-38-annoncee-pour-lagriculture-en-2026-au-coeur-de-lambition-de-souverainete-alimentaire</t>
  </si>
  <si>
    <t>Côte d’Ivoire : le Sénat adopte le budget 2026 du MIRAH, en hausse à 26,7 milliards FCFA</t>
  </si>
  <si>
    <t>https://www.africavet.com/article/cote-divoire-le-senat-adopte-le-budget-2026-du-mirah-en-hausse-a-267-milliards-fcfa</t>
  </si>
  <si>
    <t>cote-divoire-le-senat-adopte-le-budget-2026-du-mirah-en-hausse-a-267-milliards-fcfa</t>
  </si>
  <si>
    <t>Cameroun : à Poli, le Livestock Farmers Festival met en lumière le rôle stratégique de l’élevage pour l’économie nationale et l’Afrique centrale</t>
  </si>
  <si>
    <t>https://www.africavet.com/article/cameroun-a-poli-le-livestock-farmers-festival-met-en-lumiere-le-role-strategique-de-lelevage-pour-leconomie-nationale-et-lafrique-centrale</t>
  </si>
  <si>
    <t>cameroun-a-poli-le-livestock-farmers-festival-met-en-lumiere-le-role-strategique-de-lelevage-pour-leconomie-nationale-et-lafrique-centrale</t>
  </si>
  <si>
    <t>Maroc : le Japon renforce son soutien au secteur halieutique avec 3,3 millions $ supplémentaires pour un port de pêche de nouvelle génération à Safi</t>
  </si>
  <si>
    <t>https://www.africavet.com/article/maroc-le-japon-renforce-son-soutien-au-secteur-halieutique-avec-33-millions-supplementaires-pour-un-port-de-peche-de-nouvelle-generation-a-safi</t>
  </si>
  <si>
    <t>maroc-le-japon-renforce-son-soutien-au-secteur-halieutique-avec-33-millions-supplementaires-pour-un-port-de-peche-de-nouvelle-generation-a-safi</t>
  </si>
  <si>
    <t>Burkina Faso : la campagne nationale de vaccination 2025–2026 contre les maladies animales prioritaires et les zoonoses progresse dans le Nakambé et le Gulmu</t>
  </si>
  <si>
    <t>https://www.africavet.com/article/burkina-faso-la-campagne-nationale-de-vaccination-2025-2026-contre-les-maladies-animales-prioritaires-et-les-zoonoses-progresse-dans-le-nakambe-et-le-gulmu</t>
  </si>
  <si>
    <t>burkina-faso-la-campagne-nationale-de-vaccination-2025-2026-contre-les-maladies-animales-prioritaires-et-les-zoonoses-progresse-dans-le-nakambe-et-le-gulmu</t>
  </si>
  <si>
    <t>Côte d’Ivoire : un complexe de santé vétérinaire de nouvelle génération à Cocody pour sécuriser la santé animale et publique</t>
  </si>
  <si>
    <t>https://www.africavet.com/article/cote-divoire-a-cocody-un-complexe-veterinaire-de-nouvelle-generation-renforce-le-bouclier-sanitaire-national</t>
  </si>
  <si>
    <t>cote-divoire-a-cocody-un-complexe-veterinaire-de-nouvelle-generation-renforce-le-bouclier-sanitaire-national</t>
  </si>
  <si>
    <t>Fièvre aphteuse : l’Afrique du Sud passe à l’offensive avec une stratégie “indemne avec vaccination” et une vaccination de masse dès février 2026</t>
  </si>
  <si>
    <t>https://www.africavet.com/article/fievre-aphteuse-lafrique-du-sud-passe-a-loffensive-avec-une-strategie-indemne-avec-vaccination-et-une-vaccination-de-masse-des-fevrier-2026</t>
  </si>
  <si>
    <t>fievre-aphteuse-lafrique-du-sud-passe-a-loffensive-avec-une-strategie-indemne-avec-vaccination-et-une-vaccination-de-masse-des-fevrier-2026</t>
  </si>
  <si>
    <t>Africa CDC renforce la riposte aux crises sanitaires : 27 fellows déjà formés à la gestion des urgences</t>
  </si>
  <si>
    <t>https://www.africavet.com/article/africa-cdc-renforce-la-riposte-aux-crises-sanitaires-27-fellows-deja-formes-a-la-gestion-des-urgences</t>
  </si>
  <si>
    <t>africa-cdc-renforce-la-riposte-aux-crises-sanitaires-27-fellows-deja-formes-a-la-gestion-des-urgences</t>
  </si>
  <si>
    <t>PPR in conflict-affected settings: PAPS (AU-IBAR) and partners publish a conflict-sensitive pathway to reach the 2030 goal</t>
  </si>
  <si>
    <t>https://www.africavet.com/article/ppr-in-conflict-affected-settings-paps-au-ibar-and-partners-publish-a-conflict-sensitive-pathway-to-reach-the-2030-goal</t>
  </si>
  <si>
    <t>ppr-in-conflict-affected-settings-paps-au-ibar-and-partners-publish-a-conflict-sensitive-pathway-to-reach-the-2030-goal</t>
  </si>
  <si>
    <t>Senegal: FSRP Launches Construction of 100 Vaccination Parks to Strengthen Animal Health</t>
  </si>
  <si>
    <t>https://www.africavet.com/article/senegal-fsrp-launches-construction-of-100-vaccination-parks-to-strengthen-animal-health</t>
  </si>
  <si>
    <t>senegal-fsrp-launches-construction-of-100-vaccination-parks-to-strengthen-animal-health</t>
  </si>
  <si>
    <t>OMSA : Déclaration sur l’impact de la grippe aviaire sur la faune sauvage à l’échelle mondiale</t>
  </si>
  <si>
    <t>https://www.africavet.com/article/omsa-declaration-sur-limpact-de-la-grippe-aviaire-sur-la-faune-sauvage-a-lechelle-mondiale</t>
  </si>
  <si>
    <t>omsa-declaration-sur-limpact-de-la-grippe-aviaire-sur-la-faune-sauvage-a-lechelle-mondiale</t>
  </si>
  <si>
    <t>South Africa’s New Path to Protecting the National Herd</t>
  </si>
  <si>
    <t>https://www.africavet.com/article/south-africas-new-path-to-protecting-the-national-herd</t>
  </si>
  <si>
    <t>south-africas-new-path-to-protecting-the-national-herd</t>
  </si>
  <si>
    <t>Transforming Madagascar’s Agricultural Landscape through the PDSEM</t>
  </si>
  <si>
    <t>https://www.africavet.com/article/transforming-madagascars-agricultural-landscape-through-the-pdsem</t>
  </si>
  <si>
    <t>transforming-madagascars-agricultural-landscape-through-the-pdsem</t>
  </si>
  <si>
    <t>Abattoirs, races rares, fermiers : la solidarité en jeu</t>
  </si>
  <si>
    <t>https://www.africavet.com/article/abattoirs-races-rares-fermiers-la-solidarite-en-jeu</t>
  </si>
  <si>
    <t>abattoirs-races-rares-fermiers-la-solidarite-en-jeu</t>
  </si>
  <si>
    <t>De l’Extinction à la Renaissance : L’Oryx Algazelle Reconquiert le Sahara</t>
  </si>
  <si>
    <t>https://www.africavet.com/article/de-lextinction-a-la-renaissance-loryx-algazelle-reconquiert-le-sahara</t>
  </si>
  <si>
    <t>de-lextinction-a-la-renaissance-loryx-algazelle-reconquiert-le-sahara</t>
  </si>
  <si>
    <t>Sénégal : le foirail de Diamaguène Sicap Mbao s’engage dans une modernisation à 1,8 milliard FCFA</t>
  </si>
  <si>
    <t>https://www.africavet.com/article/senegal-le-foirail-de-diamaguene-sicap-mbao-sengage-dans-une-modernisation-a-18-milliard-fcfa</t>
  </si>
  <si>
    <t>senegal-le-foirail-de-diamaguene-sicap-mbao-sengage-dans-une-modernisation-a-18-milliard-fcfa</t>
  </si>
  <si>
    <t>Grippe aviaire H5N1 : pourquoi ce virus domine désormais la médecine vétérinaire en Afrique</t>
  </si>
  <si>
    <t>https://www.africavet.com/article/grippe-aviaire-h5n1-pourquoi-ce-virus-domine-desormais-la-medecine-veterinaire-en-afrique</t>
  </si>
  <si>
    <t>grippe-aviaire-h5n1-pourquoi-ce-virus-domine-desormais-la-medecine-veterinaire-en-afrique</t>
  </si>
  <si>
    <t>Biosécurité animale : la FAO lance le PMP-TAB, une feuille de route progressive pour sécuriser les filières terrestres</t>
  </si>
  <si>
    <t>https://www.africavet.com/article/biosecurite-animale-la-fao-lance-le-pmp-tab-une-feuille-de-route-progressive-pour-securiser-les-filieres-terrestres</t>
  </si>
  <si>
    <t>biosecurite-animale-la-fao-lance-le-pmp-tab-une-feuille-de-route-progressive-pour-securiser-les-filieres-terrestres</t>
  </si>
  <si>
    <t>Coopération Cameroun–Japon : le PROFIP, un projet structurant pour refonder la pisciculture continentale</t>
  </si>
  <si>
    <t>https://www.africavet.com/article/cooperation-cameroun-japon-le-profip-un-projet-structurant-pour-refonder-la-pisciculture-continentale</t>
  </si>
  <si>
    <t>cooperation-cameroun-japon-le-profip-un-projet-structurant-pour-refonder-la-pisciculture-continentale</t>
  </si>
  <si>
    <t>Burkina Faso : des opérations de contrôle sanitaire renforcées dans les points de vente de volailles à Ouagadougou</t>
  </si>
  <si>
    <t>https://www.africavet.com/article/burkina-faso-des-operations-de-controle-sanitaire-renforcees-dans-les-points</t>
  </si>
  <si>
    <t>burkina-faso-des-operations-de-controle-sanitaire-renforcees-dans-les-points</t>
  </si>
  <si>
    <t>Côte d’Ivoire : Abidjan lance officiellement les opérations de désinfection des marchés de volailles</t>
  </si>
  <si>
    <t>https://www.africavet.com/article/cote-divoire-abidjan-lance-officiellement-les-operations-de-desinfection-des-marches-de-volailles</t>
  </si>
  <si>
    <t>cote-divoire-abidjan-lance-officiellement-les-operations-de-desinfection-des-marches-de-volailles</t>
  </si>
  <si>
    <t>Afrique de l’Est : une percée scientifique permet de mesurer le méthane des bovins en libre pâture</t>
  </si>
  <si>
    <t>https://www.africavet.com/article/afrique-de-lest-une-percee-scientifique-permet-de-mesurer-le-methane-des-bovins-en-libre-pature</t>
  </si>
  <si>
    <t>afrique-de-lest-une-percee-scientifique-permet-de-mesurer-le-methane-des-bovins-en-libre-pature</t>
  </si>
  <si>
    <t>Burkina Faso : à Kaya, une nouvelle usine transforme le maïs et produit des aliments pour bétail pour soutenir la souveraineté alimentaire</t>
  </si>
  <si>
    <t>https://www.africavet.com/article/burkina-faso-a-kaya-une-nouvelle-usine-transforme-le-mais-et-produit-des-aliments-pour-betail-pour-soutenir-la-souverainete-alimentaire</t>
  </si>
  <si>
    <t>burkina-faso-a-kaya-une-nouvelle-usine-transforme-le-mais-et-produit-des-aliments-pour-betail-pour-soutenir-la-souverainete-alimentaire</t>
  </si>
  <si>
    <t>Sécheresses et inondations : 10 millions de têtes perdues en Afrique de l’Est, l’alerte qui relance le débat sur la résilience de l’élevage</t>
  </si>
  <si>
    <t>https://www.africavet.com/article/secheresses-et-inondations-10-millions-de-tetes</t>
  </si>
  <si>
    <t>secheresses-et-inondations-10-millions-de-tetes</t>
  </si>
  <si>
    <t>AHCM 2025 : quand l’AU-IBAR a « basculé » de la coordination à l’exécution continentale des chaînes de valeur</t>
  </si>
  <si>
    <t>https://www.africavet.com/article/au-ibar-a-bascule-de-la-coordination-a-lexecution-continentale</t>
  </si>
  <si>
    <t>au-ibar-a-bascule-de-la-coordination-a-lexecution-continentale</t>
  </si>
  <si>
    <t>Fièvre de la Vallée du Rift au Sénégal : quand la notification rapide via WAHIS devient un outil de riposte</t>
  </si>
  <si>
    <t>https://www.africavet.com/article/fievre-de-la-vallee-du-rift-au-senega</t>
  </si>
  <si>
    <t>fievre-de-la-vallee-du-rift-au-senega</t>
  </si>
  <si>
    <t>𝗗𝗔𝗜𝗥𝗬 𝗙𝗔𝗥𝗠𝗜𝗡𝗚 𝗧𝗔𝗞𝗘𝗦 𝗧𝗛𝗘 𝗦𝗣𝗢𝗧𝗟𝗜𝗚𝗛𝗧 𝗔𝗧 𝗗𝗝𝗢𝗗𝗔 𝟮𝟬𝟮𝟲</t>
  </si>
  <si>
    <t>https://www.africavet.com/article/%f0%9d%97%97%f0%9d%97%94%f0%9d%97%9c%f0%9d%97%a5%f0%9d%97%ac-%f0%9d%97%99%f0%9d%97%94%f0%9d%97%a5%f0%9d%97%a0%f0%9d%97%9c%f0%9d%97%a1%f0%9d%97%9a-%f0%9d%97%a7%f0%9d%97%94%f0%9d%97%9e%f0%9d%97%98</t>
  </si>
  <si>
    <t>%f0%9d%97%97%f0%9d%97%94%f0%9d%97%9c%f0%9d%97%a5%f0%9d%97%ac-%f0%9d%97%99%f0%9d%97%94%f0%9d%97%a5%f0%9d%97%a0%f0%9d%97%9c%f0%9d%97%a1%f0%9d%97%9a-%f0%9d%97%a7%f0%9d%97%94%f0%9d%97%9e%f0%9d%97%98</t>
  </si>
  <si>
    <t>Vers une Afrique sans "Peste des Petits Ruminants" : Le Pari Politique d’une Révolution Pastorale</t>
  </si>
  <si>
    <t>https://www.africavet.com/article/vers-une-afrique-sans-peste-des-petits-ruminants-le-pari-politique-dune-revolution-pastorale</t>
  </si>
  <si>
    <t>Maladies</t>
  </si>
  <si>
    <t>vers-une-afrique-sans-peste-des-petits-ruminants-le-pari-politique-dune-revolution-pastorale</t>
  </si>
  <si>
    <t>Ending Pest des Petits Ruminats: Africa’s Bold Roadmap to Eradicate PPR by 2030</t>
  </si>
  <si>
    <t>https://www.africavet.com/article/ending-the-goat-plague-africas-bold-roadmap-to-eradicate-ppr-by-2030</t>
  </si>
  <si>
    <t>ending-the-goat-plague-africas-bold-roadmap-to-eradicate-ppr-by-2030</t>
  </si>
  <si>
    <t>Central Africa Cameroon: Where Peste des Petits Ruminants Steals Dreams</t>
  </si>
  <si>
    <t>https://www.africavet.com/article/central-africa-cameroon-where-peste-des-petits-ruminants-steals-dreams</t>
  </si>
  <si>
    <t>central-africa-cameroon-where-peste-des-petits-ruminants-steals-dreams</t>
  </si>
  <si>
    <t>Le Nigeria lance un partenariat historique pour propulser l'autonomisation des femmes dans le secteur vétérinaire et l'élevage</t>
  </si>
  <si>
    <t>https://www.africavet.com/article/le-nigeria-lance-un-partenariat-historique-pour-propulser-lautonomisation-des-femmes-dans-le-secteur-veterinaire-et-lelevage</t>
  </si>
  <si>
    <t>le-nigeria-lance-un-partenariat-historique-pour-propulser-lautonomisation-des-femmes-dans-le-secteur-veterinaire-et-lelevage</t>
  </si>
  <si>
    <t>Nigeria Calls for Stronger West African Action on Transboundary Animal Diseases</t>
  </si>
  <si>
    <t>https://www.africavet.com/article/nigeria-calls-for-stronger-west-african-action-on-transboundary-animal-diseases</t>
  </si>
  <si>
    <t>nigeria-calls-for-stronger-west-african-action-on-transboundary-animal-diseases</t>
  </si>
  <si>
    <t>L’IGAD s’engage pour un avenir sans plastique</t>
  </si>
  <si>
    <t>https://www.africavet.com/article/ligad-sengage-pour-un-avenir-sans-plastique</t>
  </si>
  <si>
    <t>ligad-sengage-pour-un-avenir-sans-plastique</t>
  </si>
  <si>
    <t>Kenya Unveils “Super Dairy Breed” to Transform Milk Production</t>
  </si>
  <si>
    <t>https://www.africavet.com/article/kenya-unveils-super-dairy-breed-to-transform-milk-production</t>
  </si>
  <si>
    <t>kenya-unveils-super-dairy-breed-to-transform-milk-production</t>
  </si>
  <si>
    <t>Les Maladies Animales Transfrontalières Mettent en Péril la Sécurité Alimentaire Africaine</t>
  </si>
  <si>
    <t>https://www.africavet.com/article/les-maladies-animales-transfrontalieres-mettent-en-peril-la-securite-alimentaire-africaine</t>
  </si>
  <si>
    <t>les-maladies-animales-transfrontalieres-mettent-en-peril-la-securite-alimentaire-africaine</t>
  </si>
  <si>
    <t>IRED lance une nouvelle dynamique pour la recherche en élevage au Tchad</t>
  </si>
  <si>
    <t>https://www.africavet.com/article/ired-lance-une-nouvelle-dynamique-pour-la-recherche-en-elevage-au-tchad</t>
  </si>
  <si>
    <t>ired-lance-une-nouvelle-dynamique-pour-la-recherche-en-elevage-au-tchad</t>
  </si>
  <si>
    <t>Fièvre aphteuse : l’Afrique de l’Est se dote d’une stratégie régionale 2026–2035</t>
  </si>
  <si>
    <t>https://www.africavet.com/article/fievre-aphteuse-lafrique-de-lest-se-dote-dune-strategie-regionale-2026-2035</t>
  </si>
  <si>
    <t>fievre-aphteuse-lafrique-de-lest-se-dote-dune-strategie-regionale-2026-2035</t>
  </si>
  <si>
    <t>AU‑IBAR launches ARIS‑3 to modernize disease reporting and accelerate the fight against PPR by 2030</t>
  </si>
  <si>
    <t>https://www.africavet.com/article/au%e2%80%91ibar-launches-aris%e2%80%913-to-modernize-disease-reporting-and-accelerate-the-fight-against-ppr-by-2030</t>
  </si>
  <si>
    <t>au%e2%80%91ibar-launches-aris%e2%80%913-to-modernize-disease-reporting-and-accelerate-the-fight-against-ppr-by-2030</t>
  </si>
  <si>
    <t>L'Afrique Accélère la Réglementation des Produits Vétérinaires pour Protéger l'Élevage et les Éleveurs</t>
  </si>
  <si>
    <t>https://www.africavet.com/article/lafrique-accelere-la-reglementation-des-produits-veterinaires-pour-proteger-lelevage-et-les-eleveurs</t>
  </si>
  <si>
    <t>lafrique-accelere-la-reglementation-des-produits-veterinaires-pour-proteger-lelevage-et-les-eleveurs</t>
  </si>
  <si>
    <t>54ᵉ session du Conseil d’Administration de l’EISMV à Lomé : renforcer l’excellence et la coopération</t>
  </si>
  <si>
    <t>https://www.africavet.com/article/54%e1%b5%89-session-du-conseil-dadministration-de-leismv-a-lome-renforcer-lexcellence-et-la-cooperation</t>
  </si>
  <si>
    <t>54%e1%b5%89-session-du-conseil-dadministration-de-leismv-a-lome-renforcer-lexcellence-et-la-cooperation</t>
  </si>
  <si>
    <t>COP30: Can Africa Learn from Brazil’s Livestock Revolution?</t>
  </si>
  <si>
    <t>https://www.africavet.com/article/cop30-can-africa-learn-from-brazils-livestock-revolution</t>
  </si>
  <si>
    <t>cop30-can-africa-learn-from-brazils-livestock-revolution</t>
  </si>
  <si>
    <t>Zimbabwe et Cambodge : un retour concret sur l’investissement contre la RAM</t>
  </si>
  <si>
    <t>https://www.africavet.com/article/zimbabwe-et-cambodge-un-retour-concret-sur-linvestissement-contre-la-ram</t>
  </si>
  <si>
    <t>zimbabwe-et-cambodge-un-retour-concret-sur-linvestissement-contre-la-ram</t>
  </si>
  <si>
    <t>EISMV Dakar : un Doctorat Honoris Causa décerné au Président du Conseil Faure Essozimna Gnassingbé</t>
  </si>
  <si>
    <t>https://www.africavet.com/article/eismv-dakar-un-doctorat-honoris-causa-decerne-au-president-du-conseil-faure-essozimna-gnassingbe</t>
  </si>
  <si>
    <t>eismv-dakar-un-doctorat-honoris-causa-decerne-au-president-du-conseil-faure-essozimna-gnassingbe</t>
  </si>
  <si>
    <t>Virtual event : Management of acaricide resistance in livestock ticks in Africa,</t>
  </si>
  <si>
    <t>https://www.africavet.com/article/virtual-event-management-of-acaricide-resistance-in-livestock-ticks-in-africa</t>
  </si>
  <si>
    <t>virtual-event-management-of-acaricide-resistance-in-livestock-ticks-in-africa</t>
  </si>
  <si>
    <t>Virtual event :Growing evidence for the economic case of One Health intervention: A call to action from the latest Lancet One Health commission report, 25 November 2025 | 12:00-13:00 (CET)</t>
  </si>
  <si>
    <t>https://www.africavet.com/article/virtual-event-growing-evidence-for-the-economic-case-of-one-health</t>
  </si>
  <si>
    <t>virtual-event-growing-evidence-for-the-economic-case-of-one-health</t>
  </si>
  <si>
    <t>Cameroun : clap de fin pour le projet OHDAA, mais un nouveau départ pour la plateforme COHIS</t>
  </si>
  <si>
    <t>https://www.africavet.com/article/cameroun-clap-de-fin-pour-le-projet-ohdaa-mais-un-nouveau-depart-pour-la-plateforme-cohis</t>
  </si>
  <si>
    <t>cameroun-clap-de-fin-pour-le-projet-ohdaa-mais-un-nouveau-depart-pour-la-plateforme-cohis</t>
  </si>
  <si>
    <t>Kaffrine récolte une tonne de tilapias et plaide pour une station piscicole régionale d’alevins</t>
  </si>
  <si>
    <t>https://www.africavet.com/article/kaffrine-recolte-une-tonne-de-tilapias-et-plaide-pour-une-station-piscicole-regionale-dalevins</t>
  </si>
  <si>
    <t>kaffrine-recolte-une-tonne-de-tilapias-et-plaide-pour-une-station-piscicole-regionale-dalevins</t>
  </si>
  <si>
    <t>Marburg Virus Outbreak in Ethiopia: A Critical One Health Alert</t>
  </si>
  <si>
    <t>https://www.africavet.com/article/marburg-virus-outbreak-in-ethiopia-a-critical-one-health-alert</t>
  </si>
  <si>
    <t>marburg-virus-outbreak-in-ethiopia-a-critical-one-health-alert</t>
  </si>
  <si>
    <t>Official Announcement: OHSI 2025 Registration is OPEN</t>
  </si>
  <si>
    <t>https://www.africavet.com/article/official-announcement-ohsi-2025-registration-is-open</t>
  </si>
  <si>
    <t>official-announcement-ohsi-2025-registration-is-open</t>
  </si>
  <si>
    <t>Audience MINEPIA-BIT : Au Menu l'Entrepreneuriat et la Formation des Jeunes et des Femmes</t>
  </si>
  <si>
    <t>https://www.africavet.com/article/audience-minepia-bit-au-menu-lentrepreneuriat-et-la-formation-des-jeunes-et-des-femmes</t>
  </si>
  <si>
    <t>audience-minepia-bit-au-menu-lentrepreneuriat-et-la-formation-des-jeunes-et-des-femmes</t>
  </si>
  <si>
    <t>La FAO Déploie l’Outil d'Alerte Précoce de la FVR (RVF-DST)</t>
  </si>
  <si>
    <t>https://www.africavet.com/article/la-fao-deploie-loutil-dalerte-precoce-de-la-fvr-rvf-dst</t>
  </si>
  <si>
    <t>la-fao-deploie-loutil-dalerte-precoce-de-la-fvr-rvf-dst</t>
  </si>
  <si>
    <t>SAVE THE DATE : Le One Health Summer Institute (OHSI) est ENFIN à Yaoundé</t>
  </si>
  <si>
    <t>https://www.africavet.com/article/save-the-date-le-one-health-summer-institute-ohsi-est-enfin-a-yaounde</t>
  </si>
  <si>
    <t>save-the-date-le-one-health-summer-institute-ohsi-est-enfin-a-yaounde</t>
  </si>
  <si>
    <t>Fièvre de la Vallée du Rift au Sénégal et en Mauritanie : L'Évaluation FAO/OMS/OMSA Confirme le Risque Élevé</t>
  </si>
  <si>
    <t>https://www.africavet.com/article/fievre-de-la-vallee-du-rift-au-senegal-et-en-mauritanie-levaluation-fao-oms-omsa-confirme-le-risque-eleve</t>
  </si>
  <si>
    <t>fievre-de-la-vallee-du-rift-au-senegal-et-en-mauritanie-levaluation-fao-oms-omsa-confirme-le-risque-eleve</t>
  </si>
  <si>
    <t>FMD Outbreak in Mozambique: A Regional Wake-Up Call for Animal Health Policy</t>
  </si>
  <si>
    <t>https://www.africavet.com/article/fmd-outbreak-in-mozambique-a-regional-wake-up-call-for-animal-health-policy</t>
  </si>
  <si>
    <t>fmd-outbreak-in-mozambique-a-regional-wake-up-call-for-animal-health-policy</t>
  </si>
  <si>
    <t>De Taïwan à Lomé : La Peste Porcine Africaine impose une réponse mondiale</t>
  </si>
  <si>
    <t>https://www.africavet.com/article/de-taiwan-a-lome-la-peste-porcine-africaine-impose-une-reponse-mondiale</t>
  </si>
  <si>
    <t>de-taiwan-a-lome-la-peste-porcine-africaine-impose-une-reponse-mondiale</t>
  </si>
  <si>
    <t>Rift Valley Fever in Senegal and Mauritania: A Triple Threat to Health, Livestock, and Economy</t>
  </si>
  <si>
    <t>https://www.africavet.com/article/rift-valley-fever-in-senegal-and-mauritania-a-triple-threat-to-health-livestock-and-economy</t>
  </si>
  <si>
    <t>rift-valley-fever-in-senegal-and-mauritania-a-triple-threat-to-health-livestock-and-economy</t>
  </si>
  <si>
    <t>Clavelée Ovine et Caprine : Quand l’Europe Agit, l’Afrique Devrait Écouter</t>
  </si>
  <si>
    <t>https://www.africavet.com/article/clavelee-ovine-et-caprine-quand-leurope-agit-lafrique-devrait-ecouter</t>
  </si>
  <si>
    <t>clavelee-ovine-et-caprine-quand-leurope-agit-lafrique-devrait-ecouter</t>
  </si>
  <si>
    <t>From the Savanna to Spain: What the Lumpy Skin Disease Crisis Means for African Farmers</t>
  </si>
  <si>
    <t>https://www.africavet.com/article/from-the-savanna-to-spain-what-the-lumpy-skin-disease-crisis-means-for-african-farmers</t>
  </si>
  <si>
    <t>from-the-savanna-to-spain-what-the-lumpy-skin-disease-crisis-means-for-african-farmers</t>
  </si>
  <si>
    <t>Tchad–UA-BIRA : préserver les ânes, protéger les familles rurales</t>
  </si>
  <si>
    <t>https://www.africavet.com/article/tchad-ua-bira-preserver-les-anes-proteger-les-familles-rurales</t>
  </si>
  <si>
    <t>tchad-ua-bira-preserver-les-anes-proteger-les-familles-rurales</t>
  </si>
  <si>
    <t>Validation du plan de contrôle de la rage de la Tanzanie par OMSA: Une révolution pour l’Afrique de l'Est</t>
  </si>
  <si>
    <t>https://www.africavet.com/article/la-validation-du-plan-de-controle-de-la-rage-de-la-tanzanie-par-omsa-une-revolution-pour-lafrique-de-lest</t>
  </si>
  <si>
    <t>la-validation-du-plan-de-controle-de-la-rage-de-la-tanzanie-par-omsa-une-revolution-pour-lafrique-de-lest</t>
  </si>
  <si>
    <t>FDA conditionally approves Dectomax‑CA1 (Doramectin) to combat terrifying screwworm in cattle</t>
  </si>
  <si>
    <t>https://www.africavet.com/article/fda-conditionally-approves-dectomax%e2%80%91ca1-doramectin-to-combat-terrifying-screwworm-in-cattle</t>
  </si>
  <si>
    <t>fda-conditionally-approves-dectomax%e2%80%91ca1-doramectin-to-combat-terrifying-screwworm-in-cattle</t>
  </si>
  <si>
    <t>Africa’s Fight Against Bird Flu is a Race Against Time</t>
  </si>
  <si>
    <t>https://www.africavet.com/article/africas-fight-against-bird-flu-is-a-race-against-time</t>
  </si>
  <si>
    <t>africas-fight-against-bird-flu-is-a-race-against-time</t>
  </si>
  <si>
    <t>United Against Rabies: Global and African voices in Harmony</t>
  </si>
  <si>
    <t>https://www.africavet.com/article/united-against-rabies-global-and-african-voices-in-harmony</t>
  </si>
  <si>
    <t>united-against-rabies-global-and-african-voices-in-harmony</t>
  </si>
  <si>
    <t>Tchad — Urgences en santé animale : un atelier GEMP “One Health” outille les services vétérinaires</t>
  </si>
  <si>
    <t>https://www.africavet.com/article/tchad-urgences-en-sante-animale-un-atelier-gemp-one-health-outille-les-services-veterinaires</t>
  </si>
  <si>
    <t>tchad-urgences-en-sante-animale-un-atelier-gemp-one-health-outille-les-services-veterinaires</t>
  </si>
  <si>
    <t>An Unprecedented Challenge for the SPACE 2025 Animal Production Show</t>
  </si>
  <si>
    <t>https://www.africavet.com/article/an-unprecedented-challenge-for-the-space-2025-animal-production-show</t>
  </si>
  <si>
    <t>an-unprecedented-challenge-for-the-space-2025-animal-production-show</t>
  </si>
  <si>
    <t>ISCTRC-37 (Nairobi) — One Health, data and delivery: Africa moves from promise to scale on trypanosomiasis</t>
  </si>
  <si>
    <t>https://www.africavet.com/article/isctrc-37-nairobi-one-health-data-and-delivery-africa-moves-from-promise-to-scale-on-trypanosomiasis</t>
  </si>
  <si>
    <t>isctrc-37-nairobi-one-health-data-and-delivery-africa-moves-from-promise-to-scale-on-trypanosomiasis</t>
  </si>
  <si>
    <t>RCA — De la menace à la protection : une stratégie One Health pour contrer la fièvre de la Vallée du Rift</t>
  </si>
  <si>
    <t>https://www.africavet.com/article/rca-de-la-menace-a-la-protection-une-strategie-one-health-pour-contrer-la-fievre-de-la-vallee-du-rift</t>
  </si>
  <si>
    <t>rca-de-la-menace-a-la-protection-une-strategie-one-health-pour-contrer-la-fievre-de-la-vallee-du-rift</t>
  </si>
  <si>
    <t>L'IA au secour de la médecine vétérinaire: la technologie face à la pénurie</t>
  </si>
  <si>
    <t>https://www.africavet.com/article/lia-au-coeur-de-la-transformation-de-la-formation-veterinaire</t>
  </si>
  <si>
    <t>lia-au-coeur-de-la-transformation-de-la-formation-veterinaire</t>
  </si>
  <si>
    <t>Une initiative mondiale pour un bétail résilient et à faible émission de méthane en Afrique</t>
  </si>
  <si>
    <t>https://www.africavet.com/article/une-initiative-mondiale-pour-un-betail-resilient-et-a-faible-emission-de-methane-en-afrique</t>
  </si>
  <si>
    <t>une-initiative-mondiale-pour-un-betail-resilient-et-a-faible-emission-de-methane-en-afrique</t>
  </si>
  <si>
    <t>Remodeler les infrastructures vétérinaires urbaines : leçons tirées de l’Inde</t>
  </si>
  <si>
    <t>https://www.africavet.com/article/remodeler-les-infrastructures-veterinaires-urbaines-lecons-tirees-de-linde</t>
  </si>
  <si>
    <t>remodeler-les-infrastructures-veterinaires-urbaines-lecons-tirees-de-linde</t>
  </si>
  <si>
    <t>Africa’s Veterinary Crisis in Waiting: The Unseen Threat to One Health and Food Security</t>
  </si>
  <si>
    <t>https://www.africavet.com/article/africas-veterinary-crisis-in-waiting-the-unseen-threat-to-one-health-and-food-security</t>
  </si>
  <si>
    <t>africas-veterinary-crisis-in-waiting-the-unseen-threat-to-one-health-and-food-security</t>
  </si>
  <si>
    <t>India’s Animal Stem Cell Biobank Signals a New Era for Livestock Innovation in Africa</t>
  </si>
  <si>
    <t>https://www.africavet.com/article/indias-animal-stem-cell-biobank-signals-a-new-era-for-livestock-innovation-in-africa</t>
  </si>
  <si>
    <t>indias-animal-stem-cell-biobank-signals-a-new-era-for-livestock-innovation-in-africa</t>
  </si>
  <si>
    <t>Cameroun : RACE intensifie la lutte contre la rage, en phase avec les standards internationaux</t>
  </si>
  <si>
    <t>https://www.africavet.com/article/cameroun-race-intensifie-la-lutte-contre-la-rage-en-phase-avec-les-standards-internationaux</t>
  </si>
  <si>
    <t>cameroun-race-intensifie-la-lutte-contre-la-rage-en-phase-avec-les-standards-internationaux</t>
  </si>
  <si>
    <t>Afrique – Pêches : une plateforme « Blue Economy » pour pérenniser l’héritage d’ECOFISH</t>
  </si>
  <si>
    <t>https://www.africavet.com/article/afrique-peches-une-plateforme-blue-economy-pour-perenniser-lheritage-decofish</t>
  </si>
  <si>
    <t>afrique-peches-une-plateforme-blue-economy-pour-perenniser-lheritage-decofish</t>
  </si>
  <si>
    <t>ISCTRC Nairobi 2025 — Innover « Une Seule Santé » pour éliminer la trypanosomose en Afrique</t>
  </si>
  <si>
    <t>https://www.africavet.com/article/isctrc-nairobi-2025-innover-une-seule-sante-pour-eliminer-la-trypanosomose-en-afrique</t>
  </si>
  <si>
    <t>isctrc-nairobi-2025-innover-une-seule-sante-pour-eliminer-la-trypanosomose-en-afrique</t>
  </si>
  <si>
    <t>AfriVIP : la bibliothèque ouverte qui change la formation vétérinaire en Afrique</t>
  </si>
  <si>
    <t>https://www.africavet.com/article/afrivip-la-bibliotheque-ouverte-qui-change-la-formation-veterinaire-en-afrique</t>
  </si>
  <si>
    <t>afrivip-la-bibliotheque-ouverte-qui-change-la-formation-veterinaire-en-afrique</t>
  </si>
  <si>
    <t>Nigéria – Cross River : quand la surveillance antirabique de proximité sauve des vies</t>
  </si>
  <si>
    <t>https://www.africavet.com/article/nigeria-cross-river-quand-la-surveillance-antirabique-de-proximite-sauve-des-vies</t>
  </si>
  <si>
    <t>nigeria-cross-river-quand-la-surveillance-antirabique-de-proximite-sauve-des-vies</t>
  </si>
  <si>
    <t>Afrique subsaharienne – HPAI : nouveaux foyers et mesures d’urgence (FAO, 14 août 2025)</t>
  </si>
  <si>
    <t>https://www.africavet.com/article/afrique-subsaharienne-hpai-nouveaux-foyers-et-mesures-durgence</t>
  </si>
  <si>
    <t>afrique-subsaharienne-hpai-nouveaux-foyers-et-mesures-durgence</t>
  </si>
  <si>
    <t>Cameroun – Ngaoundéré : l’usine laitière portée à 5 000 litres/jour, vitrine de la stratégie d’import-substitution</t>
  </si>
  <si>
    <t>https://www.africavet.com/article/cameroun-ngaoundere-lusine-laitiere</t>
  </si>
  <si>
    <t>cameroun-ngaoundere-lusine-laitiere</t>
  </si>
  <si>
    <t>Cap Vert : Appel d’offres UGPE - équipements &amp;amp; consommables de diagnostic vétérinaire (RFQ 020)</t>
  </si>
  <si>
    <t>https://www.africavet.com/article/cap-vert-appel-doffres-ugpe-equipements-consommables-de-diagnostic-veterinaire-rfq-020</t>
  </si>
  <si>
    <t>cap-vert-appel-doffres-ugpe-equipements-consommables-de-diagnostic-veterinaire-rfq-020</t>
  </si>
  <si>
    <t>Vaccin PPA : des résultats encourageants… mais pas universels</t>
  </si>
  <si>
    <t>https://www.africavet.com/article/vaccin-ppa-des-resultats-encourageants-mais-pas-universels</t>
  </si>
  <si>
    <t>Kenya; Malawi; Afrique du Sud; Ouganda</t>
  </si>
  <si>
    <t>vaccin-ppa-des-resultats-encourageants-mais-pas-universels</t>
  </si>
  <si>
    <t>Burundi lance son mécanisme national One Health</t>
  </si>
  <si>
    <t>https://www.africavet.com/article/burundi-lance-son-mecanisme-national-one-health</t>
  </si>
  <si>
    <t>burundi-lance-son-mecanisme-national-one-health</t>
  </si>
  <si>
    <t>The risk of Screwworm Spread in Africa: Lessons from the US and Implications for Africa</t>
  </si>
  <si>
    <t>https://www.africavet.com/article/screwworms-spread-in-africa-a-growing-biosecurity-threat</t>
  </si>
  <si>
    <t>screwworms-spread-in-africa-a-growing-biosecurity-threat</t>
  </si>
  <si>
    <t>Côte d’Ivoire : les journalistes mobilisés pour renforcer la lutte contre la peste porcine africaine</t>
  </si>
  <si>
    <t>https://www.africavet.com/article/cote-divoire-les-journalistes-mobilises-pour-renforcer-la-lutte-contre-la-peste-porcine-africaine</t>
  </si>
  <si>
    <t>cote-divoire-les-journalistes-mobilises-pour-renforcer-la-lutte-contre-la-peste-porcine-africaine</t>
  </si>
  <si>
    <t>Kenya Secures KES 2.6 Billion for Innovative Fodder Funds to Transform Livestock Resilience and Food Security</t>
  </si>
  <si>
    <t>https://www.africavet.com/article/kenya-secures-kes-2-6-billion-for-innovative-fodder-funds-to-transform-livestock-resilience-and-food-security</t>
  </si>
  <si>
    <t>kenya-secures-kes-2-6-billion-for-innovative-fodder-funds-to-transform-livestock-resilience-and-food-security</t>
  </si>
  <si>
    <t>PPA : L’OMSA souligne l’importance d’utiliser des vaccins de haute qualité conformes à la norme récemment adoptée</t>
  </si>
  <si>
    <t>https://www.africavet.com/article/ppa-lomsa-souligne-limportance-dutiliser-des-vaccins-de-haute-qualite-conformes-a-la-norme-recemment-adoptee</t>
  </si>
  <si>
    <t>ppa-lomsa-souligne-limportance-dutiliser-des-vaccins-de-haute-qualite-conformes-a-la-norme-recemment-adoptee</t>
  </si>
  <si>
    <t>AU-IBAR and CAB International ink an MoU to strengthen SPS capacity and boost intra-African trade</t>
  </si>
  <si>
    <t>https://www.africavet.com/article/au-ibar-and-cab-international-ink-an-mou-to-strengthen-sps-capacity-and-boost-intra-african-trade</t>
  </si>
  <si>
    <t>au-ibar-and-cab-international-ink-an-mou-to-strengthen-sps-capacity-and-boost-intra-african-trade</t>
  </si>
  <si>
    <t>SADC : une zone tampon pour protéger l’élevage et accélérer l’éradication de la PPR</t>
  </si>
  <si>
    <t>https://www.africavet.com/article/sadc-une-zone-tampon-pour-proteger-lelevage-et-accelerer-leradication-de-la-ppr</t>
  </si>
  <si>
    <t>sadc-une-zone-tampon-pour-proteger-lelevage-et-accelerer-leradication-de-la-ppr</t>
  </si>
  <si>
    <t>Kenya : les vétérinaires exigent l’interdiction du commerce des peaux d’ânes</t>
  </si>
  <si>
    <t>https://www.africavet.com/article/kenya-les-veterinaires-exigent-linterdiction-du-commerce-des-peaux-danes</t>
  </si>
  <si>
    <t>kenya-les-veterinaires-exigent-linterdiction-du-commerce-des-peaux-danes</t>
  </si>
  <si>
    <t>Animal Health is Public Health: Why Africa Cannot Afford to Wait</t>
  </si>
  <si>
    <t>https://www.africavet.com/article/animal-health-is-public-health-why-africa-cannot-afford-to-wait</t>
  </si>
  <si>
    <t>animal-health-is-public-health-why-africa-cannot-afford-to-wait</t>
  </si>
  <si>
    <t>Afrique du Sud : une nouvelle agence et une chaire aviaire pour renforcer la recherche vétérinaire</t>
  </si>
  <si>
    <t>https://www.africavet.com/article/afrique-du-sud-une-nouvelle-agence-et-une-chaire-aviaire</t>
  </si>
  <si>
    <t>afrique-du-sud-une-nouvelle-agence-et-une-chaire-aviaire</t>
  </si>
  <si>
    <t>Zimbabwe reçoit 100 000 doses de vaccin antirabique de l'OMSA</t>
  </si>
  <si>
    <t>https://www.africavet.com/article/zimbabwe-recoit-100-000-doses-de-vaccin-antirabique-de-lomsa</t>
  </si>
  <si>
    <t>zimbabwe-recoit-100-000-doses-de-vaccin-antirabique-de-lomsa</t>
  </si>
  <si>
    <t>🐟 AWFISHNET forme son nouveau Bureau sur la gouvernance et la redevabilité</t>
  </si>
  <si>
    <t>https://www.africavet.com/article/%f0%9f%90%9f-awfishnet-forme-son-nouveau-bureau-sur-la-gouvernance-et-la-redevabilite</t>
  </si>
  <si>
    <t>%f0%9f%90%9f-awfishnet-forme-son-nouveau-bureau-sur-la-gouvernance-et-la-redevabilite</t>
  </si>
  <si>
    <t>Kenya — la KVB ouvre une enquête pour « pratique vétérinaire illégale » alléguée</t>
  </si>
  <si>
    <t>https://www.africavet.com/article/kenya-la-kvb-ouvre-une-enquete-pour-pratique-veterinaire-illegale-alleguee</t>
  </si>
  <si>
    <t>kenya-la-kvb-ouvre-une-enquete-pour-pratique-veterinaire-illegale-alleguee</t>
  </si>
  <si>
    <t>Nord-Kivu : alerte sanitaire sur les petits ruminants – suspicion de PPR dans plusieurs localités</t>
  </si>
  <si>
    <t>https://www.africavet.com/article/nord-kivu-alerte-sanitaire-sur-les-petits-ruminants</t>
  </si>
  <si>
    <t>nord-kivu-alerte-sanitaire-sur-les-petits-ruminants</t>
  </si>
  <si>
    <t>West Africa: Abidjan sets the course for PPR Eradication by 2030</t>
  </si>
  <si>
    <t>https://www.africavet.com/article/west-africa-abidjan-sets-the-course-for-ppr-eradication-by-2030</t>
  </si>
  <si>
    <t>west-africa-abidjan-sets-the-course-for-ppr-eradication-by-2030</t>
  </si>
  <si>
    <t>Maladies des poissons en Afrique : un enjeu stratégique pour la sécurité alimentaire, l’emploi et les prix</t>
  </si>
  <si>
    <t>https://www.africavet.com/article/maladies-des-poissons-en-afrique-un-enjeu-strategique-pour-la-securite-alimentaire-lemploi-et-les-prix</t>
  </si>
  <si>
    <t>maladies-des-poissons-en-afrique-un-enjeu-strategique-pour-la-securite-alimentaire-lemploi-et-les-prix</t>
  </si>
  <si>
    <t>Lutte contre les maladies halieutiques : le Burkina Faso lance la vaccination des poissons contre les streptococcoses</t>
  </si>
  <si>
    <t>https://www.africavet.com/article/lutte-contre-les-maladies-halieutiques-burkina-faso</t>
  </si>
  <si>
    <t>lutte-contre-les-maladies-halieutiques-burkina-faso</t>
  </si>
  <si>
    <t>New Dates &amp;amp; Venue: 37th ISCTRC General Conference set for 15–19 Sept 2025 in Nairobi, Kenya</t>
  </si>
  <si>
    <t>https://www.africavet.com/article/new-dates-venue-37th-isctrc-general-conference-set-for-15-19-sept-2025-in-nairobi-kenya</t>
  </si>
  <si>
    <t>new-dates-venue-37th-isctrc-general-conference-set-for-15-19-sept-2025-in-nairobi-kenya</t>
  </si>
  <si>
    <t>Lutte contre la peste porcine africaine : Les éleveurs de Katiola outillés pour prévenir la maladie</t>
  </si>
  <si>
    <t>https://www.africavet.com/article/lutte-contre-la-peste-porcine-africaine-les-eleveurs-de-katiola-outilles-pour-prevenir-la-maladie</t>
  </si>
  <si>
    <t>lutte-contre-la-peste-porcine-africaine-les-eleveurs-de-katiola-outilles-pour-prevenir-la-maladie</t>
  </si>
  <si>
    <t>Zambie – Trois stations communautaires contre les tiques : une chefferie se mobilise pour la santé animale</t>
  </si>
  <si>
    <t>https://www.africavet.com/article/zambie-trois-stations-communautaires-contre-les-tiques-une-chefferie-se-mobilise-pour-la-sante-animale</t>
  </si>
  <si>
    <t>zambie-trois-stations-communautaires-contre-les-tiques-une-chefferie-se-mobilise-pour-la-sante-animale</t>
  </si>
  <si>
    <t>Tunisia faces legal vacuum on dangerous dogs after brutal attack in Gabès</t>
  </si>
  <si>
    <t>https://www.africavet.com/article/tunisia-faces-legal-vacuum-on-dangerous-dogs-after-brutal-attack-in-gabes</t>
  </si>
  <si>
    <t>tunisia-faces-legal-vacuum-on-dangerous-dogs-after-brutal-attack-in-gabes</t>
  </si>
  <si>
    <t>Tunisie – Chiens dangereux en ville : un vide juridique aux conséquences tragiques</t>
  </si>
  <si>
    <t>https://www.africavet.com/article/tunisie-chiens-dangereux-en-ville-un-vide-juridique-aux-consequences-tragiques</t>
  </si>
  <si>
    <t>tunisie-chiens-dangereux-en-ville-un-vide-juridique-aux-consequences-tragiques</t>
  </si>
  <si>
    <t>🌍 BioPREVAIL lance un défi mondial pour des laboratoires durables</t>
  </si>
  <si>
    <t>https://www.africavet.com/article/bioprevail-lance-un-defi-mondial-pour-des-laboratoires-durables</t>
  </si>
  <si>
    <t>bioprevail-lance-un-defi-mondial-pour-des-laboratoires-durables</t>
  </si>
  <si>
    <t>WION-SOF Moves Forward by Enhancing Governance and Gender Inclusion in Octopus Fisheries</t>
  </si>
  <si>
    <t>https://www.africavet.com/article/wion-sof-moves-forward-by-enhancing-governance-and-gender-inclusion-in-octopus-fisheries</t>
  </si>
  <si>
    <t>Maurice; Seychelles</t>
  </si>
  <si>
    <t>wion-sof-moves-forward-by-enhancing-governance-and-gender-inclusion-in-octopus-fisheries</t>
  </si>
  <si>
    <t>Vidéo : Launch of the Pan African Programme for the Eradication of Peste des Petits Ruminants (PPR) in Africa</t>
  </si>
  <si>
    <t>https://www.africavet.com/article/video-launch-of-the-pan-african-programme-for-the-eradication-of-peste-des-petits-ruminants-ppr-in-africa</t>
  </si>
  <si>
    <t>video-launch-of-the-pan-african-programme-for-the-eradication-of-peste-des-petits-ruminants-ppr-in-africa</t>
  </si>
  <si>
    <t>Yaoundé accueille la 9ᵉ Conférence africaine sur le bien-être animal : trois jours pour renforcer les actions pour un avenir durable</t>
  </si>
  <si>
    <t>https://www.africavet.com/article/yaounde-accueille-la-9%e1%b5%89-conference-africaine</t>
  </si>
  <si>
    <t>yaounde-accueille-la-9%e1%b5%89-conference-africaine</t>
  </si>
  <si>
    <t>EISMV : Ouverture de l’inscription du Master (M2) en Gestion et Surveillance Sanitaire de la Faune Sauvage</t>
  </si>
  <si>
    <t>https://www.africavet.com/article/eismv-ouverture-de-linscription-du-master-m2-en-gestion-et-surveillance-sanitaire-de-la-faune-sauvage</t>
  </si>
  <si>
    <t>eismv-ouverture-de-linscription-du-master-m2-en-gestion-et-surveillance-sanitaire-de-la-faune-sauvage</t>
  </si>
  <si>
    <t>EISMV : Ouverture de l’inscription du Master (M2) en Productions Animales et Développement Durable</t>
  </si>
  <si>
    <t>https://www.africavet.com/article/eismv-ouverture-de-linscription-du-master-m2-en-productions-animales-et-developpement-durable</t>
  </si>
  <si>
    <t>eismv-ouverture-de-linscription-du-master-m2-en-productions-animales-et-developpement-durable</t>
  </si>
  <si>
    <t>EISMV : Ouverture de l’inscription du Master (M2) en Qualité des aliments de l’homme</t>
  </si>
  <si>
    <t>https://www.africavet.com/article/eismv-ouverture-de-linscription-du-master-m2-en-qualite-des-aliments-de-lhomme</t>
  </si>
  <si>
    <t>eismv-ouverture-de-linscription-du-master-m2-en-qualite-des-aliments-de-lhomme</t>
  </si>
  <si>
    <t>FAO : Director-General visits agrifood research institute in Uganda</t>
  </si>
  <si>
    <t>https://www.africavet.com/article/fao-director-general-visits-agrifood-research-institute-in-uganda</t>
  </si>
  <si>
    <t>fao-director-general-visits-agrifood-research-institute-in-uganda</t>
  </si>
  <si>
    <t>Commemorating the Africa Day of Seas and Oceans – Fishing for the Future</t>
  </si>
  <si>
    <t>https://www.africavet.com/article/commemorating-the-africa-day-of-seas-and-oceans-fishing-for-the-future</t>
  </si>
  <si>
    <t>commemorating-the-africa-day-of-seas-and-oceans-fishing-for-the-future</t>
  </si>
  <si>
    <t>World AMR Awareness Week (WAAW) 2025</t>
  </si>
  <si>
    <t>https://www.africavet.com/article/world-amr-awareness-week-waaw-2025</t>
  </si>
  <si>
    <t>world-amr-awareness-week-waaw-2025</t>
  </si>
  <si>
    <t>Cameroun : Le MINEPIA à la rencontre des pisciculteurs de Monatélé – Étaka</t>
  </si>
  <si>
    <t>https://www.africavet.com/article/cameroun-le-minepia-a-la-rencontre-des-pisciculteurs-de-monatele-etaka</t>
  </si>
  <si>
    <t>cameroun-le-minepia-a-la-rencontre-des-pisciculteurs-de-monatele-etaka</t>
  </si>
  <si>
    <t>OMSA : Nouveaux bénéficiaires de la reconnaissance officielle du statut zoosanitaire et des programmes de contrôle des maladies</t>
  </si>
  <si>
    <t>https://www.africavet.com/article/omsa-nouveaux-beneficiaires-de-la-reconnaissance-officielle</t>
  </si>
  <si>
    <t>omsa-nouveaux-beneficiaires-de-la-reconnaissance-officielle</t>
  </si>
  <si>
    <t>FAO: Innovation and national product branding can transform agrifood systems in Africa and Asia</t>
  </si>
  <si>
    <t>https://www.africavet.com/article/fao-innovation-and-national</t>
  </si>
  <si>
    <t>fao-innovation-and-national</t>
  </si>
  <si>
    <t>Afrique du Sud : Fièvre aphteuse au KwaZulu-Natal : les petits éleveurs acculés à des choix impossibles</t>
  </si>
  <si>
    <t>https://www.africavet.com/article/afrique-du-sud-fievre-aphteuse-au-kwazulu-natal-les-petits-eleveurs-accules-a-des-choix-impossibles</t>
  </si>
  <si>
    <t>afrique-du-sud-fievre-aphteuse-au-kwazulu-natal-les-petits-eleveurs-accules-a-des-choix-impossibles</t>
  </si>
  <si>
    <t>Senegal and Guinea join forces for sustainable fisheries and coastal livelihoods</t>
  </si>
  <si>
    <t>https://www.africavet.com/article/senegal-and-guinea-join-forces-for-sustainable-fisheries-and-coastal-livelihoods</t>
  </si>
  <si>
    <t>senegal-and-guinea-join-forces-for-sustainable-fisheries-and-coastal-livelihoods</t>
  </si>
  <si>
    <t>AU Equips Countries for Strategic Fisheries &amp;amp; Aquaculture Planning</t>
  </si>
  <si>
    <t>https://www.africavet.com/article/au-equips-countries-for-strategic-fisheries-aquaculture-planning</t>
  </si>
  <si>
    <t>Mauritanie; Maurice; Afrique du Sud; Tunisie; Ouganda</t>
  </si>
  <si>
    <t>au-equips-countries-for-strategic-fisheries-aquaculture-planning</t>
  </si>
  <si>
    <t>Africa CDC Weekly Brief | 7 – 13 July 2025</t>
  </si>
  <si>
    <t>https://www.africavet.com/article/africa-cdc-weekly-brief-7-13-july-2025</t>
  </si>
  <si>
    <t>africa-cdc-weekly-brief-7-13-july-2025</t>
  </si>
  <si>
    <t>AU-IBAR : Enhancing Regional Animal Disease Surveillance under the TADS Program</t>
  </si>
  <si>
    <t>https://www.africavet.com/article/au-ibar-enhancing-regional-animal-disease-surveillance-under-the-tads-program</t>
  </si>
  <si>
    <t>Cameroun; République centrafricaine; Tchad; Éthiopie; Kenya; Afrique du Sud; Tanzanie; Tunisie</t>
  </si>
  <si>
    <t>au-ibar-enhancing-regional-animal-disease-surveillance-under-the-tads-program</t>
  </si>
  <si>
    <t>Zoonoses : santé publique et productions animales</t>
  </si>
  <si>
    <t>https://www.africavet.com/article/zoonoses-sante-publique-et-productions-animales</t>
  </si>
  <si>
    <t>zoonoses-sante-publique-et-productions-animales</t>
  </si>
  <si>
    <t>EFFECTIVE LIVESTOCK POLICIES; THE HISTORY &amp;amp; FUTURE OF ANIMAL HEALTH SERVICES IN AFRICA</t>
  </si>
  <si>
    <t>https://www.africavet.com/article/effective-livestock-policies-the-history-future-of-animal-health-services-in-africa</t>
  </si>
  <si>
    <t>effective-livestock-policies-the-history-future-of-animal-health-services-in-africa</t>
  </si>
  <si>
    <t>Santé, Climat et Zoonoses : L’Afrique trace une nouvelle voie de résilience</t>
  </si>
  <si>
    <t>https://www.africavet.com/article/sante-climat-et-zoonoses-lafrique-trace-une-nouvelle-voie-de-resilience</t>
  </si>
  <si>
    <t>sante-climat-et-zoonoses-lafrique-trace-une-nouvelle-voie-de-resilience</t>
  </si>
  <si>
    <t>ReJPAPH‑AOS : les médias africains s’unissent pour valoriser l’agriculture, l’élevage et la pêche en Afrique de l’Ouest</t>
  </si>
  <si>
    <t>https://www.africavet.com/article/rejpaphaos-les-medias-africains</t>
  </si>
  <si>
    <t>rejpaphaos-les-medias-africains</t>
  </si>
  <si>
    <t>Nigeria : l’intelligence artificielle révolutionne la santé animale avec VetWiz 2.0</t>
  </si>
  <si>
    <t>https://www.africavet.com/article/nigeria-lintelligence-artificielle-revolutionne-la-sante-animale-avec-vetwiz-2-0</t>
  </si>
  <si>
    <t>Outils</t>
  </si>
  <si>
    <t>nigeria-lintelligence-artificielle-revolutionne-la-sante-animale-avec-vetwiz-2-0</t>
  </si>
  <si>
    <t>Sénégal: EISMV, ISRA et CORAF scellent une alliance stratégique pour transformer la recherche, l’élevage et la formation vétérinaire en Afrique</t>
  </si>
  <si>
    <t>https://www.africavet.com/article/dakar-eismv-isra-et-coraf</t>
  </si>
  <si>
    <t>dakar-eismv-isra-et-coraf</t>
  </si>
  <si>
    <t>Filière vétérinaire au Gabon : l’ESMVM lance son concours d’entrée pour les talents de demain </t>
  </si>
  <si>
    <t>https://www.africavet.com/article/filiere-veterinaire-au-gabon-lesmvm-lance-son-concours-dentree</t>
  </si>
  <si>
    <t>filiere-veterinaire-au-gabon-lesmvm-lance-son-concours-dentree</t>
  </si>
  <si>
    <t>L’EISMV de Dakar tient son Conseil d’Établissement et consolide sa vision panafricaine</t>
  </si>
  <si>
    <t>https://www.africavet.com/article/leismv-de-dakar-tient-son-conseil-detablissement</t>
  </si>
  <si>
    <t>leismv-de-dakar-tient-son-conseil-detablissement</t>
  </si>
  <si>
    <t>What if bats could finally help defeat rabies in Africa?</t>
  </si>
  <si>
    <t>https://www.africavet.com/article/what-if-bats-could-finally-help-defeat-rabies-in-africa</t>
  </si>
  <si>
    <t>what-if-bats-could-finally-help-defeat-rabies-in-africa</t>
  </si>
  <si>
    <t>Et si les chauves-souris aidaient enfin à vaincre la rage en Afrique ?</t>
  </si>
  <si>
    <t>https://www.africavet.com/article/et-si-les-chauves-souris-aidaient-enfin-a-vaincre-la-rage-en-afrique</t>
  </si>
  <si>
    <t>et-si-les-chauves-souris-aidaient-enfin-a-vaincre-la-rage-en-afrique</t>
  </si>
  <si>
    <t>L’Afrique adopte une stratégie historique pour la préservation des ânes – Un nouveau souffle pour le développement rural et la résilience des communautés</t>
  </si>
  <si>
    <t>https://www.africavet.com/article/lafrique-adopte-une-strategie-historique-pour-la-preservation-des-anes</t>
  </si>
  <si>
    <t>lafrique-adopte-une-strategie-historique-pour-la-preservation-des-anes</t>
  </si>
  <si>
    <t>Le Docteur Baba Soumaré nommé Directeur général adjoint de l’Organisation Mondiale de la Santé Animale (OMSA)</t>
  </si>
  <si>
    <t>https://www.africavet.com/article/le-dr-baba-soumare-nomme-directeur-general-adjoint-de-lomsa</t>
  </si>
  <si>
    <t>le-dr-baba-soumare-nomme-directeur-general-adjoint-de-lomsa</t>
  </si>
  <si>
    <t>Sécurité alimentaire en Tanzanie : le rôle moteur des agriculteurs et des coopératives salué</t>
  </si>
  <si>
    <t>https://www.africavet.com/article/securite-alimentaire-en-tanzanie-le-role-moteur-des-agriculteurs-et-des-cooperatives-salue</t>
  </si>
  <si>
    <t>securite-alimentaire-en-tanzanie-le-role-moteur-des-agriculteurs-et-des-cooperatives-salue</t>
  </si>
  <si>
    <t>Tanzanie : une campagne nationale de vaccination du bétail pour propulser les exportations et les revenus des éleveurs</t>
  </si>
  <si>
    <t>https://www.africavet.com/article/tanzanie-une-campagne-nationale-de-vaccination</t>
  </si>
  <si>
    <t>tanzanie-une-campagne-nationale-de-vaccination</t>
  </si>
  <si>
    <t>Côte d’Ivoire : Les Organisations Interprofessionnelles Agricoles reçoivent leur feuille de route pour dynamiser les filières animales et halieutiques</t>
  </si>
  <si>
    <t>https://www.africavet.com/article/cote-divoire-les-organisations-interprofessionnelles-agricoles</t>
  </si>
  <si>
    <t>cote-divoire-les-organisations-interprofessionnelles-agricoles</t>
  </si>
  <si>
    <t>Éthiopie : l’hybridation des bovins, moteur d’une révolution agricole silencieuse</t>
  </si>
  <si>
    <t>https://www.africavet.com/article/ethiopie-lhybridation-des-bovins</t>
  </si>
  <si>
    <t>ethiopie-lhybridation-des-bovins</t>
  </si>
  <si>
    <t>African Union Participation at the World Aquaculture Safari 2025: Advancing Sustainable Fisheries and Aquaculture in Africa</t>
  </si>
  <si>
    <t>https://www.africavet.com/article/african-union-participation-at-the-world-aquaculture</t>
  </si>
  <si>
    <t>african-union-participation-at-the-world-aquaculture</t>
  </si>
  <si>
    <t>Côte d’Ivoire : Face à la peste porcine africaine, un atelier pour protéger l’avenir de l’élevage</t>
  </si>
  <si>
    <t>https://www.africavet.com/article/cote-divoire-face-a-la-peste-porcine-africaine-un-atelier-pour-proteger-lavenir-de-lelevage</t>
  </si>
  <si>
    <t>cote-divoire-face-a-la-peste-porcine-africaine-un-atelier-pour-proteger-lavenir-de-lelevage</t>
  </si>
  <si>
    <t>Abidjan : l’Afrique de l’Ouest réinvente la lutte contre la PPR — Communautés, secteur privé et décideurs réunis pour un objectif historique</t>
  </si>
  <si>
    <t>https://www.africavet.com/article/abidjan-lafrique-de-louest-ppr</t>
  </si>
  <si>
    <t>abidjan-lafrique-de-louest-ppr</t>
  </si>
  <si>
    <t>Le vaccin qui a protégé les troupeaux au Maroc</t>
  </si>
  <si>
    <t>https://www.africavet.com/article/le-vaccin-qui-a-protege-les-troupeaux-au-maroc</t>
  </si>
  <si>
    <t>le-vaccin-qui-a-protege-les-troupeaux-au-maroc</t>
  </si>
  <si>
    <t>Sénégal – À Thiès, les techniciens vétérinaires privés réclament une réforme pour une santé animale inclusive et résiliente</t>
  </si>
  <si>
    <t>https://www.africavet.com/article/senegal-a-thies-les-techniciens</t>
  </si>
  <si>
    <t>senegal-a-thies-les-techniciens</t>
  </si>
  <si>
    <t>Sécurité sanitaire des aliments : un enjeu vital pour l’Afrique, confrontée à plus d’un demi-million de décès chaque année</t>
  </si>
  <si>
    <t>https://www.africavet.com/article/securite-sanitaire-des-aliments-un-enjeu-vital-pour-lafrique-confrontee-a-plus-dun-demi-million-de-deces-chaque-annee</t>
  </si>
  <si>
    <t>securite-sanitaire-des-aliments-un-enjeu-vital-pour-lafrique-confrontee-a-plus-dun-demi-million-de-deces-chaque-annee</t>
  </si>
  <si>
    <t>National Veterinary Research Institute (NVRI), Vom, Nigéria</t>
  </si>
  <si>
    <t>https://www.africavet.com/article/national-veterinary-research-institute-nvri-vom-nigeria</t>
  </si>
  <si>
    <t>Fiches</t>
  </si>
  <si>
    <t>national-veterinary-research-institute-nvri-vom-nigeria</t>
  </si>
  <si>
    <t>Mali : une stratégie nationale ambitieuse pour sécuriser le cheptel face à la menace terroriste</t>
  </si>
  <si>
    <t>https://www.africavet.com/article/mali-une-strategie-nationale-ambitieuse-pour-securiser-le-cheptel</t>
  </si>
  <si>
    <t>mali-une-strategie-nationale-ambitieuse-pour-securiser-le-cheptel</t>
  </si>
  <si>
    <t>La révolution des systèmes d’information géographique (SIG) : un levier stratégique pour la gestion efficace de la peste porcine africaine en Afrique</t>
  </si>
  <si>
    <t>https://www.africavet.com/article/la-revolution-des-systemes-dinformation-geographique-sig-un-levier-strategique-pour-la-gestion-efficace-de-la-peste-porcine-africaine-en-afrique</t>
  </si>
  <si>
    <t>la-revolution-des-systemes-dinformation-geographique-sig-un-levier-strategique-pour-la-gestion-efficace-de-la-peste-porcine-africaine-en-afrique</t>
  </si>
  <si>
    <t>Tunisie : regain d’intérêt économique pour le lait de chamelle dans le Sud aride</t>
  </si>
  <si>
    <t>https://www.africavet.com/article/tunisie-regain-dinteret-economique-pour-le-lait-de-chamelle-dans-le-sud-aride</t>
  </si>
  <si>
    <t>tunisie-regain-dinteret-economique-pour-le-lait-de-chamelle-dans-le-sud-aride</t>
  </si>
  <si>
    <t>Tanzanie : une campagne d’envergure historique pour vacciner et tracer son cheptel — un tournant stratégique pour l’élevage africain</t>
  </si>
  <si>
    <t>https://www.africavet.com/article/tanzanie-une-campagne-denvergure-historique-pour-vacciner</t>
  </si>
  <si>
    <t>tanzanie-une-campagne-denvergure-historique-pour-vacciner</t>
  </si>
  <si>
    <t>Vidéo : Réintroduction de 70 rhinocéros blancs au Rwanda</t>
  </si>
  <si>
    <t>https://www.africavet.com/article/video-reintroduction-de-70-rhinoceros-blancs-au-rwanda</t>
  </si>
  <si>
    <t>video-reintroduction-de-70-rhinoceros-blancs-au-rwanda</t>
  </si>
  <si>
    <t>Sierra Leone Fights Mpox</t>
  </si>
  <si>
    <t>https://www.africavet.com/article/sierra-leone-fights-mpox</t>
  </si>
  <si>
    <t>Mpox</t>
  </si>
  <si>
    <t>sierra-leone-fights-mpox</t>
  </si>
  <si>
    <t>Grippe Aviaire H5N1 : L’Afrique face à la prochaine menace pandémique ?</t>
  </si>
  <si>
    <t>https://www.africavet.com/article/grippe-aviaire-h5n1-lafrique-face-a-la-prochaine-menace-pandemique</t>
  </si>
  <si>
    <t>grippe-aviaire-h5n1-lafrique-face-a-la-prochaine-menace-pandemique</t>
  </si>
  <si>
    <t>Le Sénégal se prépare à accueillir la 19e édition du Forum Africain sur les Systèmes Alimentaires : la jeunesse au cœur de la transformation</t>
  </si>
  <si>
    <t>https://www.africavet.com/article/le-senegal-se-prepare-a-accueillir-la-19e-edition-du-forum-africain-sur-les-systemes-alimentaires-la-jeunesse-au-coeur-de-la-transformation</t>
  </si>
  <si>
    <t>le-senegal-se-prepare-a-accueillir-la-19e-edition-du-forum-africain-sur-les-systemes-alimentaires-la-jeunesse-au-coeur-de-la-transformation</t>
  </si>
  <si>
    <t>Tchad : le ministre de l’Élevage en mission à Vienne pour promouvoir le plan stratégique du CILSS</t>
  </si>
  <si>
    <t>https://www.africavet.com/article/tchad-le-ministre-de-lelevage-en-mission-a-vienne-pour-promouvoir-le-plan-strategique-du-cilss</t>
  </si>
  <si>
    <t>tchad-le-ministre-de-lelevage-en-mission-a-vienne-pour-promouvoir-le-plan-strategique-du-cilss</t>
  </si>
  <si>
    <t>Côte d'Ivoire : Opération de renforcement du contrôle sanitaire vétérinaire</t>
  </si>
  <si>
    <t>https://www.africavet.com/article/cote-divoire-operation-de-renforcement-du-controle-sanitaire-veterinaire</t>
  </si>
  <si>
    <t>cote-divoire-operation-de-renforcement-du-controle-sanitaire-veterinaire</t>
  </si>
  <si>
    <t>New Regional Network Formed to Support Small-Scale Octopus Fisheries in the Western Indian Ocean</t>
  </si>
  <si>
    <t>https://www.africavet.com/article/new-regional-network-formed-to-support-small-scale-octopus-fisheries-in-the-western-indian-ocean</t>
  </si>
  <si>
    <t>Kenya; Madagascar; Tanzanie</t>
  </si>
  <si>
    <t>new-regional-network-formed-to-support-small-scale-octopus-fisheries-in-the-western-indian-ocean</t>
  </si>
  <si>
    <t>Camélidés : piliers de résilience climatique en Afrique – l’AU-IBAR en chef d’orchestre à Nairobi</t>
  </si>
  <si>
    <t>https://www.africavet.com/article/camelides-piliers-de-resilience-climatique-en-afrique-lau-ibar-en-chef-dorchestre-a-nairobi</t>
  </si>
  <si>
    <t>camelides-piliers-de-resilience-climatique-en-afrique-lau-ibar-en-chef-dorchestre-a-nairobi</t>
  </si>
  <si>
    <t>Regional Forum on the International Year of Camelids and Sustainable Livestock Transformation in Africa</t>
  </si>
  <si>
    <t>https://www.africavet.com/article/regional-forum-on-the-international-year-of-camelids</t>
  </si>
  <si>
    <t>regional-forum-on-the-international-year-of-camelids</t>
  </si>
  <si>
    <t>Malaisie : une chèvre locale pourrait renforcer la sécurité alimentaire</t>
  </si>
  <si>
    <t>https://www.africavet.com/article/malaisie-une-chevre-locale-pourrait-renforcer-la-securite-alimentaire</t>
  </si>
  <si>
    <t>malaisie-une-chevre-locale-pourrait-renforcer-la-securite-alimentaire</t>
  </si>
  <si>
    <t>OMSA : Moins d’utilisation d’antimicrobiens chez les animaux : une victoire pour tous</t>
  </si>
  <si>
    <t>https://www.africavet.com/article/omsa-moins-dutilisation-dantimicrobiens-chez-les-animaux-une-victoire-pour-tous</t>
  </si>
  <si>
    <t>omsa-moins-dutilisation-dantimicrobiens-chez-les-animaux-une-victoire-pour-tous</t>
  </si>
  <si>
    <t>ILRI declared first Collaborating Center for One Health by WOAH</t>
  </si>
  <si>
    <t>https://www.africavet.com/article/ilri-declared-first-collaborating-center-for-one-health-by-woah</t>
  </si>
  <si>
    <t>ilri-declared-first-collaborating-center-for-one-health-by-woah</t>
  </si>
  <si>
    <t>Et si on formait les vétérinaires autrement ? L’EISMV mise sur la simulation pour révolutionner l’apprentissage en santé animale</t>
  </si>
  <si>
    <t>https://www.africavet.com/article/et-si-on-formait-les-veterinaires-autrement-leismv-mise-sur-la-simulation-pour-revolutionner-lapprentissage-en-sante-animale</t>
  </si>
  <si>
    <t>et-si-on-formait-les-veterinaires-autrement-leismv-mise-sur-la-simulation-pour-revolutionner-lapprentissage-en-sante-animale</t>
  </si>
  <si>
    <t>Egypt’s Health Minister calls for unified ‘One Health’ strategy on World Veterinary Day</t>
  </si>
  <si>
    <t>https://www.africavet.com/article/egypts-health-minister-calls-for-unified-one-health-strategy-on-world-veterinary-day</t>
  </si>
  <si>
    <t>egypts-health-minister-calls-for-unified-one-health-strategy-on-world-veterinary-day</t>
  </si>
  <si>
    <t>Égypte – Le ministre de la Santé appelle à une stratégie « Une Seule Santé » intégrée pour faire face aux menaces sanitaires</t>
  </si>
  <si>
    <t>https://www.africavet.com/article/egypte-le-ministre-de-la-sante-appelle-a-une-strategie-une-seule-sante-integree-pour-faire-face-aux-menaces-sanitaires</t>
  </si>
  <si>
    <t>egypte-le-ministre-de-la-sante-appelle-a-une-strategie-une-seule-sante-integree-pour-faire-face-aux-menaces-sanitaires</t>
  </si>
  <si>
    <t>EISMV : Renforcement des capacités des Enseignants des Écoles Partenaires du Projet P3V</t>
  </si>
  <si>
    <t>https://www.africavet.com/article/eismv-renforcement-des-capacites-des-enseignants-des-ecoles-partenaires-du-projet-p3v</t>
  </si>
  <si>
    <t>eismv-renforcement-des-capacites-des-enseignants-des-ecoles-partenaires-du-projet-p3v</t>
  </si>
  <si>
    <t>When an animal disease becomes a social crisis: Rural africa rises against PPR</t>
  </si>
  <si>
    <t>https://www.africavet.com/article/when-an-animal-disease-becomes-a-social-crisis-rural-africa-rises-against-ppr</t>
  </si>
  <si>
    <t>when-an-animal-disease-becomes-a-social-crisis-rural-africa-rises-against-ppr</t>
  </si>
  <si>
    <t>Face aux menaces sanitaires, l’approche « Une Seule Santé » s’impose comme une réponse scientifique globale</t>
  </si>
  <si>
    <t>https://www.africavet.com/article/face-aux-menaces-sanitaires-lapproche-une-seule-sante-simpose-comme-une-reponse-scientifique-globale</t>
  </si>
  <si>
    <t>face-aux-menaces-sanitaires-lapproche-une-seule-sante-simpose-comme-une-reponse-scientifique-globale</t>
  </si>
  <si>
    <t>Sixth Meeting of the ECOWAS Regional Veterinary Committee (RVC) : Facing Antimicrobial Resistance in West Africa and the Sahel</t>
  </si>
  <si>
    <t>https://www.africavet.com/article/sixth-meeting-of-the-ecowas-regional-veterinary-committee-rvc-facing-antimicrobial-resistance-in-west-africa-and-the-sahel</t>
  </si>
  <si>
    <t>sixth-meeting-of-the-ecowas-regional-veterinary-committee-rvc-facing-antimicrobial-resistance-in-west-africa-and-the-sahel</t>
  </si>
  <si>
    <t>Validating the Implementation Plan: Gender Strategy for Aquatic Biodiversity</t>
  </si>
  <si>
    <t>https://www.africavet.com/article/validating-the-implementation-plan-gender-strategy-for-aquatic-biodiversity</t>
  </si>
  <si>
    <t>Égypte; Éthiopie; Malawi</t>
  </si>
  <si>
    <t>validating-the-implementation-plan-gender-strategy-for-aquatic-biodiversity</t>
  </si>
  <si>
    <t>Rwanda – Olivier Nsengimana : un vétérinaire d’exception au service des grues</t>
  </si>
  <si>
    <t>https://www.africavet.com/article/rwanda-olivier-nsengimana-un-veterinaire-dexception-au-service-des-grues</t>
  </si>
  <si>
    <t>rwanda-olivier-nsengimana-un-veterinaire-dexception-au-service-des-grues</t>
  </si>
  <si>
    <t>Tabaski 2025 : le Sénégal renforce ses liens avec le Mali pour sécuriser l’approvisionnement en moutons et soutenir la filière pastorale</t>
  </si>
  <si>
    <t>https://www.africavet.com/article/tabaski-2025-le-senegal-renforce-ses-liens-avec-le-mali-pour-securiser-lapprovisionnement-en-moutons-et-soutenir-la-filiere-pastorale</t>
  </si>
  <si>
    <t>tabaski-2025-le-senegal-renforce-ses-liens-avec-le-mali-pour-securiser-lapprovisionnement-en-moutons-et-soutenir-la-filiere-pastorale</t>
  </si>
  <si>
    <t>Le Cameroun renforce sa lutte contre la pêche illégale avec la Charte mondiale pour la transparence</t>
  </si>
  <si>
    <t>https://www.africavet.com/article/le-cameroun-renforce-sa-lutte-contre-la-peche-illegale-avec-la-charte-mondiale-pour-la-transparence</t>
  </si>
  <si>
    <t>le-cameroun-renforce-sa-lutte-contre-la-peche-illegale-avec-la-charte-mondiale-pour-la-transparence</t>
  </si>
  <si>
    <t>EISMV : Animation Scientifique 2025</t>
  </si>
  <si>
    <t>https://www.africavet.com/article/eismv-animation-scientifique-2025</t>
  </si>
  <si>
    <t>eismv-animation-scientifique-2025</t>
  </si>
  <si>
    <t>La FAO lance au Sénégal le projet « Exploration de données et alerte précoce pour les menaces liées à la santé animale »</t>
  </si>
  <si>
    <t>https://www.africavet.com/article/la-fao-lance-au-senegal-le-projet-exploration-de-donnees-et-alerte-precoce-pour-les-menaces-liees-a-la-sante-animale</t>
  </si>
  <si>
    <t>la-fao-lance-au-senegal-le-projet-exploration-de-donnees-et-alerte-precoce-pour-les-menaces-liees-a-la-sante-animale</t>
  </si>
  <si>
    <t>OMSA célèbre la finalisation historique des négociations de l’Accord sur les Pandémies</t>
  </si>
  <si>
    <t>https://www.africavet.com/article/omsa-celebre-la-finalisation-historique-des-negociations-de-laccord-sur-les-pandemies</t>
  </si>
  <si>
    <t>omsa-celebre-la-finalisation-historique-des-negociations-de-laccord-sur-les-pandemies</t>
  </si>
  <si>
    <t>Africa CDC and WHO Update Mpox Strategy as Outbreaks Persist</t>
  </si>
  <si>
    <t>https://www.africavet.com/article/africa-cdc-and-who-update-mpox-strategy-as-outbreaks-persist</t>
  </si>
  <si>
    <t>africa-cdc-and-who-update-mpox-strategy-as-outbreaks-persist</t>
  </si>
  <si>
    <t>APMD Stakeholders' Coordination and Engagement of Technical Working Group</t>
  </si>
  <si>
    <t>https://www.africavet.com/article/apmd-stakeholders-coordination-and-engagement-of-technical-working-group</t>
  </si>
  <si>
    <t>apmd-stakeholders-coordination-and-engagement-of-technical-working-group</t>
  </si>
  <si>
    <t>Unveiling Nigeria’s National Feed Balance and Inventory</t>
  </si>
  <si>
    <t>https://www.africavet.com/article/unveiling-nigerias-national-feed-balance-and-inventory</t>
  </si>
  <si>
    <t>unveiling-nigerias-national-feed-balance-and-inventory</t>
  </si>
  <si>
    <t>Senegal Advances Roadmap for Marine Protected Areas through National Consultative Workshop</t>
  </si>
  <si>
    <t>https://www.africavet.com/article/senegal-advances-roadmap</t>
  </si>
  <si>
    <t>senegal-advances-roadmap</t>
  </si>
  <si>
    <t>Annonce des recommandations relatives à la composition des vaccins antigrippaux pour la saison grippale 2025-2026 dans l’hémisphère Nord</t>
  </si>
  <si>
    <t>https://www.africavet.com/article/annonce-des-recommandations-relatives-a-la-composition-des-vaccins-antigrippaux-pour-la-saison-grippale</t>
  </si>
  <si>
    <t>annonce-des-recommandations-relatives-a-la-composition-des-vaccins-antigrippaux-pour-la-saison-grippale</t>
  </si>
  <si>
    <t>Mpox en RD Congo : la fin de l’aide américaine freine la riposte sanitaire</t>
  </si>
  <si>
    <t>https://www.africavet.com/article/mpox-en-rd-congo-la-fin-de-laide-americaine-freine-la-riposte-sanitaire</t>
  </si>
  <si>
    <t>mpox-en-rd-congo-la-fin-de-laide-americaine-freine-la-riposte-sanitaire</t>
  </si>
  <si>
    <t>Henipavirus in Cameroon: A Growing Threat at the Human-Wildlife-Livestock Interface</t>
  </si>
  <si>
    <t>https://www.africavet.com/article/henipavirus-in-cameroon-a-growing-threat-at-the-human-wildlife-livestock-interface</t>
  </si>
  <si>
    <t>henipavirus-in-cameroon-a-growing-threat-at-the-human-wildlife-livestock-interface</t>
  </si>
  <si>
    <t>Grippe Aviaire Hautement Pathogène : Un Défi mondial appelant à une réponse "Une Seule Santé"</t>
  </si>
  <si>
    <t>https://www.africavet.com/article/grippe-aviaire-hautement-pathogene-un-defi-mondial-appelant-a-une-reponse-une-seule-sante</t>
  </si>
  <si>
    <t>grippe-aviaire-hautement-pathogene-un-defi-mondial-appelant-a-une-reponse-une-seule-sante</t>
  </si>
  <si>
    <t>Tanzanie : les drones au service de la pêche, un secteur vital sous pression</t>
  </si>
  <si>
    <t>https://www.africavet.com/article/tanzanie-les-drones-au-service-de-la-peche-un-secteur-vital-sous-pression</t>
  </si>
  <si>
    <t>tanzanie-les-drones-au-service-de-la-peche-un-secteur-vital-sous-pression</t>
  </si>
  <si>
    <t>Sénégal : la pêche artisanale en crise, entre détentions en Mauritanie et urgence de relance</t>
  </si>
  <si>
    <t>https://www.africavet.com/article/senegal-la-peche-artisanale-en-crise-entre-detentions-en-mauritanie-et-urgence-de-relance</t>
  </si>
  <si>
    <t>senegal-la-peche-artisanale-en-crise-entre-detentions-en-mauritanie-et-urgence-de-relance</t>
  </si>
  <si>
    <t>The Continental World AMR Awareness Week (WAAW) Africa 2024 - Yaounde, Cameroon (WOAH edition.)</t>
  </si>
  <si>
    <t>https://www.africavet.com/article/the-continental-world-amr-awareness-week-waaw-africa-2024-yaounde-cameroon-woah-edition</t>
  </si>
  <si>
    <t>the-continental-world-amr-awareness-week-waaw-africa-2024-yaounde-cameroon-woah-edition</t>
  </si>
  <si>
    <t>Togo : Médicaments vétérinaires falsifiés : le gouvernement en état d’alerte pour sauver l’élevage et la sécurité sanitaire</t>
  </si>
  <si>
    <t>https://www.africavet.com/article/togo-medicaments-veterinaires-falsifies-le-gouvernement-en-etat-dalerte-pour-sauver-lelevage-et-la-securite-sanitaire</t>
  </si>
  <si>
    <t>togo-medicaments-veterinaires-falsifies-le-gouvernement-en-etat-dalerte-pour-sauver-lelevage-et-la-securite-sanitaire</t>
  </si>
  <si>
    <t>3rd Regional Workshop on Fisheries, Aquaculture, and the Blue Economy in Africa’s Development</t>
  </si>
  <si>
    <t>https://www.africavet.com/article/3rd-regional-workshop-on-fisheries-aquaculture-and-the-blue-economy-in-africas-development</t>
  </si>
  <si>
    <t>3rd-regional-workshop-on-fisheries-aquaculture-and-the-blue-economy-in-africas-development</t>
  </si>
  <si>
    <t>South Sudan Charts a Sustainable Path in Fisheries and Aquaculture Through AU-Aligned Reforms</t>
  </si>
  <si>
    <t>https://www.africavet.com/article/south-sudan-charts-a-sustainable-path-in-fisheries-and-aquaculture-through-au-aligned-reforms</t>
  </si>
  <si>
    <t>south-sudan-charts-a-sustainable-path-in-fisheries-and-aquaculture-through-au-aligned-reforms</t>
  </si>
  <si>
    <t>Le Burkina Faso veut devenir un champion de l’exportation de viande en Afrique de l’Ouest</t>
  </si>
  <si>
    <t>https://www.africavet.com/article/le-burkina-faso-veut-devenir-un-champion-de-lexportation-de-viande-en-afrique-de-louest</t>
  </si>
  <si>
    <t>le-burkina-faso-veut-devenir-un-champion-de-lexportation-de-viande-en-afrique-de-louest</t>
  </si>
  <si>
    <t>Cameroun : le gouvernement mise sur l’apiculture pour stimuler l’économie rurale</t>
  </si>
  <si>
    <t>https://www.africavet.com/article/cameroun-le-gouvernement-mise-sur-lapiculture-pour-stimuler-leconomie-rurale</t>
  </si>
  <si>
    <t>cameroun-le-gouvernement-mise-sur-lapiculture-pour-stimuler-leconomie-rurale</t>
  </si>
  <si>
    <t>Towards a world free of peste des petits ruminants: why investing matters</t>
  </si>
  <si>
    <t>https://www.africavet.com/article/towards-a-world-free-of-peste-des-petits-ruminants-why-investing-matters</t>
  </si>
  <si>
    <t>towards-a-world-free-of-peste-des-petits-ruminants-why-investing-matters</t>
  </si>
  <si>
    <t>Garoua : le SIAGROS 2024 ouvre ses portes sous le signe de l’innovation agropastorale et de la sécurité alimentaire</t>
  </si>
  <si>
    <t>https://www.africavet.com/article/garoua-le-siagros-2024-ouvre-ses-portes-sous-le-signe-de-linnovation-agropastorale-et-de-la-securite-alimentaire</t>
  </si>
  <si>
    <t>garoua-le-siagros-2024-ouvre-ses-portes-sous-le-signe-de-linnovation-agropastorale-et-de-la-securite-alimentaire</t>
  </si>
  <si>
    <t>Mbour – L’Afrique de l’Ouest renforce ses services vétérinaires pour protéger la santé animale et humaine</t>
  </si>
  <si>
    <t>https://www.africavet.com/article/mbour-lafrique-de-louest-renforce-ses-services-veterinaires-pour-proteger-la-sante-animale-et-humaine</t>
  </si>
  <si>
    <t>mbour-lafrique-de-louest-renforce-ses-services-veterinaires-pour-proteger-la-sante-animale-et-humaine</t>
  </si>
  <si>
    <t>Relance de la filière crevettière : le Cameroun mise sur une gestion durable pour redynamiser la pêche et l’aquaculture</t>
  </si>
  <si>
    <t>https://www.africavet.com/article/relance-de-la-filiere-crevettiere-le-cameroun-mise-sur-une-gestion-durable-pour-redynamiser-la-peche-et-laquaculture</t>
  </si>
  <si>
    <t>relance-de-la-filiere-crevettiere-le-cameroun-mise-sur-une-gestion-durable-pour-redynamiser-la-peche-et-laquaculture</t>
  </si>
  <si>
    <t>First Stakeholder Meeting on Raising Awareness for the Eradication of PPR for the Central African Region</t>
  </si>
  <si>
    <t>https://www.africavet.com/article/first-stakeholder-meeting-on-raising-awareness-for-the-eradication-of-ppr-for-the-central-african-region</t>
  </si>
  <si>
    <t>first-stakeholder-meeting-on-raising-awareness-for-the-eradication-of-ppr-for-the-central-african-region</t>
  </si>
  <si>
    <t>Strengthening Regional Hub, Laboratory Diagnosis &amp;amp; Vaccine Production to Combat PPR in Central Africa</t>
  </si>
  <si>
    <t>https://www.africavet.com/article/strengthening-regional-hub-laboratory-diagnosis-vaccine-production-to-combat-ppr-in-central-africa</t>
  </si>
  <si>
    <t>strengthening-regional-hub-laboratory-diagnosis-vaccine-production-to-combat-ppr-in-central-africa</t>
  </si>
  <si>
    <t>International Year of Camelids photo contest</t>
  </si>
  <si>
    <t>https://www.africavet.com/article/international-year-of-camelids-photo-contest</t>
  </si>
  <si>
    <t>international-year-of-camelids-photo-contest</t>
  </si>
  <si>
    <t>Cameroun : Renforcer la résilience des petits exploitants agricoles d'Akonolinga face aux zoonoses transmises par les vecteurs</t>
  </si>
  <si>
    <t>https://www.africavet.com/article/cameroun-renforcer-la-resilience-des-petits-exploitants-agricoles-dakonolinga-face-aux-zoonoses-transmises-par-les-vecteurs</t>
  </si>
  <si>
    <t>cameroun-renforcer-la-resilience-des-petits-exploitants-agricoles-dakonolinga-face-aux-zoonoses-transmises-par-les-vecteurs</t>
  </si>
  <si>
    <t>Suspension du financement américain : un frein à la riposte contre la mpox en RDC, aggravant la crise sanitaire et le risque zoonotique</t>
  </si>
  <si>
    <t>https://www.africavet.com/article/suspension-du-financement-americain-un-frein-a-la-riposte-contre-la-mpox-en-rdc-aggravant-la-crise-sanitaire-et-le-risque-zoonotique</t>
  </si>
  <si>
    <t>suspension-du-financement-americain-un-frein-a-la-riposte-contre-la-mpox-en-rdc-aggravant-la-crise-sanitaire-et-le-risque-zoonotique</t>
  </si>
  <si>
    <t>CEEAC – SANTE : VERS L’OPERATIONNALISATION DE LA PLATEFORME REGIONALE DE PARTAGE D’INFORMATIONS DE SURVEILLANCE DES MALADIES DANS L’ESPACE CEEAC</t>
  </si>
  <si>
    <t>https://www.africavet.com/article/ceeac-sante-vers-loperationnalisation-de-la-plateforme-regionale-de-partage-dinformations-de-surveillance-des-maladies-dans-lespace-ceeac</t>
  </si>
  <si>
    <t>ceeac-sante-vers-loperationnalisation-de-la-plateforme-regionale-de-partage-dinformations-de-surveillance-des-maladies-dans-lespace-ceeac</t>
  </si>
  <si>
    <t>Surveillance de l'Influenza A (H5N1) chez les bovins : Une urgence sanitaire en Afrique</t>
  </si>
  <si>
    <t>https://www.africavet.com/article/surveillance-de-linfluenza-a-h5n1-chez-les-bovins-une-urgence-sanitaire-en-afrique</t>
  </si>
  <si>
    <t>surveillance-de-linfluenza-a-h5n1-chez-les-bovins-une-urgence-sanitaire-en-afrique</t>
  </si>
  <si>
    <t>Le Tchad engagé dans l’éradication de la PPR : Une priorité pour la sécurité alimentaire et l’élevage en Afrique</t>
  </si>
  <si>
    <t>https://www.africavet.com/article/le-tchad-engage-dans-leradication-de-la-ppr-une-priorite-pour-la-securite-alimentaire-et-lelevage-en-afrique</t>
  </si>
  <si>
    <t>le-tchad-engage-dans-leradication-de-la-ppr-une-priorite-pour-la-securite-alimentaire-et-lelevage-en-afrique</t>
  </si>
  <si>
    <t>Le CDC lance une alerte sanitaire sur l’épidémie d’Ebola en Ouganda</t>
  </si>
  <si>
    <t>https://www.africavet.com/article/le-cdc-lance-une-alerte-sanitaire-sur-lepidemie-debola-en-ouganda</t>
  </si>
  <si>
    <t>le-cdc-lance-une-alerte-sanitaire-sur-lepidemie-debola-en-ouganda</t>
  </si>
  <si>
    <t>Tchad : Former pour protéger – une avancée dans la lutte contre les maladies animales</t>
  </si>
  <si>
    <t>https://www.africavet.com/article/tchad-former-pour-proteger-une-avancee-dans-la-lutte-contre-les-maladies-animales</t>
  </si>
  <si>
    <t>tchad-former-pour-proteger-une-avancee-dans-la-lutte-contre-les-maladies-animales</t>
  </si>
  <si>
    <t>AU-IBAR : APMD Platform Launch Signals New Era for Africa’s Pastoral Livestock Sector</t>
  </si>
  <si>
    <t>https://www.africavet.com/article/au-ibar-apmd-platform-launch-signals-new-era-for-africas-pastoral-livestock-sector</t>
  </si>
  <si>
    <t>au-ibar-apmd-platform-launch-signals-new-era-for-africas-pastoral-livestock-sector</t>
  </si>
  <si>
    <t>ISSMV | Une Nouvelle année sous le signe de l’engagement et de la reconnaissance</t>
  </si>
  <si>
    <t>https://www.africavet.com/article/issmv-une-nouvelle-annee-sous-le-signe-de-lengagement-et-de-la-reconnaissance</t>
  </si>
  <si>
    <t>issmv-une-nouvelle-annee-sous-le-signe-de-lengagement-et-de-la-reconnaissance</t>
  </si>
  <si>
    <t>Maladies zoonotiques : un défi majeur pour la santé publique, animale et environnementale grâce à l’approche Une Seule Santé</t>
  </si>
  <si>
    <t>https://www.africavet.com/article/maladies-zoonotiques-un-defi-majeur-pour-la-sante-publique-animale-et-environnementale-grace-a-lapproche-une-seule-sante</t>
  </si>
  <si>
    <t>maladies-zoonotiques-un-defi-majeur-pour-la-sante-publique-animale-et-environnementale-grace-a-lapproche-une-seule-sante</t>
  </si>
  <si>
    <t>Tanzanie : Une nouvelle flambée de la maladie à virus Marburg confirmée dans la région de Kagera</t>
  </si>
  <si>
    <t>https://www.africavet.com/article/tanzanie-une-nouvelle-flambee-de-la-maladie-a-virus-marburg-confirmee-dans-la-region-de-kagera</t>
  </si>
  <si>
    <t>tanzanie-une-nouvelle-flambee-de-la-maladie-a-virus-marburg-confirmee-dans-la-region-de-kagera</t>
  </si>
  <si>
    <t>Élevage au Gabon : 1 001 zébus brésiliens pour relancer la filière bovine et renforcer la sécurité alimentaire en Afrique centrale</t>
  </si>
  <si>
    <t>https://www.africavet.com/article/elevage-au-gabon-1-001-zebus-bresiliens-pour-relancer-la-filiere-bovine-et-renforcer-la-securite-alimentaire-en-afrique-centrale</t>
  </si>
  <si>
    <t>elevage-au-gabon-1-001-zebus-bresiliens-pour-relancer-la-filiere-bovine-et-renforcer-la-securite-alimentaire-en-afrique-centrale</t>
  </si>
  <si>
    <t>Togo : Validation du Plan Stratégique de Développement de l'Élevage, de la Pêche et de l'Aquaculture</t>
  </si>
  <si>
    <t>https://www.africavet.com/article/togo-validation-du-plan-strategique-de-developpement-de-lelevage-de-la-peche-et-de-laquaculture</t>
  </si>
  <si>
    <t>togo-validation-du-plan-strategique-de-developpement-de-lelevage-de-la-peche-et-de-laquaculture</t>
  </si>
  <si>
    <t>Recommendations for the surveillance of influenza A(H5N1) in cattle</t>
  </si>
  <si>
    <t>https://www.africavet.com/article/recommendations-for-the-surveillance-of-influenza-ah5n1-in-cattle</t>
  </si>
  <si>
    <t>Autres Documents</t>
  </si>
  <si>
    <t>recommendations-for-the-surveillance-of-influenza-ah5n1-in-cattle</t>
  </si>
  <si>
    <t>Developing biosecurity checklists to facilitate the progressive adoption of good practices among pig farmers in the United Republic of Tanzania</t>
  </si>
  <si>
    <t>https://www.africavet.com/article/developing-biosecurity-checklists-to-facilitate-the-progressive-adoption-of-good-practices-among-pig-farmers-in-the-united-republic-of-tanzania</t>
  </si>
  <si>
    <t>developing-biosecurity-checklists-to-facilitate-the-progressive-adoption-of-good-practices-among-pig-farmers-in-the-united-republic-of-tanzania</t>
  </si>
  <si>
    <t>Nouvel accord sur les quotas de pêche entre Dakar et Nouakchott</t>
  </si>
  <si>
    <t>https://www.africavet.com/article/nouvel-accord-sur-les-quotas-de-peche-entre-dakar-et-nouakchott</t>
  </si>
  <si>
    <t>nouvel-accord-sur-les-quotas-de-peche-entre-dakar-et-nouakchott</t>
  </si>
  <si>
    <t>Comprendre et Lutter Contre les Myiases à Mouches Bouchères en Afrique de l’Ouest : Rejoignez le Webinaire de la FAO</t>
  </si>
  <si>
    <t>https://www.africavet.com/article/4493-2</t>
  </si>
  <si>
    <t>4493-2</t>
  </si>
  <si>
    <t>Alerte sanitaire en Tanzanie : l’OMS mobilisée face à une flambée suspectée de la maladie à virus Marburg</t>
  </si>
  <si>
    <t>https://www.africavet.com/article/alerte-sanitaire-en-tanzanie-loms-mobilisee-face-a-une-flambee-suspectee-de-la-maladie-a-virus-marburg</t>
  </si>
  <si>
    <t>alerte-sanitaire-en-tanzanie-loms-mobilisee-face-a-une-flambee-suspectee-de-la-maladie-a-virus-marburg</t>
  </si>
  <si>
    <t>Kenya : Le président William Ruto défend vigoureusement la campagne nationale de vaccination animale</t>
  </si>
  <si>
    <t>https://www.africavet.com/article/kenya-le-president-william-ruto-defend-vigoureusement-la-campagne-nationale-de-vaccination-animale</t>
  </si>
  <si>
    <t>kenya-le-president-william-ruto-defend-vigoureusement-la-campagne-nationale-de-vaccination-animale</t>
  </si>
  <si>
    <t>De l’inspiration à l’action : Comment l’Ouganda guide le Sénégal vers l’autosuffisance laitière</t>
  </si>
  <si>
    <t>https://www.africavet.com/article/de-linspiration-a-laction-comment-louganda-guide-le-senegal-vers-lautosuffisance-laitiere</t>
  </si>
  <si>
    <t>de-linspiration-a-laction-comment-louganda-guide-le-senegal-vers-lautosuffisance-laitiere</t>
  </si>
  <si>
    <t>Tragédie maritime à Saint-Louis : la ministre des Pêches annonce des solutions pour prévenir de futurs drames</t>
  </si>
  <si>
    <t>https://www.africavet.com/article/tragedie-maritime-a-saint-louis-la-ministre-des-peches-annonce-des-solutions-pour-prevenir-de-futurs-drames</t>
  </si>
  <si>
    <t>tragedie-maritime-a-saint-louis-la-ministre-des-peches-annonce-des-solutions-pour-prevenir-de-futurs-drames</t>
  </si>
  <si>
    <t>Tchad : L'élevage, pilier de l'économie, face aux défis et opportunités du développement</t>
  </si>
  <si>
    <t>https://www.africavet.com/article/tchad-lelevage-pilier-de-leconomie-face-aux-defis-et-opportunites-du-developpement</t>
  </si>
  <si>
    <t>tchad-lelevage-pilier-de-leconomie-face-aux-defis-et-opportunites-du-developpement</t>
  </si>
  <si>
    <t>Transformer l’agriculture africaine pour un avenir résilient : Engagements clés de la Déclaration de Kampala du PDDAA</t>
  </si>
  <si>
    <t>https://www.africavet.com/article/transformer-lagriculture-africaine-pour-un-avenir-resilient-engagements-cles-de-la-declaration-de-kampala-du-pddaa</t>
  </si>
  <si>
    <t>transformer-lagriculture-africaine-pour-un-avenir-resilient-engagements-cles-de-la-declaration-de-kampala-du-pddaa</t>
  </si>
  <si>
    <t>Transforming African agriculture for a resilient future: Key commitments from the Kampala CAADP Declaration</t>
  </si>
  <si>
    <t>https://www.africavet.com/article/transforming-african-agriculture-for-a-resilient-future-key-commitments-from-the-kampala-caadp-declaration</t>
  </si>
  <si>
    <t>transforming-african-agriculture-for-a-resilient-future-key-commitments-from-the-kampala-caadp-declaration</t>
  </si>
  <si>
    <t>Fièvre catarrhale ovine en Europe : comment le changement climatique modifie le profil de la maladie</t>
  </si>
  <si>
    <t>https://www.africavet.com/article/fievre-catarrhale-ovine-en-europe-comment-le-changement-climatique-modifie-le-profil-de-la-maladie</t>
  </si>
  <si>
    <t>fievre-catarrhale-ovine-en-europe-comment-le-changement-climatique-modifie-le-profil-de-la-maladie</t>
  </si>
  <si>
    <t>Ébola et la peau : de nouvelles découvertes pour mieux comprendre et prévenir la transmission</t>
  </si>
  <si>
    <t>https://www.africavet.com/article/ebola-et-la-peau-de-nouvelles-decouvertes-pour-mieux-comprendre-et-prevenir-la-transmission</t>
  </si>
  <si>
    <t>ebola-et-la-peau-de-nouvelles-decouvertes-pour-mieux-comprendre-et-prevenir-la-transmission</t>
  </si>
  <si>
    <t>Niger: An ambitious vaccination campaign to protect livestock and empower rural communities</t>
  </si>
  <si>
    <t>https://www.africavet.com/article/niger-an-ambitious-vaccination-campaign-to-protect-livestock-and-empower-rural-communities</t>
  </si>
  <si>
    <t>niger-an-ambitious-vaccination-campaign-to-protect-livestock-and-empower-rural-communities</t>
  </si>
  <si>
    <t>Éthiopie : Des milliers d’éleveurs déplacés, l'élevage gravement menacé par une crise sismique</t>
  </si>
  <si>
    <t>https://www.africavet.com/article/ethiopie-des-milliers-deleveurs-deplaces-lelevage-gravement-menace-par-une-crise-sismique</t>
  </si>
  <si>
    <t>ethiopie-des-milliers-deleveurs-deplaces-lelevage-gravement-menace-par-une-crise-sismique</t>
  </si>
  <si>
    <t>FAO alerts European countries to enhance preparedness for combating peste des petits ruminants</t>
  </si>
  <si>
    <t>https://www.africavet.com/article/fao-alerts-european-countries-to-enhance-preparedness-for-combating-peste-des-petits-ruminants</t>
  </si>
  <si>
    <t>fao-alerts-european-countries-to-enhance-preparedness-for-combating-peste-des-petits-ruminants</t>
  </si>
  <si>
    <t>Madagascar : Trois mois de suspension de la pêche à la langouste pour préserver une ressource essentielle</t>
  </si>
  <si>
    <t>https://www.africavet.com/article/madagascar-trois-mois-de-suspension-de-la-peche-a-la-langouste-pour-preserver-une-ressource-essentielle</t>
  </si>
  <si>
    <t>madagascar-trois-mois-de-suspension-de-la-peche-a-la-langouste-pour-preserver-une-ressource-essentielle</t>
  </si>
  <si>
    <t>Extraordinary Summit on the Post Malabo Comprehensive Africa Agriculture Development Programme (CAADP)</t>
  </si>
  <si>
    <t>https://www.africavet.com/article/extraordinary-summit-on-the-post-malabo-comprehensive-africa-agriculture-development-programme-caadp</t>
  </si>
  <si>
    <t>extraordinary-summit-on-the-post-malabo-comprehensive-africa-agriculture-development-programme-caadp</t>
  </si>
  <si>
    <t>Sénégal : Programme Souxali Sa Gokh, un Partenariat Stratégique entre M. Dame Diane et le MASAE pour Renforcer la Sécurité Alimentaire</t>
  </si>
  <si>
    <t>https://www.africavet.com/article/senegal-programme-souxali-sa-gokh-un-partenariat-strategique-entre-m-dame-diane-et-le-masae-pour-renforcer-la-securite-alimentaire</t>
  </si>
  <si>
    <t>senegal-programme-souxali-sa-gokh-un-partenariat-strategique-entre-m-dame-diane-et-le-masae-pour-renforcer-la-securite-alimentaire</t>
  </si>
  <si>
    <t>Cannabis dans l'Élevage : Les leçons du Brésil pour la Médecine Vétérinaire Africaine</t>
  </si>
  <si>
    <t>https://www.africavet.com/article/cannabis-dans-lelevage-les-lecons-du-bresil-pour-la-medecine-veterinaire-africaine</t>
  </si>
  <si>
    <t>cannabis-dans-lelevage-les-lecons-du-bresil-pour-la-medecine-veterinaire-africaine</t>
  </si>
  <si>
    <t>Cameroun : Jaji Gidado, pilier du MINEPIA et défenseur des Mbororo, nous a quittés</t>
  </si>
  <si>
    <t>https://www.africavet.com/article/cameroun-jaji-guidado-pilier-du-minepia-et-defenseur-des-mbororo-nous-a-quittes</t>
  </si>
  <si>
    <t>cameroun-jaji-guidado-pilier-du-minepia-et-defenseur-des-mbororo-nous-a-quittes</t>
  </si>
  <si>
    <t>Lutte contre la Grippe Aviaire : Les États-Unis investissent 300 millions de dollars</t>
  </si>
  <si>
    <t>https://www.africavet.com/article/lutte-contre-la-grippe-aviaire-les-etats-unis-investissent-300-millions-de-dollars</t>
  </si>
  <si>
    <t>lutte-contre-la-grippe-aviaire-les-etats-unis-investissent-300-millions-de-dollars</t>
  </si>
  <si>
    <t>Les nouvelles perspectives des scientifiques africains en génomique et bioinformatique</t>
  </si>
  <si>
    <t>https://www.africavet.com/article/les-nouvelles-perspectives-des-scientifiques-africains-en-genomique-et-bioinformatique</t>
  </si>
  <si>
    <t>les-nouvelles-perspectives-des-scientifiques-africains-en-genomique-et-bioinformatique</t>
  </si>
  <si>
    <t>Partenariat Tchadien-Égyptien : Un accord stratégique dans le secteur de l'élevage</t>
  </si>
  <si>
    <t>https://www.africavet.com/article/partenariat-tchadien-egyptien-un-accord-strategique-dans-le-secteur-de-lelevage</t>
  </si>
  <si>
    <t>partenariat-tchadien-egyptien-un-accord-strategique-dans-le-secteur-de-lelevage</t>
  </si>
  <si>
    <t>Bénin : Vers une autonomie avicole avec l'interdiction du poulet importé</t>
  </si>
  <si>
    <t>https://www.africavet.com/article/benin-vers-une-autonomie-avicole-avec-linterdiction-du-poulet-importe</t>
  </si>
  <si>
    <t>benin-vers-une-autonomie-avicole-avec-linterdiction-du-poulet-importe</t>
  </si>
  <si>
    <t>Les chauves-souris migratrices surfent sur les vents chauds pour parcourir des centaines de kilomètres</t>
  </si>
  <si>
    <t>https://www.africavet.com/article/les-chauves-souris-migratrices-surfent-sur-les-vents-chauds-pour-parcourir-des-centaines-de-kilometres</t>
  </si>
  <si>
    <t>les-chauves-souris-migratrices-surfent-sur-les-vents-chauds-pour-parcourir-des-centaines-de-kilometres</t>
  </si>
  <si>
    <t>WAOH : 100 years - Scientific &amp;amp; Technical Review Special Edition</t>
  </si>
  <si>
    <t>https://www.africavet.com/article/waoh-100-years-scientific-technical-review-special-edition</t>
  </si>
  <si>
    <t>waoh-100-years-scientific-technical-review-special-edition</t>
  </si>
  <si>
    <t>Côte d'Ivoire : Cérémonie de lancement du renforcement du Contrôle Sanitaire Vétérinaire</t>
  </si>
  <si>
    <t>https://www.africavet.com/article/cote-divoire-ceremonie-de-lancement-du-renforcement-du-controle-sanitaire-veterinaire</t>
  </si>
  <si>
    <t>cote-divoire-ceremonie-de-lancement-du-renforcement-du-controle-sanitaire-veterinaire</t>
  </si>
  <si>
    <t>FAO Director-General QU Dongyu 2024 Year End Video Message</t>
  </si>
  <si>
    <t>https://www.africavet.com/article/fao-director-general-qu-dongyu-2024-year-end-video-message</t>
  </si>
  <si>
    <t>fao-director-general-qu-dongyu-2024-year-end-video-message</t>
  </si>
  <si>
    <t>CDENO : 50 ans d’innovations au service de l’élevage dans le Nord-Ouest, Cameroun</t>
  </si>
  <si>
    <t>https://www.africavet.com/article/cdeno-50-ans-dinnovations-au-service-de-lelevage-dans-le-nord-ouest-cameroun</t>
  </si>
  <si>
    <t>cdeno-50-ans-dinnovations-au-service-de-lelevage-dans-le-nord-ouest-cameroun</t>
  </si>
  <si>
    <t>Visite de travail du DG de l’EISMV auprès du Ministre de l’Enseignement supérieur, de la Recherche et de l’Innovation du Sénégal</t>
  </si>
  <si>
    <t>https://www.africavet.com/article/visite-de-travail-du-dg-de-leismv-aupres-du-ministre-de-lenseignement-superieur-de-la-recherche-et-de-linnovation-du-senegal</t>
  </si>
  <si>
    <t>visite-de-travail-du-dg-de-leismv-aupres-du-ministre-de-lenseignement-superieur-de-la-recherche-et-de-linnovation-du-senegal</t>
  </si>
  <si>
    <t>FAO : Four ways One Health helps in ranking food safety risks</t>
  </si>
  <si>
    <t>https://www.africavet.com/article/fao-four-ways-one-health-helps-in-ranking-food-safety-risks</t>
  </si>
  <si>
    <t>fao-four-ways-one-health-helps-in-ranking-food-safety-risks</t>
  </si>
  <si>
    <t>FAO and the Pandemic Fund</t>
  </si>
  <si>
    <t>https://www.africavet.com/article/fao-and-the-pandemic-fund</t>
  </si>
  <si>
    <t>fao-and-the-pandemic-fund</t>
  </si>
  <si>
    <t>Semaine d'exposition-vente pour que l’aviculture vole de ses propres aile</t>
  </si>
  <si>
    <t>https://www.africavet.com/article/semaine-dexposition-vente-pour-que-laviculture-vole-de-ses-propres-aile</t>
  </si>
  <si>
    <t>semaine-dexposition-vente-pour-que-laviculture-vole-de-ses-propres-aile</t>
  </si>
  <si>
    <t>WHO : Rift Valley fever</t>
  </si>
  <si>
    <t>https://www.africavet.com/article/rift-valley-fever</t>
  </si>
  <si>
    <t>Kenya; Somalie; Tanzanie</t>
  </si>
  <si>
    <t>rift-valley-fever</t>
  </si>
  <si>
    <t>Russie-Maroc : un partenariat stratégique pour l'industrie de la pêche</t>
  </si>
  <si>
    <t>https://www.africavet.com/article/russie-maroc-un-partenariat-strategique-pour-lindustrie-de-la-peche</t>
  </si>
  <si>
    <t>russie-maroc-un-partenariat-strategique-pour-lindustrie-de-la-peche</t>
  </si>
  <si>
    <t>Nouveau cadre pour renforcer l'alerte précoce face aux menaces sanitaires animales</t>
  </si>
  <si>
    <t>https://www.africavet.com/article/nouveau-cadre-pour-renforcer-lalerte-precoce-face-aux-menaces-sanitaires-animales</t>
  </si>
  <si>
    <t>nouveau-cadre-pour-renforcer-lalerte-precoce-face-aux-menaces-sanitaires-animales</t>
  </si>
  <si>
    <t>FAO alert on African swine fever – high risk of spread due to lunar new year holidays season</t>
  </si>
  <si>
    <t>https://www.africavet.com/article/fao-alert-on-african-swine-fever-high-risk-of-spread-due-to-lunar-new-year-holidays-season</t>
  </si>
  <si>
    <t>fao-alert-on-african-swine-fever-high-risk-of-spread-due-to-lunar-new-year-holidays-season</t>
  </si>
  <si>
    <t>CDC: H5N1 mutations in severely ill patient could boost spread, but risk remains low</t>
  </si>
  <si>
    <t>https://www.africavet.com/article/cdc-h5n1-mutations-in-severely-ill-patient-could-boost-spread-but-risk-remains-low</t>
  </si>
  <si>
    <t>cdc-h5n1-mutations-in-severely-ill-patient-could-boost-spread-but-risk-remains-low</t>
  </si>
  <si>
    <t>Côte d'Ivoire : Abattage de 100 000 porcs en 2024 pour contenir la Peste Porcine</t>
  </si>
  <si>
    <t>https://www.africavet.com/article/cote-divoire-abattage-de-100-000-porcs-en-2024</t>
  </si>
  <si>
    <t>cote-divoire-abattage-de-100-000-porcs-en-2024</t>
  </si>
  <si>
    <t>Sénégal : Pêche illégale – Ousmane Sonko annonce des mesures conservatoires</t>
  </si>
  <si>
    <t>https://www.africavet.com/article/senegal-peche-illegale-le-pm-annonce-des-mesures-conservatoires</t>
  </si>
  <si>
    <t>senegal-peche-illegale-le-pm-annonce-des-mesures-conservatoires</t>
  </si>
  <si>
    <t>Gestion efficace des urgences de santé animale au Togo</t>
  </si>
  <si>
    <t>https://www.africavet.com/article/gestion-efficace-des-urgences-de-sante-animale-au-togo</t>
  </si>
  <si>
    <t>gestion-efficace-des-urgences-de-sante-animale-au-togo</t>
  </si>
  <si>
    <t>L’ECTAD joue un rôle essentiel dans la protection de la santé des personnes et des animaux.</t>
  </si>
  <si>
    <t>https://www.africavet.com/article/lectad-joue-un-role-essentiel-dans-la-protection-de-la-sante-des-personnes-et-des-animaux</t>
  </si>
  <si>
    <t>lectad-joue-un-role-essentiel-dans-la-protection-de-la-sante-des-personnes-et-des-animaux</t>
  </si>
  <si>
    <t>La FAO forme les agents de santé animale du Togo</t>
  </si>
  <si>
    <t>https://www.africavet.com/article/la-fao-forme-les-agents-de-sante-animale-du-togo</t>
  </si>
  <si>
    <t>la-fao-forme-les-agents-de-sante-animale-du-togo</t>
  </si>
  <si>
    <t>FAO-Togo : Les agents de santé animale formés à l’outil EMA-i+</t>
  </si>
  <si>
    <t>https://www.africavet.com/article/fao-togo-les-agents-de-sante-animale-formes-a-loutil-ema-i</t>
  </si>
  <si>
    <t>fao-togo-les-agents-de-sante-animale-formes-a-loutil-ema-i</t>
  </si>
  <si>
    <t>Cameroun : vers une éradication de la peste des petits ruminants</t>
  </si>
  <si>
    <t>https://www.africavet.com/article/cameroun-vers-une-eradication-de-la-peste-des-petits-ruminants</t>
  </si>
  <si>
    <t>cameroun-vers-une-eradication-de-la-peste-des-petits-ruminants</t>
  </si>
  <si>
    <t>Cameroun : Le marché aux poissons de Youpwè révolutionne l’Afrique centrale</t>
  </si>
  <si>
    <t>https://www.africavet.com/article/cameroun-le-marche-aux-poissons-de-youpwe-revolutionne-lafrique-centrale</t>
  </si>
  <si>
    <t>cameroun-le-marche-aux-poissons-de-youpwe-revolutionne-lafrique-centrale</t>
  </si>
  <si>
    <t>CDC Confirms First Severe Case of H5N1 Bird Flu in the United States</t>
  </si>
  <si>
    <t>https://www.africavet.com/article/cdc-confirms-first-severe-case-of-h5n1-bird-flu-in-the-united-states</t>
  </si>
  <si>
    <t>cdc-confirms-first-severe-case-of-h5n1-bird-flu-in-the-united-states</t>
  </si>
  <si>
    <t>AU-IBAR et la Coalition Internationale des Équidés de Travail : Un accord Historique pour la préservation des ânes en Afrique</t>
  </si>
  <si>
    <t>https://www.africavet.com/article/au-ibar-et-la-coalition-internationale-des-equides-de-travail-un-accord-historique-pour-la-preservation-des-anes-en-afrique</t>
  </si>
  <si>
    <t>au-ibar-et-la-coalition-internationale-des-equides-de-travail-un-accord-historique-pour-la-preservation-des-anes-en-afrique</t>
  </si>
  <si>
    <t>Sécurité sanitaire | 15 ans de coopération portée par le réseau SEGA – One Health</t>
  </si>
  <si>
    <t>https://www.africavet.com/article/securite-sanitaire-15-ans-de-cooperation-portee-par-le-reseau-sega-one-health</t>
  </si>
  <si>
    <t>securite-sanitaire-15-ans-de-cooperation-portee-par-le-reseau-sega-one-health</t>
  </si>
  <si>
    <t>Cameroun : Des médicaments vétérinaires sous le scanner</t>
  </si>
  <si>
    <t>https://www.africavet.com/article/cameroun-des-medicaments-veterinaires-sous-le-scanner</t>
  </si>
  <si>
    <t>cameroun-des-medicaments-veterinaires-sous-le-scanner</t>
  </si>
  <si>
    <t>FAO urges Western African countries to strengthen Rift Valley fever preparedness</t>
  </si>
  <si>
    <t>https://www.africavet.com/article/fao-urges-western-african-countries-to-strengthen-rift-valley-fever-preparedness</t>
  </si>
  <si>
    <t>Publications</t>
  </si>
  <si>
    <t>fao-urges-western-african-countries-to-strengthen-rift-valley-fever-preparedness</t>
  </si>
  <si>
    <t>Lancement Officiel de la Campagne Nationale de Vaccination du Cheptel 2024-2025 au Mali : Le Premier Ministre Donne le Clap de Départ</t>
  </si>
  <si>
    <t>https://www.africavet.com/article/lancement-officiel-de-la-campagne-nationale-de-vaccination-du-cheptel-2024-2025-au-mali-le-premier-ministre-donne-le-clap-de-depart</t>
  </si>
  <si>
    <t>lancement-officiel-de-la-campagne-nationale-de-vaccination-du-cheptel-2024-2025-au-mali-le-premier-ministre-donne-le-clap-de-depart</t>
  </si>
  <si>
    <t>Innovative research for peste des petits ruminants eradication showcased at the World Food Forum</t>
  </si>
  <si>
    <t>https://www.africavet.com/article/innovative-research-for-peste-des-petits-ruminants-eradication-showcased-at-the-world-food-forum</t>
  </si>
  <si>
    <t>innovative-research-for-peste-des-petits-ruminants-eradication-showcased-at-the-world-food-forum</t>
  </si>
  <si>
    <t>Building a Unified Knowledge Management Framework for SPS: Key Outcomes from the African Union Consultative Meeting</t>
  </si>
  <si>
    <t>https://www.africavet.com/article/building-a-unified-knowledge-management-framework-for-sps-key-outcomes-from-the-african-union-consultative-meeting</t>
  </si>
  <si>
    <t>building-a-unified-knowledge-management-framework-for-sps-key-outcomes-from-the-african-union-consultative-meeting</t>
  </si>
  <si>
    <t>Africa CDC : Africa lists diagnostics for priority diseases</t>
  </si>
  <si>
    <t>https://www.africavet.com/article/africa-cdc-africa-lists-diagnostics-for-priority-diseases</t>
  </si>
  <si>
    <t>africa-cdc-africa-lists-diagnostics-for-priority-diseases</t>
  </si>
  <si>
    <t>Le Digi-Learning Hub de l'AU-DOHP : Renforcer les compétences en One Health numérique</t>
  </si>
  <si>
    <t>https://www.africavet.com/article/le-digi-learning-hub-de-lau-dohp-renforcer-les-competences-en-one-health-numerique</t>
  </si>
  <si>
    <t>le-digi-learning-hub-de-lau-dohp-renforcer-les-competences-en-one-health-numerique</t>
  </si>
  <si>
    <t>Veille informationnelle : Influenza aviaire hautement pathogène (IAHP) chez les bovins </t>
  </si>
  <si>
    <t>https://www.africavet.com/article/veille-informationnelle-influenza-aviaire-hautement-pathogene-iahp-chez-les-bovins</t>
  </si>
  <si>
    <t>veille-informationnelle-influenza-aviaire-hautement-pathogene-iahp-chez-les-bovins</t>
  </si>
  <si>
    <t>WOAH's 2nd World AMR Awareness Week (WAAW) Football Tournament 2024, Yaounde, Cameroon.</t>
  </si>
  <si>
    <t>https://www.africavet.com/article/woahs-2nd-world-amr-awareness-week-waaw-football-tournament-2024-yaounde-cameroon</t>
  </si>
  <si>
    <t>woahs-2nd-world-amr-awareness-week-waaw-football-tournament-2024-yaounde-cameroon</t>
  </si>
  <si>
    <t>Pandemic Fund Allocates Second Round of Grants to Boost Pandemic Preparedness in 50 Countries</t>
  </si>
  <si>
    <t>https://www.africavet.com/article/pandemic-fund-allocates-second-round-of-grants-to-boost-pandemic-preparedness-in-50-countries</t>
  </si>
  <si>
    <t>pandemic-fund-allocates-second-round-of-grants-to-boost-pandemic-preparedness-in-50-countries</t>
  </si>
  <si>
    <t>Africa CDC : Weekly Special Press Briefing on the Mpox Outbreak and other Health Emergencies in Africa</t>
  </si>
  <si>
    <t>https://www.africavet.com/article/africa-cdc-weekly-special-press-briefing-on-the-mpox-outbreak-and-other-health-emergencies-in-africa</t>
  </si>
  <si>
    <t>africa-cdc-weekly-special-press-briefing-on-the-mpox-outbreak-and-other-health-emergencies-in-africa</t>
  </si>
  <si>
    <t>AU-IBAR : 2023 Results - Coordinating Animal Resources Development and Utilization in Africa</t>
  </si>
  <si>
    <t>https://www.africavet.com/article/au-ibar-2023-results-coordinating-animal-resources-development-and-utilization-in-africa</t>
  </si>
  <si>
    <t>au-ibar-2023-results-coordinating-animal-resources-development-and-utilization-in-africa</t>
  </si>
  <si>
    <t>Africa CDC Launches a Continental Blueprint to Combat Endemic and Neglected Tropical Diseases</t>
  </si>
  <si>
    <t>https://www.africavet.com/article/africa-cdc-launches-a-continental-blueprint-to-combat-endemic-and-neglected-tropical-diseases</t>
  </si>
  <si>
    <t>africa-cdc-launches-a-continental-blueprint-to-combat-endemic-and-neglected-tropical-diseases</t>
  </si>
  <si>
    <t>OMSA : Les progrès du secteur de la santé animale pour endiguer la résistance aux antimicrobiens méritent d’être salués</t>
  </si>
  <si>
    <t>https://www.africavet.com/article/omsa-les-progres-du-secteur-de-la-sante-animale-pour-endiguer-la-resistance-aux-antimicrobiens-meritent-detre-salues</t>
  </si>
  <si>
    <t>omsa-les-progres-du-secteur-de-la-sante-animale-pour-endiguer-la-resistance-aux-antimicrobiens-meritent-detre-salues</t>
  </si>
  <si>
    <t>AU-IBAR : Driving Innovation and Collaboration: AUN-CEFAAB Welcomes New Executive Team</t>
  </si>
  <si>
    <t>https://www.africavet.com/article/au-ibar-driving-innovation-and-collaboration-aun-cefaab-welcomes-new-executive-team</t>
  </si>
  <si>
    <t>au-ibar-driving-innovation-and-collaboration-aun-cefaab-welcomes-new-executive-team</t>
  </si>
  <si>
    <t>AU-IBAR : One Health and Climate Change: African Scientists Address Vector-Borne Diseases at AAIS Sapphire Jubilee</t>
  </si>
  <si>
    <t>https://www.africavet.com/article/au-ibar-one-health-and-climate-change-african-scientists-address-vector-borne-diseases-at-aais-sapphire-jubilee</t>
  </si>
  <si>
    <t>au-ibar-one-health-and-climate-change-african-scientists-address-vector-borne-diseases-at-aais-sapphire-jubilee</t>
  </si>
  <si>
    <t>CGIAR Antimicrobial Resistance Hub enhances the capacity of laboratory professionals across low- and middle-income countries against antimicrobial resistance</t>
  </si>
  <si>
    <t>https://www.africavet.com/article/cgiar-antimicrobial-resistance-hub-enhances-the-capacity-of-laboratory-professionals-across-low-and-middle-income-countries-against-antimicrobial-resistance</t>
  </si>
  <si>
    <t>Ghana; Kenya; Tanzanie; Zimbabwe</t>
  </si>
  <si>
    <t>cgiar-antimicrobial-resistance-hub-enhances-the-capacity-of-laboratory-professionals-across-low-and-middle-income-countries-against-antimicrobial-resistance</t>
  </si>
  <si>
    <t>Santé animale : Biopharma lance le premier vaccin contre la fièvre aphteuse en Afrique de l’Est</t>
  </si>
  <si>
    <t>https://www.africavet.com/article/sante-animale-biopharma-lance-le-premier-vaccin-contre-la-fievre-aphteuse-en-afrique-de-lest</t>
  </si>
  <si>
    <t>sante-animale-biopharma-lance-le-premier-vaccin-contre-la-fievre-aphteuse-en-afrique-de-lest</t>
  </si>
  <si>
    <t>Kenya : Les résidents de Migori appelés à soutenir le Plan Directeur du Bétail (PDB)</t>
  </si>
  <si>
    <t>https://www.africavet.com/article/kenya-les-residents-de-migori-appeles-a-soutenir-le-plan-directeur-du-betail-pdb</t>
  </si>
  <si>
    <t>kenya-les-residents-de-migori-appeles-a-soutenir-le-plan-directeur-du-betail-pdb</t>
  </si>
  <si>
    <t>OMSA : Les conséquences des maladies animales largement répandues sur la faune sauvage</t>
  </si>
  <si>
    <t>https://www.africavet.com/article/omsa-les-consequences-des-maladies-animales-largement-repandues-sur-la-faune-sauvage</t>
  </si>
  <si>
    <t>omsa-les-consequences-des-maladies-animales-largement-repandues-sur-la-faune-sauvage</t>
  </si>
  <si>
    <t>Sénégal : Diplôme universitaire sur la surveillance des maladies émergentes et réémergentes</t>
  </si>
  <si>
    <t>https://www.africavet.com/article/senegal-diplome-universitaire-sur-la-surveillance-des-maladies-emergentes-et-reemergentes</t>
  </si>
  <si>
    <t>senegal-diplome-universitaire-sur-la-surveillance-des-maladies-emergentes-et-reemergentes</t>
  </si>
  <si>
    <t>Résistance aux antimicrobiens (RAM) . Yaoundé abrite L’évènement</t>
  </si>
  <si>
    <t>https://www.africavet.com/article/resistance-aux-antimicrobiens-ram-yaounde-abrite-levenement</t>
  </si>
  <si>
    <t>resistance-aux-antimicrobiens-ram-yaounde-abrite-levenement</t>
  </si>
  <si>
    <t>WHO : World AMR Awareness Week, Educate. Advocate. Act now.</t>
  </si>
  <si>
    <t>https://www.africavet.com/article/who-world-amr-awareness-week-educate-advocate-act-now</t>
  </si>
  <si>
    <t>who-world-amr-awareness-week-educate-advocate-act-now</t>
  </si>
  <si>
    <t>Maroc : Premier test PCR pour la mpox approuvé par Africa CDC</t>
  </si>
  <si>
    <t>https://www.africavet.com/article/maroc-premier-test-pcr-pour-la-mpox-approuve-par-africa-cdc</t>
  </si>
  <si>
    <t>maroc-premier-test-pcr-pour-la-mpox-approuve-par-africa-cdc</t>
  </si>
  <si>
    <t>Cameroun : L'intervention de la FAO dans la lutte contre la rage et les programmes nationaux d'éradication</t>
  </si>
  <si>
    <t>https://www.africavet.com/article/cameroun-lintervention-de-la-fao-dans-la-lutte-contre-la-rage</t>
  </si>
  <si>
    <t>cameroun-lintervention-de-la-fao-dans-la-lutte-contre-la-rage</t>
  </si>
  <si>
    <t>Cameroon : Rabies: how to prevent transmission of the virus? What does the legislation say?</t>
  </si>
  <si>
    <t>https://www.africavet.com/article/cameroon-rabies-how-to-prevent-transmission-of-the-virus-what-does-the-legislation-say</t>
  </si>
  <si>
    <t>cameroon-rabies-how-to-prevent-transmission-of-the-virus-what-does-the-legislation-say</t>
  </si>
  <si>
    <t>Cameroun : La rage : comment prévenir la transmission du virus ? Que dit la législation ?</t>
  </si>
  <si>
    <t>https://www.africavet.com/article/cameroun-la-rage-comment-prevenir-la-transmission-du-virus-que-dit-la-legislation</t>
  </si>
  <si>
    <t>cameroun-la-rage-comment-prevenir-la-transmission-du-virus-que-dit-la-legislation</t>
  </si>
  <si>
    <t>Cameroon : World Rabies Day - What is rabies?</t>
  </si>
  <si>
    <t>https://www.africavet.com/article/cameroon-world-rabies-day-what-is-rabies</t>
  </si>
  <si>
    <t>cameroon-world-rabies-day-what-is-rabies</t>
  </si>
  <si>
    <t>Cameroun : Interview vidéo pour la journée mondiale de la rage</t>
  </si>
  <si>
    <t>https://www.africavet.com/article/cameroun-interview-video-pour-la-journee-mondiale-de-la-rage</t>
  </si>
  <si>
    <t>cameroun-interview-video-pour-la-journee-mondiale-de-la-rage</t>
  </si>
  <si>
    <t>ECOWAS Concludes Comprehensive Technical Workshop to Revamp the ECOWAS Agriculture Information System (ECOAGRIS) in Lagos, Nigeria</t>
  </si>
  <si>
    <t>https://www.africavet.com/article/ecowas-concludes-comprehensive-technical-workshop-to-revamp-the-ecowas-agriculture-information-system-ecoagris-in-lagos-nigeria</t>
  </si>
  <si>
    <t>ecowas-concludes-comprehensive-technical-workshop-to-revamp-the-ecowas-agriculture-information-system-ecoagris-in-lagos-nigeria</t>
  </si>
  <si>
    <t>Sénégal : Étape déterminante pour l’amélioration génétique de l’élevage et la souveraineté en viande rouge</t>
  </si>
  <si>
    <t>https://www.africavet.com/article/senegal-etape-determinante-pour-lamelioration-genetique-de-lelevage-et-la-souverainete-en-viande-rouge</t>
  </si>
  <si>
    <t>senegal-etape-determinante-pour-lamelioration-genetique-de-lelevage-et-la-souverainete-en-viande-rouge</t>
  </si>
  <si>
    <t>L’OMSA lance ZOOSURSY, un nouveau projet de surveillance des maladies financé par l’Union européenne</t>
  </si>
  <si>
    <t>https://www.africavet.com/article/lomsa-lance-zoosursy-un-nouveau-projet-de-surveillance-des-maladies</t>
  </si>
  <si>
    <t>lomsa-lance-zoosursy-un-nouveau-projet-de-surveillance-des-maladies</t>
  </si>
  <si>
    <t>Mpox : plus de 50 000 vaccinations en RDC et au Rwanda, selon l'OMS</t>
  </si>
  <si>
    <t>https://www.africavet.com/article/mpox-plus-de-50-000-vaccinations-en-rdc-et-au-rwanda-selon-loms</t>
  </si>
  <si>
    <t>mpox-plus-de-50-000-vaccinations-en-rdc-et-au-rwanda-selon-loms</t>
  </si>
  <si>
    <t>AU-IBAR, GIZ, and Africa CDC Champion Digital Technology for One Health at the Africa Health Tech Summit 2024</t>
  </si>
  <si>
    <t>https://www.africavet.com/article/au-ibar-giz-and-africa-cdc-champion-digital-technology-for-one-health-at-the-africa-health-tech-summit-2024</t>
  </si>
  <si>
    <t>au-ibar-giz-and-africa-cdc-champion-digital-technology-for-one-health-at-the-africa-health-tech-summit-2024</t>
  </si>
  <si>
    <t>Les activités de la FAO contribuent à orienter les priorités et les résultats attendus par les dirigeants du G7 et du G20</t>
  </si>
  <si>
    <t>https://www.africavet.com/article/les-activites-de-la-fao-contribuent-a-orienter-les-priorites-et-les-resultats-attendus-par-les-dirigeants-du-g7-et-du-g20</t>
  </si>
  <si>
    <t>les-activites-de-la-fao-contribuent-a-orienter-les-priorites-et-les-resultats-attendus-par-les-dirigeants-du-g7-et-du-g20</t>
  </si>
  <si>
    <t>Journée One Health - 3 novembre</t>
  </si>
  <si>
    <t>https://www.africavet.com/article/journee-one-health-3-novembre</t>
  </si>
  <si>
    <t>journee-one-health-3-novembre</t>
  </si>
  <si>
    <t>Recrudescence de la tuberculose en tant que principale cause de mortalité imputable à une maladie infectieuse</t>
  </si>
  <si>
    <t>https://www.africavet.com/article/recrudescence-de-la-tuberculose-en-tant-que-principale-cause-de-mortalite-imputable-a-une-maladie-infectieuse</t>
  </si>
  <si>
    <t>recrudescence-de-la-tuberculose-en-tant-que-principale-cause-de-mortalite-imputable-a-une-maladie-infectieuse</t>
  </si>
  <si>
    <t>Côte d’Ivoire : atelier de formation sur l’Outil national de Collecte des Informations Sanitaires Vétérinaires (OCI-SV) à Bouna</t>
  </si>
  <si>
    <t>https://www.africavet.com/article/cote-divoire-atelier-de-formation-sur-loutil-national-de-collecte</t>
  </si>
  <si>
    <t>cote-divoire-atelier-de-formation-sur-loutil-national-de-collecte</t>
  </si>
  <si>
    <t>VSF : Entre sécheresse et inondations – Le phénomène de la Niña</t>
  </si>
  <si>
    <t>https://www.africavet.com/article/vsf-entre-secheresse-et-inondations-le-phenomene-de-la-nina</t>
  </si>
  <si>
    <t>Kenya; Somalie; Soudan du Sud</t>
  </si>
  <si>
    <t>vsf-entre-secheresse-et-inondations-le-phenomene-de-la-nina</t>
  </si>
  <si>
    <t>Tchad : nomination au ministère de l’Elevage et de la Production animale</t>
  </si>
  <si>
    <t>https://www.africavet.com/article/tchad-nomination-au-ministere-de-lelevage-et-de-la-production-animale</t>
  </si>
  <si>
    <t>tchad-nomination-au-ministere-de-lelevage-et-de-la-production-animale</t>
  </si>
  <si>
    <t>Ouverture de la 53ième session ordinaire du Conseil d’Administration de l’EISMV</t>
  </si>
  <si>
    <t>https://www.africavet.com/article/ouverture-de-la-53ieme-session-ordinaire-du-conseil-dadministration-de-leismv</t>
  </si>
  <si>
    <t>ouverture-de-la-53ieme-session-ordinaire-du-conseil-dadministration-de-leismv</t>
  </si>
  <si>
    <t>CEEAC : Ouverture des Travaux de Validation du Plan Stratégique Régional en Épidémiologie</t>
  </si>
  <si>
    <t>https://www.africavet.com/article/ceeac-ouverture-des-travaux-de-validation-du-plan-strategique-regional-en-epidemiologie</t>
  </si>
  <si>
    <t>ceeac-ouverture-des-travaux-de-validation-du-plan-strategique-regional-en-epidemiologie</t>
  </si>
  <si>
    <t>Africa CDC Strengthens Laboratory Capacity for Mpox and Other Outbreaks in Burundi</t>
  </si>
  <si>
    <t>https://www.africavet.com/article/africa-cdc-strengthens-laboratory-capacity-for-mpox-and-other-outbreaks-in-burundi</t>
  </si>
  <si>
    <t>africa-cdc-strengthens-laboratory-capacity-for-mpox-and-other-outbreaks-in-burundi</t>
  </si>
  <si>
    <t>Lancement du Guide de planification et de gestion des programmes d'ACSA</t>
  </si>
  <si>
    <t>https://www.africavet.com/article/lancement-du-guide-de-planification-et-de-gestion-des-programmes-dacsa</t>
  </si>
  <si>
    <t>lancement-du-guide-de-planification-et-de-gestion-des-programmes-dacsa</t>
  </si>
  <si>
    <t>Cameroun : renforcement de l'engagement pour la santé avec le Programme Zoonoses, Plateforme « Une Seule Santé »</t>
  </si>
  <si>
    <t>https://www.africavet.com/article/cameroun-renforcement-de-lengagement-pour-la-sante-avec-le-programme-zoonoses-plateforme-une-seule-sante</t>
  </si>
  <si>
    <t>cameroun-renforcement-de-lengagement-pour-la-sante-avec-le-programme-zoonoses-plateforme-une-seule-sante</t>
  </si>
  <si>
    <t>OMSA : Mettre la santé des animaux aquatiques à l’ordre du jour mondial</t>
  </si>
  <si>
    <t>https://www.africavet.com/article/omsa-mettre-la-sante-des-animaux-aquatiques-a-lordre-du-jour-mondial</t>
  </si>
  <si>
    <t>omsa-mettre-la-sante-des-animaux-aquatiques-a-lordre-du-jour-mondial</t>
  </si>
  <si>
    <t>Publication de nouvelles lignes directrices relatives à la surveillance sanitaire pour améliorer la protection de la faune sauvage</t>
  </si>
  <si>
    <t>https://www.africavet.com/article/publication-relatives-a-la-surveillance-sanitaire-pour-ameliorer-la-protection-de-la-faune-sauvage</t>
  </si>
  <si>
    <t>publication-relatives-a-la-surveillance-sanitaire-pour-ameliorer-la-protection-de-la-faune-sauvage</t>
  </si>
  <si>
    <t>COMMUNIQUE DE PRESSE DE LA CEEAC SUR L’EPIDEMIE DE LA MALADIE DE MARBURG SURVENUE AU RWANDA</t>
  </si>
  <si>
    <t>https://www.africavet.com/article/communique-de-presse-de-la-ceeac-sur-lepidemie-de-la-maladie-de-marburg-survenue-au-rwanda</t>
  </si>
  <si>
    <t>communique-de-presse-de-la-ceeac-sur-lepidemie-de-la-maladie-de-marburg-survenue-au-rwanda</t>
  </si>
  <si>
    <t>Outbreak Report, 30 July 2024: Mpox Situation in Africa</t>
  </si>
  <si>
    <t>https://www.africavet.com/article/outbreak-report-30-july-2024-mpox-situation-in-africa</t>
  </si>
  <si>
    <t>outbreak-report-30-july-2024-mpox-situation-in-africa</t>
  </si>
  <si>
    <t>Côte d'ivoire : Atelier de concertation sur le pastoralisme, le Ministre Sidi Tiémoko TOURÉ à la manœuvre</t>
  </si>
  <si>
    <t>https://www.africavet.com/article/cote-divoire-atelier-de-concertation-sur-le-pastoralisme-le-ministre-sidi-tiemoko-toure</t>
  </si>
  <si>
    <t>cote-divoire-atelier-de-concertation-sur-le-pastoralisme-le-ministre-sidi-tiemoko-toure</t>
  </si>
  <si>
    <t>Côte d’Ivoire : Le Ministre Sidi Tiémoko TOURE a reçu en audience à son cabinet une délégation de la FAO</t>
  </si>
  <si>
    <t>https://www.africavet.com/article/cote-divoire-le-ministre-sidi-tiemoko-toure-a-recu-en-audience-a-son-cabinet-une-delegation-de-la-fao</t>
  </si>
  <si>
    <t>cote-divoire-le-ministre-sidi-tiemoko-toure-a-recu-en-audience-a-son-cabinet-une-delegation-de-la-fao</t>
  </si>
  <si>
    <t>Côte d'Ivoire : 18ème édition de la Journée Mondiale de lutte contre la Rage</t>
  </si>
  <si>
    <t>https://www.africavet.com/article/cote-divoire-18eme-edition-de-la-journee-mondiale-de-lutte-contre-la-rage</t>
  </si>
  <si>
    <t>cote-divoire-18eme-edition-de-la-journee-mondiale-de-lutte-contre-la-rage</t>
  </si>
  <si>
    <t>ILRI : Improving biosecurity to reduce antimicrobial use and poultry losses in Uganda</t>
  </si>
  <si>
    <t>https://www.africavet.com/article/ilri-improving-biosecurity-to-reduce-antimicrobial-use-and-poultry-losses-in-uganda</t>
  </si>
  <si>
    <t>ilri-improving-biosecurity-to-reduce-antimicrobial-use-and-poultry-losses-in-uganda</t>
  </si>
  <si>
    <t>Cameroun : Journée internationale de lutte contre la #rage.</t>
  </si>
  <si>
    <t>https://www.africavet.com/article/cameroun-journee-internationale-de-lutte-contre-la-rage</t>
  </si>
  <si>
    <t>cameroun-journee-internationale-de-lutte-contre-la-rage</t>
  </si>
  <si>
    <t>Video : Plate-forme numérique de référenciation de l'OMS pour renforcer les capacités d'urgence sanitaire</t>
  </si>
  <si>
    <t>https://www.africavet.com/article/video-plate-forme-numerique-de-referenciation-de-loms-pour-renforcer-les-capacites-durgence-sanitaire</t>
  </si>
  <si>
    <t>video-plate-forme-numerique-de-referenciation-de-loms-pour-renforcer-les-capacites-durgence-sanitaire</t>
  </si>
  <si>
    <t>Cameroun : Sensibilisation sur la rage dans la Région de l'Ouest (Bafoussam, Bandjoun, Foumbot)</t>
  </si>
  <si>
    <t>https://www.africavet.com/article/cameroun-sensibilisation-sur-la-rage-dans-la-region-de-louest-bafoussam-bandjoun-foumbot</t>
  </si>
  <si>
    <t>cameroun-sensibilisation-sur-la-rage-dans-la-region-de-louest-bafoussam-bandjoun-foumbot</t>
  </si>
  <si>
    <t>WaPOR, remote sensing for water productivity</t>
  </si>
  <si>
    <t>https://www.africavet.com/article/wapor-remote-sensing-for-water-productivity</t>
  </si>
  <si>
    <t>wapor-remote-sensing-for-water-productivity</t>
  </si>
  <si>
    <t>OMSA : Journée mondiale contre la rage 2024 : Lever les obstacles à l’élimination de la rage</t>
  </si>
  <si>
    <t>https://www.africavet.com/article/omsa-journee-mondiale-contre-la-rage-2024-lever-les-obstacles-a-lelimination-de-la-rage</t>
  </si>
  <si>
    <t>omsa-journee-mondiale-contre-la-rage-2024-lever-les-obstacles-a-lelimination-de-la-rage</t>
  </si>
  <si>
    <t>AU-IBAR’s Call to Action at the 8th Africa Animal Welfare Conference</t>
  </si>
  <si>
    <t>https://www.africavet.com/article/au-ibars-call-to-action-at-the-8th-africa-animal-welfare-conference</t>
  </si>
  <si>
    <t>au-ibars-call-to-action-at-the-8th-africa-animal-welfare-conference</t>
  </si>
  <si>
    <t>Briser les barrières de la rage : un communiqué conjoint de l'Afrique</t>
  </si>
  <si>
    <t>https://www.africavet.com/article/briser-les-barrieres-de-la-rage-un-communique-conjoint-de-lafrique</t>
  </si>
  <si>
    <t>briser-les-barrieres-de-la-rage-un-communique-conjoint-de-lafrique</t>
  </si>
  <si>
    <t>Rwanda reports first-ever Marburg virus disease outbreak, with 26 cases confirmed</t>
  </si>
  <si>
    <t>https://www.africavet.com/article/rwanda-reports-first-ever-marburg-virus-disease-outbreak-with-26-cases-confirmed</t>
  </si>
  <si>
    <t>rwanda-reports-first-ever-marburg-virus-disease-outbreak-with-26-cases-confirmed</t>
  </si>
  <si>
    <t>53ème Session Ordinaire du Conseil d’Administration de l’EISMV</t>
  </si>
  <si>
    <t>https://www.africavet.com/article/53eme-session-ordinaire-du-conseil-dadministration-de-leismv</t>
  </si>
  <si>
    <t>53eme-session-ordinaire-du-conseil-dadministration-de-leismv</t>
  </si>
  <si>
    <t>Cameroun : Rage - Extrême - Nord</t>
  </si>
  <si>
    <t>https://www.africavet.com/article/cameroun-rage-extreme-nord</t>
  </si>
  <si>
    <t>cameroun-rage-extreme-nord</t>
  </si>
  <si>
    <t>OMS : Experts agree on African regional plan for health and climate change</t>
  </si>
  <si>
    <t>https://www.africavet.com/article/oms-experts-agree-on-african-regional-plan-for-health-and-climate-change</t>
  </si>
  <si>
    <t>oms-experts-agree-on-african-regional-plan-for-health-and-climate-change</t>
  </si>
  <si>
    <t>Sénégal : Rage</t>
  </si>
  <si>
    <t>https://www.africavet.com/article/senegal-rage</t>
  </si>
  <si>
    <t>senegal-rage</t>
  </si>
  <si>
    <t>Niger : Rage - Aderbissinat</t>
  </si>
  <si>
    <t>https://www.africavet.com/article/niger-rage-aderbissinat</t>
  </si>
  <si>
    <t>niger-rage-aderbissinat</t>
  </si>
  <si>
    <t>Cameroun : Rage - Ouest</t>
  </si>
  <si>
    <t>https://www.africavet.com/article/rage-ouest</t>
  </si>
  <si>
    <t>rage-ouest</t>
  </si>
  <si>
    <t>Cameroun : Rage - Sud-Ouest</t>
  </si>
  <si>
    <t>https://www.africavet.com/article/rage-sud-ouest</t>
  </si>
  <si>
    <t>rage-sud-ouest</t>
  </si>
  <si>
    <t>Cameroun : Rage - Nord</t>
  </si>
  <si>
    <t>https://www.africavet.com/article/rage-nord</t>
  </si>
  <si>
    <t>rage-nord</t>
  </si>
  <si>
    <t>Cameroun : Rage - Est</t>
  </si>
  <si>
    <t>https://www.africavet.com/article/rage-est</t>
  </si>
  <si>
    <t>rage-est</t>
  </si>
  <si>
    <t>Cameroun : Rage - Littoral</t>
  </si>
  <si>
    <t>https://www.africavet.com/article/rage-littoral</t>
  </si>
  <si>
    <t>rage-littoral</t>
  </si>
  <si>
    <t>Joint statement: World Rabies Day</t>
  </si>
  <si>
    <t>https://www.africavet.com/article/joint-statement-world-rabies-day</t>
  </si>
  <si>
    <t>joint-statement-world-rabies-day</t>
  </si>
  <si>
    <t>FAO : Building laboratory capacity for detecting animal diseases</t>
  </si>
  <si>
    <t>https://www.africavet.com/article/fao-building-laboratory-capacity-for-detecting-animal-diseases</t>
  </si>
  <si>
    <t>fao-building-laboratory-capacity-for-detecting-animal-diseases</t>
  </si>
  <si>
    <t>Rentrée 2024 à l’EISMV de Dakar : Reprise des cours le 7 Octobre</t>
  </si>
  <si>
    <t>https://www.africavet.com/article/rentree-2024-a-leismv-de-dakar-reprise-des-cours-le-7-octobre</t>
  </si>
  <si>
    <t>rentree-2024-a-leismv-de-dakar-reprise-des-cours-le-7-octobre</t>
  </si>
  <si>
    <t>Agriculture-Santé : La CEDEAO et la CEEAC lancent un plan régional en réponse aux épidémies agricoles en Afrique de l’Ouest et du Centre</t>
  </si>
  <si>
    <t>https://www.africavet.com/article/agriculture-sante-la-cedeao-et-la-ceeac-lancent-un-plan-regional-en-reponse-aux-epidemies-agricoles-en-afrique-de-louest-et-du-centre</t>
  </si>
  <si>
    <t>agriculture-sante-la-cedeao-et-la-ceeac-lancent-un-plan-regional-en-reponse-aux-epidemies-agricoles-en-afrique-de-louest-et-du-centre</t>
  </si>
  <si>
    <t>Renforcer les capacités des laboratoires en matière de détection des maladies animales</t>
  </si>
  <si>
    <t>https://www.africavet.com/article/renforcer-les-capacites-des-laboratoires-en-matiere-de-detection-des-maladies-animales</t>
  </si>
  <si>
    <t>renforcer-les-capacites-des-laboratoires-en-matiere-de-detection-des-maladies-animales</t>
  </si>
  <si>
    <t>Togo : Vaccination des Petits Ruminants, un impératif pour le Capital Productif des familles pauvres</t>
  </si>
  <si>
    <t>https://www.africavet.com/article/togo-vaccination-des-petits-ruminants-un-imperatif-pour-le-capital-productif-des-familles-pauvres</t>
  </si>
  <si>
    <t>togo-vaccination-des-petits-ruminants-un-imperatif-pour-le-capital-productif-des-familles-pauvres</t>
  </si>
  <si>
    <t>Côte d'Ivoire : Conférence de presse avec les interprofessions des ressources animales et halieutiques</t>
  </si>
  <si>
    <t>https://www.africavet.com/article/cote-divoire-conference-de-presse-avec-les-interprofessions-des-ressources-animales-et-halieutiques</t>
  </si>
  <si>
    <t>cote-divoire-conference-de-presse-avec-les-interprofessions-des-ressources-animales-et-halieutiques</t>
  </si>
  <si>
    <t>Côte d'Ivoire : Atelier de renforcement de capacités des héliciculteurs</t>
  </si>
  <si>
    <t>https://www.africavet.com/article/cote-divoire-atelier-de-renforcement-de-capacites-des-heliciculteurs</t>
  </si>
  <si>
    <t>cote-divoire-atelier-de-renforcement-de-capacites-des-heliciculteurs</t>
  </si>
  <si>
    <t>Les prédateurs d'Afrique - Icônes de la vie sauvage - documentaire animaux</t>
  </si>
  <si>
    <t>https://www.africavet.com/article/les-predateurs-dafrique-icones-de-la-vie-sauvage-documentaire-animaux</t>
  </si>
  <si>
    <t>les-predateurs-dafrique-icones-de-la-vie-sauvage-documentaire-animaux</t>
  </si>
  <si>
    <t>Global webinar on rabies</t>
  </si>
  <si>
    <t>https://www.africavet.com/article/global-webinar-on-rabies</t>
  </si>
  <si>
    <t>global-webinar-on-rabies</t>
  </si>
  <si>
    <t>The continental atlas of the distribution of tsetse flies in Africa</t>
  </si>
  <si>
    <t>https://www.africavet.com/article/the-continental-atlas-of-the-distribution-of-tsetse-flies-in-africa</t>
  </si>
  <si>
    <t>the-continental-atlas-of-the-distribution-of-tsetse-flies-in-africa</t>
  </si>
  <si>
    <t>Urgence de santé publique de portée internationale (USPPI) - Mpox</t>
  </si>
  <si>
    <t>https://www.africavet.com/article/urgence-de-sante-publique-de-portee-internationale-usppi-mpox</t>
  </si>
  <si>
    <t>urgence-de-sante-publique-de-portee-internationale-usppi-mpox</t>
  </si>
  <si>
    <t>Risk Analysis of Zoonosis Along the Bushmeat Value Chain in Cameroon</t>
  </si>
  <si>
    <t>https://www.africavet.com/article/risk-analysis-of-zoonosis-alongthe-bushmeat-value-chain-in-cameroon</t>
  </si>
  <si>
    <t>risk-analysis-of-zoonosis-alongthe-bushmeat-value-chain-in-cameroon</t>
  </si>
  <si>
    <t>Mise en place d'une plateforme régionale pour la santé en Afrique Centrale : une réponse coordonnée aux épidémies - Mpox</t>
  </si>
  <si>
    <t>https://www.africavet.com/article/mise-en-place-dune-plateforme-regionale-pour-la-sante-en-afrique-centrale-une-reponse-coordonnee-aux-epidemies-mpox</t>
  </si>
  <si>
    <t>mise-en-place-dune-plateforme-regionale-pour-la-sante-en-afrique-centrale-une-reponse-coordonnee-aux-epidemies-mpox</t>
  </si>
  <si>
    <t>CEEAC – SANTE : Réunion du segment des experts du sous-comité technique spécialisé santé de la CEEAC pour l’examen et l’adoption des documents stratégiques régionaux et projets de décisions dans le domaine de la sante</t>
  </si>
  <si>
    <t>https://www.africavet.com/article/ceeac-sante-reunion-du-segment-des-experts-du-sous-comite-technique-specialise-sante-de-la-ceeac-pour-lexamen-et-ladoption-des-documents-strategiques</t>
  </si>
  <si>
    <t>ceeac-sante-reunion-du-segment-des-experts-du-sous-comite-technique-specialise-sante-de-la-ceeac-pour-lexamen-et-ladoption-des-documents-strategiques</t>
  </si>
  <si>
    <t>Cameroun : Mise au point du Ministre Manaouda Malachie sur la gestion de l’épidémie du Mpox et des autres Urgences de Santé Publiques</t>
  </si>
  <si>
    <t>https://www.africavet.com/article/cameroun-mise-au-point-du-ministre-manaouda-malachie-sur-la-gestion-de-lepidemie-du-mpox-et-des-autres-urgences-de-sante-publiques</t>
  </si>
  <si>
    <t>cameroun-mise-au-point-du-ministre-manaouda-malachie-sur-la-gestion-de-lepidemie-du-mpox-et-des-autres-urgences-de-sante-publiques</t>
  </si>
  <si>
    <t>Mpox Case Definitions</t>
  </si>
  <si>
    <t>https://www.africavet.com/article/mpox-case-definitions</t>
  </si>
  <si>
    <t>mpox-case-definitions</t>
  </si>
  <si>
    <t>Cameroun : De l’alerte à l’activation, le SGI sur les rails de la riposte contre le MPOX</t>
  </si>
  <si>
    <t>https://www.africavet.com/article/cameroun-de-lalerte-a-lactivation-le-sgi-sur-les-rails-de-la-riposte-contre-le-mpox</t>
  </si>
  <si>
    <t>cameroun-de-lalerte-a-lactivation-le-sgi-sur-les-rails-de-la-riposte-contre-le-mpox</t>
  </si>
  <si>
    <t>Africa CDC : Le plan d'intervention Mpox prévoit un soutien dans 22 pays</t>
  </si>
  <si>
    <t>https://www.africavet.com/article/africa-cdc-le-plan-dintervention-mpox-prevoit-un-soutien-dans-22-pays</t>
  </si>
  <si>
    <t>africa-cdc-le-plan-dintervention-mpox-prevoit-un-soutien-dans-22-pays</t>
  </si>
  <si>
    <t>Cameroon: Maroua acquires an Incubation Unit to boost local poultry production</t>
  </si>
  <si>
    <t>https://www.africavet.com/article/poultry-farming-maroua-launches-incubation-unit-to-boost-production</t>
  </si>
  <si>
    <t>poultry-farming-maroua-launches-incubation-unit-to-boost-production</t>
  </si>
  <si>
    <t>Première détection de la peste des petits ruminants (PPR) en Grèce et en Roumanie</t>
  </si>
  <si>
    <t>https://www.africavet.com/article/premiere-detection-de-la-peste-des-petits-ruminants-ppr-en-grece-et-en-roumanie</t>
  </si>
  <si>
    <t>premiere-detection-de-la-peste-des-petits-ruminants-ppr-en-grece-et-en-roumanie</t>
  </si>
  <si>
    <t>AU-IBAR Joins Experts in Drafting the CAADP Ten-Year Strategy and Action Plan (2026-2035)</t>
  </si>
  <si>
    <t>https://www.africavet.com/article/au-ibar-joins-experts-in-drafting-the-caadp-ten-year-strategy-and-action-plan-2026-2035</t>
  </si>
  <si>
    <t>au-ibar-joins-experts-in-drafting-the-caadp-ten-year-strategy-and-action-plan-2026-2035</t>
  </si>
  <si>
    <t>AU-IBAR : Uniting Efforts to Train Focal Points in Advancing Animal Welfare Across Africa</t>
  </si>
  <si>
    <t>https://www.africavet.com/article/au-ibar-uniting-efforts-to-train-focal-points-in-advancing-animal-welfare-across-africa</t>
  </si>
  <si>
    <t>au-ibar-uniting-efforts-to-train-focal-points-in-advancing-animal-welfare-across-africa</t>
  </si>
  <si>
    <t>Renforcement de la Coopération entre l’EISMV de Dakar et le Gabon : Une rencontre prometteuse</t>
  </si>
  <si>
    <t>https://www.africavet.com/article/renforcement-de-la-cooperation-entre-leismv-de-dakar-et-le-gabon-une-rencontre-prometteuse</t>
  </si>
  <si>
    <t>renforcement-de-la-cooperation-entre-leismv-de-dakar-et-le-gabon-une-rencontre-prometteuse</t>
  </si>
  <si>
    <t>Signature d’une convention de collaboration entre la Caisse des dépôts et consignations (CDC) du Sénégal et l’EISMV de Dakar</t>
  </si>
  <si>
    <t>https://www.africavet.com/article/signature-dune-convention-de-collaboration-entre-la-caisse-des-depots-et-consignations-cdc-du-senegal-et-leismv-de-dakar</t>
  </si>
  <si>
    <t>signature-dune-convention-de-collaboration-entre-la-caisse-des-depots-et-consignations-cdc-du-senegal-et-leismv-de-dakar</t>
  </si>
  <si>
    <t>Variole simienne (Mpox)</t>
  </si>
  <si>
    <t>https://www.africavet.com/article/variole-simienne-mpox</t>
  </si>
  <si>
    <t>variole-simienne-mpox</t>
  </si>
  <si>
    <t>Déclaration de l’OMSA sur le nouveau virus du Mpox</t>
  </si>
  <si>
    <t>https://www.africavet.com/article/declaration-de-lomsa-sur-le-nouveau-virus-du-mpox</t>
  </si>
  <si>
    <t>declaration-de-lomsa-sur-le-nouveau-virus-du-mpox</t>
  </si>
  <si>
    <t>Cameroun : Le Port autonome de Kribi offre une unité de pêche de 7 millions F aux communautés riveraines</t>
  </si>
  <si>
    <t>https://www.africavet.com/article/cameroun-le-port-autonome-de-kribi-offre-une-unite-de-peche-de-7-millions-f-aux-communautes-riveraines</t>
  </si>
  <si>
    <t>cameroun-le-port-autonome-de-kribi-offre-une-unite-de-peche-de-7-millions-f-aux-communautes-riveraines</t>
  </si>
  <si>
    <t>Côte d'Ivoire : Une école vétérinaire pour un avenir plus sain pour l'homme et l'animal</t>
  </si>
  <si>
    <t>https://www.africavet.com/article/cote-divoire-une-ecole-veterinaire-pour-un-avenir-plus-sain-pour-lhomme-et-lanimal</t>
  </si>
  <si>
    <t>cote-divoire-une-ecole-veterinaire-pour-un-avenir-plus-sain-pour-lhomme-et-lanimal</t>
  </si>
  <si>
    <t>Rejeb: La santé animale fait partie de la sécurité nationale</t>
  </si>
  <si>
    <t>https://www.africavet.com/article/rejeb-la-sante-animale-fait-partie-de-la-securite-nationale</t>
  </si>
  <si>
    <t>rejeb-la-sante-animale-fait-partie-de-la-securite-nationale</t>
  </si>
  <si>
    <t>Updated joint FAO/WHO/WOAH assessment of recent influenza A(H5N1) virus events in animals and people</t>
  </si>
  <si>
    <t>https://www.africavet.com/article/updated-joint-fao-who-woah-assessment-of-recent-influenza-ah5n1-virus-events-in-animals-and-people</t>
  </si>
  <si>
    <t>updated-joint-fao-who-woah-assessment-of-recent-influenza-ah5n1-virus-events-in-animals-and-people</t>
  </si>
  <si>
    <t>WHO Director-General's opening remarks at the media briefing following the IHR Emergency Committee meeting on the upsurge of mpox 2024 – 14 August 2024</t>
  </si>
  <si>
    <t>https://www.africavet.com/article/who-director-generals-opening-remarks-at-the-media-briefing-following-the-ihr-emergency-committee-meeting-on-the-upsurge-of-mpox-2024-14-august-2024</t>
  </si>
  <si>
    <t>who-director-generals-opening-remarks-at-the-media-briefing-following-the-ihr-emergency-committee-meeting-on-the-upsurge-of-mpox-2024-14-august-2024</t>
  </si>
  <si>
    <t>Multi-country outbreak of mpox, External situation report#35- 12 August 2024</t>
  </si>
  <si>
    <t>https://www.africavet.com/article/multi-country-outbreak-of-mpox-external-situation-report35-12-august-2024</t>
  </si>
  <si>
    <t>multi-country-outbreak-of-mpox-external-situation-report35-12-august-2024</t>
  </si>
  <si>
    <t>A revolutionary field test for East Coast fever</t>
  </si>
  <si>
    <t>https://www.africavet.com/article/a-revolutionary-field-test-for-east-coast-fever</t>
  </si>
  <si>
    <t>a-revolutionary-field-test-for-east-coast-fever</t>
  </si>
  <si>
    <t>La FAO apporte une aide vitale aux éleveurs de Gaza face à la crise humanitaire</t>
  </si>
  <si>
    <t>https://www.africavet.com/article/la-fao-apporte-une-aide-vitale-aux-eleveurs-de-gaza-face-a-la-crise-humanitaire</t>
  </si>
  <si>
    <t>la-fao-apporte-une-aide-vitale-aux-eleveurs-de-gaza-face-a-la-crise-humanitaire</t>
  </si>
  <si>
    <t>Africa CDC Press Briefing - Mpox</t>
  </si>
  <si>
    <t>https://www.africavet.com/article/africa-cdc-press-briefing-mpox</t>
  </si>
  <si>
    <t>africa-cdc-press-briefing-mpox</t>
  </si>
  <si>
    <t>France : Premier Foyer de Fièvre Catarrhale Ovine Sérotype 3 Détecté dans le Nord</t>
  </si>
  <si>
    <t>https://www.africavet.com/article/france-premier-foyer-de-fievre-catarrhale-ovine-serotype-3-detecte-dans-le-nord</t>
  </si>
  <si>
    <t>france-premier-foyer-de-fievre-catarrhale-ovine-serotype-3-detecte-dans-le-nord</t>
  </si>
  <si>
    <t>Tchad : Une Collaboration Cruciale entre le Ministère de l’Élevage et le PRAPS pour Élever les Standards des Médicaments Vétérinaires</t>
  </si>
  <si>
    <t>https://www.africavet.com/article/tchad-une-collaboration-cruciale-entre-le-ministere-de-lelevage-et-le-praps-pour-elever-les-standards-des-medicaments-veterinaires</t>
  </si>
  <si>
    <t>tchad-une-collaboration-cruciale-entre-le-ministere-de-lelevage-et-le-praps-pour-elever-les-standards-des-medicaments-veterinaires</t>
  </si>
  <si>
    <t>Assises internationales des Médecines Traditionnelles : l’intégration des Médecines Traditionnelles aux Médecines Modernes, une nécessité pour One Health ?</t>
  </si>
  <si>
    <t>https://www.africavet.com/article/assises-internationales-des-medecines-traditionnelles-lintegration-des-medecines-traditionnelles</t>
  </si>
  <si>
    <t>assises-internationales-des-medecines-traditionnelles-lintegration-des-medecines-traditionnelles</t>
  </si>
  <si>
    <t>Cabo Verde awards country’s highest honour to FAO</t>
  </si>
  <si>
    <t>https://www.africavet.com/article/cabo-verde-awards-countrys-highest-honour-to-fao</t>
  </si>
  <si>
    <t>cabo-verde-awards-countrys-highest-honour-to-fao</t>
  </si>
  <si>
    <t>L'importance des Services vétérinaires</t>
  </si>
  <si>
    <t>https://www.africavet.com/article/limportance-des-services-veterinaires</t>
  </si>
  <si>
    <t>limportance-des-services-veterinaires</t>
  </si>
  <si>
    <t>Côte d'Ivoire : La CEDEAO lance un nouveau système de surveillance de la santé animale</t>
  </si>
  <si>
    <t>https://www.africavet.com/article/cote-divoire-la-cedeao-lance-un-nouveau-systeme-de-surveillance-de-la-sante-animale</t>
  </si>
  <si>
    <t>cote-divoire-la-cedeao-lance-un-nouveau-systeme-de-surveillance-de-la-sante-animale</t>
  </si>
  <si>
    <t>AU-IBAR at COFI 36: Strengthening Fisheries and Aquaculture Governance</t>
  </si>
  <si>
    <t>https://www.africavet.com/article/au-ibar-at-cofi-36-strengthening-fisheries-and-aquaculture-governance</t>
  </si>
  <si>
    <t>au-ibar-at-cofi-36-strengthening-fisheries-and-aquaculture-governance</t>
  </si>
  <si>
    <t>Advancing Donkey Welfare in Africa: The Roadmap from AU-IBAR and Stakeholders</t>
  </si>
  <si>
    <t>https://www.africavet.com/article/advancing-donkey-welfare-in-africa-the-roadmap-from-au-ibar-and-stakeholders</t>
  </si>
  <si>
    <t>advancing-donkey-welfare-in-africa-the-roadmap-from-au-ibar-and-stakeholders</t>
  </si>
  <si>
    <t>AU-IBAR Champions Fodder Commercialization at 3rd NFCC Preparation Meeting</t>
  </si>
  <si>
    <t>https://www.africavet.com/article/au-ibar-champions-fodder-commercialization-at-3rd-nfcc-preparation-meeting</t>
  </si>
  <si>
    <t>au-ibar-champions-fodder-commercialization-at-3rd-nfcc-preparation-meeting</t>
  </si>
  <si>
    <t>AU-IBAR to Attend Second Meeting of the Standing Group of Experts on Contagious Bovine Pleuropneumonia (CBPP) for Africa</t>
  </si>
  <si>
    <t>https://www.africavet.com/article/au-ibar-to-attend-second-meeting-of-the-standing-group-of-experts-on-contagious-bovine-pleuropneumonia-cbpp-for-africa</t>
  </si>
  <si>
    <t>au-ibar-to-attend-second-meeting-of-the-standing-group-of-experts-on-contagious-bovine-pleuropneumonia-cbpp-for-africa</t>
  </si>
  <si>
    <t>Rupture du ligament croisé chez le Chien : Un point de vue vétérinaire</t>
  </si>
  <si>
    <t>https://www.africavet.com/article/rupture-du-ligament-croise-chez-le-chien-un-point-de-vue-veterinaire</t>
  </si>
  <si>
    <t>rupture-du-ligament-croise-chez-le-chien-un-point-de-vue-veterinaire</t>
  </si>
  <si>
    <t>Renforcement de la sécurité alimentaire et réduction de la pauvreté en milieu rural : « Importance d’un programme d'appui à l'amélioration génétique de la volaille indigène »</t>
  </si>
  <si>
    <t>https://www.africavet.com/article/renforcement-de-la-securite-alimentaire-et-reduction-de-la-pauvrete-en-milieu-rural-importance-dun-programme-dappui-a-lamelioration-genetique-de-la-volaille-indige</t>
  </si>
  <si>
    <t>renforcement-de-la-securite-alimentaire-et-reduction-de-la-pauvrete-en-milieu-rural-importance-dun-programme-dappui-a-lamelioration-genetique-de-la-volaille-indige</t>
  </si>
  <si>
    <t>AU-IBAR : Harnessing Strategic Partnerships for Sustainable Pastoral Market Development in Africa</t>
  </si>
  <si>
    <t>https://www.africavet.com/article/au-ibar-harnessing-strategic-partnerships-for-sustainable-pastoral-market-development-in-africa</t>
  </si>
  <si>
    <t>au-ibar-harnessing-strategic-partnerships-for-sustainable-pastoral-market-development-in-africa</t>
  </si>
  <si>
    <t>Renforcement des compétences des services vétérinaires d’Afrique de l’Ouest dans la lutte contre l’influenza aviaire hautement pathogène (IAHP)</t>
  </si>
  <si>
    <t>https://www.africavet.com/article/renforcement-des-competences-des-services-veterinaires-dafrique-de-louest-dans-la-lutte-contre-linfluenza-aviaire-hautement-pathogene-iahp</t>
  </si>
  <si>
    <t>renforcement-des-competences-des-services-veterinaires-dafrique-de-louest-dans-la-lutte-contre-linfluenza-aviaire-hautement-pathogene-iahp</t>
  </si>
  <si>
    <t>Promotion du poisson 237 : Le créneau des « cartes » pour une meilleure visibilité</t>
  </si>
  <si>
    <t>https://www.africavet.com/article/promotion-du-poisson-237-le-creneau-des-cartes-pour-une-meilleure-visibilite</t>
  </si>
  <si>
    <t>promotion-du-poisson-237-le-creneau-des-cartes-pour-une-meilleure-visibilite</t>
  </si>
  <si>
    <t>Shaping Angola’s Blue Economy Strategy</t>
  </si>
  <si>
    <t>https://www.africavet.com/article/shaping-angolas-blue-economy-strategy</t>
  </si>
  <si>
    <t>shaping-angolas-blue-economy-strategy</t>
  </si>
  <si>
    <t>IUCN-WOAH wildlife health webinar</t>
  </si>
  <si>
    <t>https://www.africavet.com/article/iucn-woah-wildlife-health-webinar</t>
  </si>
  <si>
    <t>iucn-woah-wildlife-health-webinar</t>
  </si>
  <si>
    <t>AU-IBAR and SADC Pioneer Efforts in Fisheries Governance and Biodiversity Protection</t>
  </si>
  <si>
    <t>https://www.africavet.com/article/au-ibar-and-sadc-pioneer-efforts-in-fisheries-governance-and-biodiversity-protection</t>
  </si>
  <si>
    <t>au-ibar-and-sadc-pioneer-efforts-in-fisheries-governance-and-biodiversity-protection</t>
  </si>
  <si>
    <t>Global Accountability for AMR Response: Investing in Priorities for Africa</t>
  </si>
  <si>
    <t>https://www.africavet.com/article/global-accountability-for-amr-response-investing-in-priorities-for-africa</t>
  </si>
  <si>
    <t>global-accountability-for-amr-response-investing-in-priorities-for-africa</t>
  </si>
  <si>
    <t>LES EXPERTS DES ETATS MEMBRES DE LA CEEAC ELABORENT LES PLANS D’ACTION POUR LE RENFORCEMENT DES CAPACITES DES SYTEMES DE LABORATOIRES SELON L’APPROCHE « UNE SEULE SANTE »</t>
  </si>
  <si>
    <t>https://www.africavet.com/article/les-experts-des-etats-membres-de-la-ceeac-elaborent-les-plans-daction-pour-le-renforcement-des-capacites-des-sytemes-de-laboratoires-selon-lapproche-une-seule-sante</t>
  </si>
  <si>
    <t>les-experts-des-etats-membres-de-la-ceeac-elaborent-les-plans-daction-pour-le-renforcement-des-capacites-des-sytemes-de-laboratoires-selon-lapproche-une-seule-sante</t>
  </si>
  <si>
    <t>Antimicrobiens : à utiliser avec prudence</t>
  </si>
  <si>
    <t>https://www.africavet.com/article/antimicrobiens-a-utiliser-avec-prudence</t>
  </si>
  <si>
    <t>antimicrobiens-a-utiliser-avec-prudence</t>
  </si>
  <si>
    <t>Kofi Annan Global Health Leadership Fellows Urged to Drive Transformational Change in Africa</t>
  </si>
  <si>
    <t>https://www.africavet.com/article/kofi-annan-global-health-leadership-fellows-urged-to-drive-transformational-change-in-africa</t>
  </si>
  <si>
    <t>kofi-annan-global-health-leadership-fellows-urged-to-drive-transformational-change-in-africa</t>
  </si>
  <si>
    <t>Système d’Information sur la Diversité des Animaux Domestiques (DAD-IS)</t>
  </si>
  <si>
    <t>https://www.africavet.com/article/systeme-dinformation-sur-la-diversite-des-animaux-domestiques-dad-is</t>
  </si>
  <si>
    <t>systeme-dinformation-sur-la-diversite-des-animaux-domestiques-dad-is</t>
  </si>
  <si>
    <t>Mpox Outbreak in South Africa</t>
  </si>
  <si>
    <t>https://www.africavet.com/article/mpox-outbreak-in-south-africa</t>
  </si>
  <si>
    <t>mpox-outbreak-in-south-africa</t>
  </si>
  <si>
    <t>2nd Scientific Conference Catalyzing Research and Innovation for Development</t>
  </si>
  <si>
    <t>https://www.africavet.com/article/2nd-scientific-conference-catalyzing-research-and-innovation-for-development</t>
  </si>
  <si>
    <t>2nd-scientific-conference-catalyzing-research-and-innovation-for-development</t>
  </si>
  <si>
    <t>Upcoming Event: Regional and International Partners’ Workshop on African Pastoral Market Development Platform - 19-20 June 2024</t>
  </si>
  <si>
    <t>https://www.africavet.com/article/upcoming-event-regional-and-international-partners-workshop-on-african-pastoral-market-development-platform-19-20-june-2024</t>
  </si>
  <si>
    <t>upcoming-event-regional-and-international-partners-workshop-on-african-pastoral-market-development-platform-19-20-june-2024</t>
  </si>
  <si>
    <t>Validation Workshop to Harmonise Liberia’s Fisheries and Aquaculture Strategies with Continental Policies</t>
  </si>
  <si>
    <t>https://www.africavet.com/article/validation-workshop-to-harmonise-liberias-fisheries-and-aquaculture-strategies-with-continental-policies</t>
  </si>
  <si>
    <t>validation-workshop-to-harmonise-liberias-fisheries-and-aquaculture-strategies-with-continental-policies</t>
  </si>
  <si>
    <t>COMMUNIQUÉ DE PRESSE: Africa CDC’s engage a soutenir la reconstitution des fonds Gavi à Paris</t>
  </si>
  <si>
    <t>https://www.africavet.com/article/communique-de-presse-africa-cdcs-engage-a-soutenir-la-reconstitution-des-fonds-gavi-a-paris</t>
  </si>
  <si>
    <t>communique-de-presse-africa-cdcs-engage-a-soutenir-la-reconstitution-des-fonds-gavi-a-paris</t>
  </si>
  <si>
    <t>Disease Outbreak News : Avian Influenza A (H5N2) - Mexico</t>
  </si>
  <si>
    <t>https://www.africavet.com/article/disease-outbreak-news-avian-influenza-a-h5n2-mexico</t>
  </si>
  <si>
    <t>disease-outbreak-news-avian-influenza-a-h5n2-mexico</t>
  </si>
  <si>
    <t>New Study Calls for Access to Effective Antibiotics in Africa</t>
  </si>
  <si>
    <t>https://www.africavet.com/article/new-study-calls-for-access-to-effective-antibiotics-in-africa</t>
  </si>
  <si>
    <t>new-study-calls-for-access-to-effective-antibiotics-in-africa</t>
  </si>
  <si>
    <t>Cameroun : Point sur la lutte contre la pêche illicite non déclarée et non réglementée (INN)</t>
  </si>
  <si>
    <t>https://www.africavet.com/article/cameroun-point-sur-la-lutte-contre-la-peche-illegale-non-controlee-et-non-reglementee-inn</t>
  </si>
  <si>
    <t>cameroun-point-sur-la-lutte-contre-la-peche-illegale-non-controlee-et-non-reglementee-inn</t>
  </si>
  <si>
    <t>The legacy of Africa CDC – Mastercard Foundation SLL Program- Cold Chain Equipment Optimization in Africa</t>
  </si>
  <si>
    <t>https://www.africavet.com/article/the-legacy-of-africa-cdc-mastercard-foundation-sll-program-cold-chain-equipment-optimization-in-africa</t>
  </si>
  <si>
    <t>the-legacy-of-africa-cdc-mastercard-foundation-sll-program-cold-chain-equipment-optimization-in-africa</t>
  </si>
  <si>
    <t>Manual for implementation 2024 : The International FAO Antimicrobial Resistance Monitoring (InFARM) system</t>
  </si>
  <si>
    <t>https://www.africavet.com/article/the-international-fao-antimicrobial-resistance-monitoring-infarm-system</t>
  </si>
  <si>
    <t>the-international-fao-antimicrobial-resistance-monitoring-infarm-system</t>
  </si>
  <si>
    <t>FAO : Competencies for One Health field epidemiology</t>
  </si>
  <si>
    <t>https://www.africavet.com/article/fao-competencies-for-one-health-field-epidemiology</t>
  </si>
  <si>
    <t>fao-competencies-for-one-health-field-epidemiology</t>
  </si>
  <si>
    <t>FAO : Le miel comme priorité</t>
  </si>
  <si>
    <t>https://www.africavet.com/article/fao-le-miel-comme-priorite</t>
  </si>
  <si>
    <t>fao-le-miel-comme-priorite</t>
  </si>
  <si>
    <t>OMSA : Un siècle en faveur de la santé et du bien-être animal</t>
  </si>
  <si>
    <t>https://www.africavet.com/article/omsa-un-siecle-en-faveur-de-la-sante-et-du-bien-etre-animal</t>
  </si>
  <si>
    <t>omsa-un-siecle-en-faveur-de-la-sante-et-du-bien-etre-animal</t>
  </si>
  <si>
    <t>Dr Emmanuelle Soubeyran elected as new Director General of the World Organisation for Animal Health</t>
  </si>
  <si>
    <t>https://www.africavet.com/article/dr-emmanuelle-soubeyran-elected-as-new-director-general-of-the-world-organisation-for-animal-health</t>
  </si>
  <si>
    <t>dr-emmanuelle-soubeyran-elected-as-new-director-general-of-the-world-organisation-for-animal-health</t>
  </si>
  <si>
    <t>OMS : Avian Influenza A(H5N1) - United States of America</t>
  </si>
  <si>
    <t>https://www.africavet.com/article/oms-avian-influenza-ah5n1-united-states-of-america</t>
  </si>
  <si>
    <t>oms-avian-influenza-ah5n1-united-states-of-america</t>
  </si>
  <si>
    <t>AU-IBAR Facilitates Joint Efforts to Protect Transboundary Marine Ecosystems in Congo Basin</t>
  </si>
  <si>
    <t>https://www.africavet.com/article/au-ibar-facilitates-joint-efforts-to-protect-transboundary-marine-ecosystems-in-congo-basin</t>
  </si>
  <si>
    <t>au-ibar-facilitates-joint-efforts-to-protect-transboundary-marine-ecosystems-in-congo-basin</t>
  </si>
  <si>
    <t>Strengthening Africa’s Voice: A Workshop on WOAH International Standards and Engagement</t>
  </si>
  <si>
    <t>https://www.africavet.com/article/strengthening-africas-voice-a-workshop-on-woah-international-standards-and-engagement</t>
  </si>
  <si>
    <t>strengthening-africas-voice-a-workshop-on-woah-international-standards-and-engagement</t>
  </si>
  <si>
    <t>16th Pan African CVO Meeting: Addressing Urgent Animal Health Challenges</t>
  </si>
  <si>
    <t>https://www.africavet.com/article/16th-pan-african-cvo-meeting-addressing-urgent-animal-health-challenges</t>
  </si>
  <si>
    <t>16th-pan-african-cvo-meeting-addressing-urgent-animal-health-challenges</t>
  </si>
  <si>
    <t>La génétique des abeilles : une complexité mielleuse</t>
  </si>
  <si>
    <t>https://www.africavet.com/article/la-genetique-des-abeilles-une-complexite-mielleuse</t>
  </si>
  <si>
    <t>la-genetique-des-abeilles-une-complexite-mielleuse</t>
  </si>
  <si>
    <t>AU-IBAR Participates in RENOFARM: Combating Antimicrobial Resistance in Africa and Beyond</t>
  </si>
  <si>
    <t>https://www.africavet.com/article/au-ibar-participates-in-renofarm-combating-antimicrobial-resistance-in-africa-and-beyond</t>
  </si>
  <si>
    <t>au-ibar-participates-in-renofarm-combating-antimicrobial-resistance-in-africa-and-beyond</t>
  </si>
  <si>
    <t>Enhancing regional collaboration to combat Peste des Petits Ruminants</t>
  </si>
  <si>
    <t>https://www.africavet.com/article/enhancing-regional-collaboration-to-combat-peste-des-petits-ruminants</t>
  </si>
  <si>
    <t>Égypte; Libye; Mauritanie; Maroc; Tunisie</t>
  </si>
  <si>
    <t>enhancing-regional-collaboration-to-combat-peste-des-petits-ruminants</t>
  </si>
  <si>
    <t>EN MARGE DE SA VISITE DE TRAVAIL : L’HOTE DU CHEF DE L’ETAT VISITE LE MINEPIA</t>
  </si>
  <si>
    <t>https://www.africavet.com/article/en-marge-de-sa-visite-de-travail-lhote-du-chef-de-letat-visite-le-minepia</t>
  </si>
  <si>
    <t>en-marge-de-sa-visite-de-travail-lhote-du-chef-de-letat-visite-le-minepia</t>
  </si>
  <si>
    <t>Sénégal : Transparence dans la pêche, le gouvernement du président Diomaye divulgue la liste officielle des navires autorisés à pêcher</t>
  </si>
  <si>
    <t>https://www.africavet.com/article/transparence-dans-la-peche-le-gouvernement-du-president-diomaye-divulgue-la-liste-officielle-des-navires-autorises-a-pecher-au-senegal-document</t>
  </si>
  <si>
    <t>transparence-dans-la-peche-le-gouvernement-du-president-diomaye-divulgue-la-liste-officielle-des-navires-autorises-a-pecher-au-senegal-document</t>
  </si>
  <si>
    <t>AU-IBAR : Inter-regional Meeting Advances Efforts Towards PPR Eradication in Africa</t>
  </si>
  <si>
    <t>https://www.africavet.com/article/au-ibar-inter-regional-meeting-advances-efforts-towards-ppr-eradication-in-africa</t>
  </si>
  <si>
    <t>au-ibar-inter-regional-meeting-advances-efforts-towards-ppr-eradication-in-africa</t>
  </si>
  <si>
    <t>WOAH calls for continued vigilance amidst rise of antimicrobial use in animals</t>
  </si>
  <si>
    <t>https://www.africavet.com/article/woah-calls-for-continued-vigilance-amidst-rise-of-antimicrobial-use-in-animals</t>
  </si>
  <si>
    <t>woah-calls-for-continued-vigilance-amidst-rise-of-antimicrobial-use-in-animals</t>
  </si>
  <si>
    <t>Kenya: L'industrie avicole craint l'importation potentielle de produits de volaille en provenance des États-Unis</t>
  </si>
  <si>
    <t>https://www.africavet.com/article/kenya-industrie-avicole-craint-limportation-potentielle-de-produits-de-volaille</t>
  </si>
  <si>
    <t>kenya-industrie-avicole-craint-limportation-potentielle-de-produits-de-volaille</t>
  </si>
  <si>
    <t>ILRI : My first year as director general</t>
  </si>
  <si>
    <t>https://www.africavet.com/article/my-first-year-as-director-general</t>
  </si>
  <si>
    <t>my-first-year-as-director-general</t>
  </si>
  <si>
    <t>FAO tools to promote sustainable livestock transformation by reducing the need for antimicrobials on farms</t>
  </si>
  <si>
    <t>https://www.africavet.com/article/fao-tools-to-promote-sustainable-livestock-transformation-by-reducing-the-need-for-antimicrobials-on-farms</t>
  </si>
  <si>
    <t>fao-tools-to-promote-sustainable-livestock-transformation-by-reducing-the-need-for-antimicrobials-on-farms</t>
  </si>
  <si>
    <t>Réduire la nécessité de recourir aux antimicrobiens dans les exploitations agricoles pour une transformation durable des systèmes agroalimentaires</t>
  </si>
  <si>
    <t>https://www.africavet.com/article/reduire-la-necessite-de-recourir-aux-antimicrobiens-dans-les-exploitations-agricoles-pour-une-transformation</t>
  </si>
  <si>
    <t>reduire-la-necessite-de-recourir-aux-antimicrobiens-dans-les-exploitations-agricoles-pour-une-transformation</t>
  </si>
  <si>
    <t>OMSA : Influenza aviaire hautement pathogène chez les bovins</t>
  </si>
  <si>
    <t>https://www.africavet.com/article/omsa-influenza-aviaire-hautement-pathogene-chez-les-bovins</t>
  </si>
  <si>
    <t>omsa-influenza-aviaire-hautement-pathogene-chez-les-bovins</t>
  </si>
  <si>
    <t>Journée Mondiale Vétérinaire 2024</t>
  </si>
  <si>
    <t>https://www.africavet.com/article/journee-mondiale-veterinaire-2024</t>
  </si>
  <si>
    <t>journee-mondiale-veterinaire-2024</t>
  </si>
  <si>
    <t>Promoting Sustainable Aquaculture: Key Takeaways from the 3rd Sustainable Aquaculture Development Working Group Meeting</t>
  </si>
  <si>
    <t>https://www.africavet.com/article/promoting-sustainable-aquaculture-key-takeaways-from-the-3rd-sustainable-aquaculture-development-working-group-meeting</t>
  </si>
  <si>
    <t>promoting-sustainable-aquaculture-key-takeaways-from-the-3rd-sustainable-aquaculture-development-working-group-meeting</t>
  </si>
  <si>
    <t>Collaborating for Success in Inter-Regional Efforts to Eradicate PPR</t>
  </si>
  <si>
    <t>https://www.africavet.com/article/collaborating-for-success-in-inter-regional-efforts-to-eradicate-ppr</t>
  </si>
  <si>
    <t>collaborating-for-success-in-inter-regional-efforts-to-eradicate-ppr</t>
  </si>
  <si>
    <t>National Framework for One Health</t>
  </si>
  <si>
    <t>https://www.africavet.com/article/national-framework-for-one-health</t>
  </si>
  <si>
    <t>national-framework-for-one-health</t>
  </si>
  <si>
    <t>CDC sequencing of H5N1 avian flu samples from patient yields new clinical clues</t>
  </si>
  <si>
    <t>https://www.africavet.com/article/cdc-sequencing-of-h5n1-avian-flu-samples-from-patient-yields-new-clinical-clues</t>
  </si>
  <si>
    <t>cdc-sequencing-of-h5n1-avian-flu-samples-from-patient-yields-new-clinical-clues</t>
  </si>
  <si>
    <t>Wastewater testing near homeless camps shows COVID-19 viral mutations</t>
  </si>
  <si>
    <t>https://www.africavet.com/article/wastewater-testing-near-homeless-camps-shows-covid-19-viral-mutations</t>
  </si>
  <si>
    <t>Covid 19</t>
  </si>
  <si>
    <t>wastewater-testing-near-homeless-camps-shows-covid-19-viral-mutations</t>
  </si>
  <si>
    <t>Atelier sur l’approche épistémique et Groupe consultatif régional : Les pays du bassin du lac Tchad s'engagent dans la lutte contre la Peste des Petits Ruminants (PPR)</t>
  </si>
  <si>
    <t>https://www.africavet.com/article/atelier-sur-lapproche-epistemique-et-groupe-consultatif-regional-les-pays-du-bassin-du-lac-tchad-sengagent-dans-la-lutte-contre-la-peste-des-petits-ruminants-ppr</t>
  </si>
  <si>
    <t>atelier-sur-lapproche-epistemique-et-groupe-consultatif-regional-les-pays-du-bassin-du-lac-tchad-sengagent-dans-la-lutte-contre-la-peste-des-petits-ruminants-ppr</t>
  </si>
  <si>
    <t>Guinée : La FAO forme des inspecteurs pour lutter contre la pêche illégale</t>
  </si>
  <si>
    <t>https://www.africavet.com/article/guinee-la-fao-forme-des-inspecteurs-pour-lutter-contre-la-peche-illegale</t>
  </si>
  <si>
    <t>guinee-la-fao-forme-des-inspecteurs-pour-lutter-contre-la-peche-illegale</t>
  </si>
  <si>
    <t>US : Avian flu detected in Idaho dairy cows</t>
  </si>
  <si>
    <t>https://www.africavet.com/article/us-avian-flu-detected-in-idaho-dairy-cows</t>
  </si>
  <si>
    <t>us-avian-flu-detected-in-idaho-dairy-cows</t>
  </si>
  <si>
    <t>AU-IBAR and Government of Botswana Initiate National Blue Economy Strategy Development</t>
  </si>
  <si>
    <t>https://www.africavet.com/article/au-ibar-and-government-of-botswana-initiate-national-blue-economy-strategy-development</t>
  </si>
  <si>
    <t>au-ibar-and-government-of-botswana-initiate-national-blue-economy-strategy-development</t>
  </si>
  <si>
    <t>Etats-Unis : La grippe aviaire contamine désormais les animaux d'élevage, vaches, chèvres</t>
  </si>
  <si>
    <t>https://www.africavet.com/article/etats-unis-la-grippe-aviaire-contamine-desormais-les-animaux-delevage-vaches-chevres</t>
  </si>
  <si>
    <t>etats-unis-la-grippe-aviaire-contamine-desormais-les-animaux-delevage-vaches-chevres</t>
  </si>
  <si>
    <t>Gabon : Mystérieuse mortalité des poissons dans l'Estuaire du Komo : Une enquête est en cours</t>
  </si>
  <si>
    <t>https://www.africavet.com/article/gabon-mysterieuse-mortalite-des-poissons-dans-lestuaire-du-komo-une-enquete-est-en-cours</t>
  </si>
  <si>
    <t>gabon-mysterieuse-mortalite-des-poissons-dans-lestuaire-du-komo-une-enquete-est-en-cours</t>
  </si>
  <si>
    <t>Evaluation des systèmes de surveillance : Des épidémiologistes africains outillés sur la version actualisée de l'outil SET.</t>
  </si>
  <si>
    <t>https://www.africavet.com/article/evaluation-des-systemes-de-surveillance-des-epidemiologistes-africains-outilles-sur-la-version-actualisee-de-loutil-set</t>
  </si>
  <si>
    <t>evaluation-des-systemes-de-surveillance-des-epidemiologistes-africains-outilles-sur-la-version-actualisee-de-loutil-set</t>
  </si>
  <si>
    <t>Yaoundé One Health Forum : Book of Proceedings, 02-03 November 2023</t>
  </si>
  <si>
    <t>https://www.africavet.com/article/yaounde-one-health-forum-book-of-proceedings-02-03-november-2023</t>
  </si>
  <si>
    <t>yaounde-one-health-forum-book-of-proceedings-02-03-november-2023</t>
  </si>
  <si>
    <t>Yaoundé One Health Forum : Livre des actes, 02-03 Novembre 2023</t>
  </si>
  <si>
    <t>https://www.africavet.com/article/yaounde-one-health-forum-livre-des-actes-02-03-novembre-2023</t>
  </si>
  <si>
    <t>yaounde-one-health-forum-livre-des-actes-02-03-novembre-2023</t>
  </si>
  <si>
    <t>Cameroun : Vétérinaire virologiste, Dr Christopher Ndi, a reçu le prix scientifique le plus prestigieux du pays</t>
  </si>
  <si>
    <t>https://www.africavet.com/article/cameroun-le-virologue-veterinaire-dr-christopher-ndi-a-recu-le-prix-scientifique-le-plus-prestigieux</t>
  </si>
  <si>
    <t>cameroun-le-virologue-veterinaire-dr-christopher-ndi-a-recu-le-prix-scientifique-le-plus-prestigieux</t>
  </si>
  <si>
    <t>9th International Greenhouse Gas and Animal Agriculture Conference</t>
  </si>
  <si>
    <t>https://www.africavet.com/article/9th-international-greenhouse-gas-and-animal-agriculture-conference</t>
  </si>
  <si>
    <t>9th-international-greenhouse-gas-and-animal-agriculture-conference</t>
  </si>
  <si>
    <t>AU-IBAR and GALVmed Join Forces to Boost Animal Health Services and Vaccine Uptake Across AU Member States </t>
  </si>
  <si>
    <t>https://www.africavet.com/article/au-ibar-and-galvmed-join-forces-to-boost-animal-health-services-and-vaccine-uptake-across-au-member-states</t>
  </si>
  <si>
    <t>au-ibar-and-galvmed-join-forces-to-boost-animal-health-services-and-vaccine-uptake-across-au-member-states</t>
  </si>
  <si>
    <t>AU-IBAR : atelier de formation suscite l'autonomisation des femmes dans les pêcheries africaines</t>
  </si>
  <si>
    <t>https://www.africavet.com/article/latelier-awfishnet-renforce-lautonomisation-des-femmes-dans-le-secteur-de-la-peche-en-afrique</t>
  </si>
  <si>
    <t>latelier-awfishnet-renforce-lautonomisation-des-femmes-dans-le-secteur-de-la-peche-en-afrique</t>
  </si>
  <si>
    <t>Burkina Faso : La FAO apporte un soutien crucial dans sa riposte contre la Grippe Aviaire</t>
  </si>
  <si>
    <t>https://www.africavet.com/article/burkina-faso-la-fao-apporte-un-soutien-crucial-dans-sa-riposte-contre-la-grippe-aviaire</t>
  </si>
  <si>
    <t>burkina-faso-la-fao-apporte-un-soutien-crucial-dans-sa-riposte-contre-la-grippe-aviaire</t>
  </si>
  <si>
    <t>RDC : Une épidémie de Mpox sans précédent et premiers cas signalés en République du Congo</t>
  </si>
  <si>
    <t>https://www.africavet.com/article/rdc-une-epidemie-de-mpox-sans-precedent-et-premiers-cas-signales-en-republique-du-congo</t>
  </si>
  <si>
    <t>rdc-une-epidemie-de-mpox-sans-precedent-et-premiers-cas-signales-en-republique-du-congo</t>
  </si>
  <si>
    <t>DR Congo mpox outbreak expands, becomes deadlier</t>
  </si>
  <si>
    <t>https://www.africavet.com/article/dr-congo-mpox-outbreak-expands-becomes-deadlier</t>
  </si>
  <si>
    <t>dr-congo-mpox-outbreak-expands-becomes-deadlier</t>
  </si>
  <si>
    <t>The Pandemic Fund: Second Call for Proposals</t>
  </si>
  <si>
    <t>https://www.africavet.com/article/the-pandemic-fund-second-call-for-proposals</t>
  </si>
  <si>
    <t>the-pandemic-fund-second-call-for-proposals</t>
  </si>
  <si>
    <t>Qu’est-ce qu’une zoonose ?</t>
  </si>
  <si>
    <t>https://www.africavet.com/article/quest-ce-quune-zoonose</t>
  </si>
  <si>
    <t>quest-ce-quune-zoonose</t>
  </si>
  <si>
    <t>Sénégal - Prévention des maladies animales : L'ISRA propose une vaste sélection de vingt vaccins selon son Directeur Général</t>
  </si>
  <si>
    <t>https://www.africavet.com/article/senegal-prevention-des-maladies-animales-lisra-propose-une-vaste-selection-de-vingt-vaccins-selon-son-directeur-general</t>
  </si>
  <si>
    <t>senegal-prevention-des-maladies-animales-lisra-propose-une-vaste-selection-de-vingt-vaccins-selon-son-directeur-general</t>
  </si>
  <si>
    <t>EISMV: 27th solemn opening ceremony of the Inter-State School of Veterinary Sciences and Medicine in Dakar.</t>
  </si>
  <si>
    <t>https://www.africavet.com/article/eismv-27th-solemn-opening-ceremony-of-the-inter-state-school-of-veterinary-sciences-and-medicine-in-dakar</t>
  </si>
  <si>
    <t>eismv-27th-solemn-opening-ceremony-of-the-inter-state-school-of-veterinary-sciences-and-medicine-in-dakar</t>
  </si>
  <si>
    <t>EISMV : 27ème rentrée solennelle de l’École Inter-États des Sciences et Médecine Vétérinaires de Dakar</t>
  </si>
  <si>
    <t>https://www.africavet.com/article/eismv-27eme-rentree-solennelle-de-lecole-inter-etats-des-sciences-et-medecine-veterinaires-de-dakar</t>
  </si>
  <si>
    <t>eismv-27eme-rentree-solennelle-de-lecole-inter-etats-des-sciences-et-medecine-veterinaires-de-dakar</t>
  </si>
  <si>
    <t>Cameroun : Le MINEPIA et la mairie de Douala se disputent le contrôle du débarcadère de Youpwe</t>
  </si>
  <si>
    <t>https://www.africavet.com/article/cameroun-le-minepia-et-la-mairie-de-douala-se-disputent-le-controle-du-debarcadere-de-youpwe</t>
  </si>
  <si>
    <t>cameroun-le-minepia-et-la-mairie-de-douala-se-disputent-le-controle-du-debarcadere-de-youpwe</t>
  </si>
  <si>
    <t>Burkina-Faso : un foyer de grippe aviaire maitrisé à Ouagadougou.</t>
  </si>
  <si>
    <t>https://www.africavet.com/article/burkina-un-foyer-de-grippe-aviaire-maitrise-a-ouagadougou</t>
  </si>
  <si>
    <t>burkina-un-foyer-de-grippe-aviaire-maitrise-a-ouagadougou</t>
  </si>
  <si>
    <t>Appel à projets : Formations Ouvertes à Distance 2025-2026</t>
  </si>
  <si>
    <t>https://www.africavet.com/article/appel-a-projets-formations-ouvertes-a-distance-2025-2026</t>
  </si>
  <si>
    <t>appel-a-projets-formations-ouvertes-a-distance-2025-2026</t>
  </si>
  <si>
    <t>OMSA :  2024 - Photo Competition</t>
  </si>
  <si>
    <t>https://www.africavet.com/article/omsa-2024-photo-competition</t>
  </si>
  <si>
    <t>omsa-2024-photo-competition</t>
  </si>
  <si>
    <t>Call for Peer Reviewers : Join the Journal of Veterinary Medical Education</t>
  </si>
  <si>
    <t>https://www.africavet.com/article/call-for-peer-reviewers-join-the-journal-of-veterinary-medical-education</t>
  </si>
  <si>
    <t>call-for-peer-reviewers-join-the-journal-of-veterinary-medical-education</t>
  </si>
  <si>
    <t>Advancing One Health: African Union's Digital Platform Initiative Takes Shape</t>
  </si>
  <si>
    <t>https://www.africavet.com/article/advancing-one-health-african-unions-digital-platform-initiative-takes-shape</t>
  </si>
  <si>
    <t>advancing-one-health-african-unions-digital-platform-initiative-takes-shape</t>
  </si>
  <si>
    <t>Global Avian Influenza Viruses with Zoonotic Potential situation update</t>
  </si>
  <si>
    <t>https://www.africavet.com/article/global-avian-influenza-viruses-with-zoonotic-potential-situation-update</t>
  </si>
  <si>
    <t>global-avian-influenza-viruses-with-zoonotic-potential-situation-update</t>
  </si>
  <si>
    <t>PRAPS-2 : Renforcement des capacités des experts des six pays sur les résultats des enquêtes de séromonitoring des campagnes de vaccination contre la PPR</t>
  </si>
  <si>
    <t>https://www.africavet.com/article/praps-2-renforcement-des-capacites-ppr</t>
  </si>
  <si>
    <t>Tchad; Mauritanie; Sénégal</t>
  </si>
  <si>
    <t>praps-2-renforcement-des-capacites-ppr</t>
  </si>
  <si>
    <t>Cameroun : Le MINESUP et l’EISMV de Dakar sur le même diapason</t>
  </si>
  <si>
    <t>https://www.africavet.com/article/cameroun-le-minesup-et-leismv-de-dakar-sur-le-meme-diapason</t>
  </si>
  <si>
    <t>cameroun-le-minesup-et-leismv-de-dakar-sur-le-meme-diapason</t>
  </si>
  <si>
    <t>AU-IBAR Facilitates Second Practical Training on AMR Surveillance and Laboratory Techniques at EISMV</t>
  </si>
  <si>
    <t>https://www.africavet.com/article/au-ibar-facilitates-second-practical-training-on-amr-surveillance-and-laboratory-techniques-at-eismv</t>
  </si>
  <si>
    <t>au-ibar-facilitates-second-practical-training-on-amr-surveillance-and-laboratory-techniques-at-eismv</t>
  </si>
  <si>
    <t>L’OMSA fête ses 100 ans : Réflexions sur le rôle et l’évolution de l’OMSA depuis 1924</t>
  </si>
  <si>
    <t>https://www.africavet.com/article/lomsa-fete-ses-100-ans-reflexions-sur-le-role-et-levolution-de-lomsa-depuis-1924</t>
  </si>
  <si>
    <t>lomsa-fete-ses-100-ans-reflexions-sur-le-role-et-levolution-de-lomsa-depuis-1924</t>
  </si>
  <si>
    <t>EISMV de Dakar : Appels à candidature pour le recrutement d’ATERs</t>
  </si>
  <si>
    <t>https://www.africavet.com/article/eismv-de-dakar-appels-a-candidature-pour-le-recrutement-daters</t>
  </si>
  <si>
    <t>eismv-de-dakar-appels-a-candidature-pour-le-recrutement-daters</t>
  </si>
  <si>
    <t>EISMV de Dakar : Un nouveau Secrétaire Général (SG)</t>
  </si>
  <si>
    <t>https://www.africavet.com/article/eismv-de-dakar-un-nouveau-secretaire-general-sg</t>
  </si>
  <si>
    <t>eismv-de-dakar-un-nouveau-secretaire-general-sg</t>
  </si>
  <si>
    <t>PPA : Risques liés à l’utilisation de vaccins de qualité inférieure</t>
  </si>
  <si>
    <t>https://www.africavet.com/article/peste-porcine-africaine-lomsa-met-en-garde-les-autorites-veterinaires-et-lindustrie-porcine-contre-les-risques-lies-a-lutilisation-de-vaccins-de-qualite-inferieure</t>
  </si>
  <si>
    <t>peste-porcine-africaine-lomsa-met-en-garde-les-autorites-veterinaires-et-lindustrie-porcine-contre-les-risques-lies-a-lutilisation-de-vaccins-de-qualite-inferieure</t>
  </si>
  <si>
    <t>CAMES : ouverture des inscriptions pour le 22e Concours d’Agrégation de Médecine Humaine, Pharmacie, Odontostomatologie, Médecine Vétérinaire et Productions animales</t>
  </si>
  <si>
    <t>https://www.africavet.com/article/cames-ouverture-des-inscriptions-pour-le-22e-concours-dagregation-de-medecine-humaine-pharmacie-odontostomatologie-medecine-veterinaire-et-productions-animales</t>
  </si>
  <si>
    <t>cames-ouverture-des-inscriptions-pour-le-22e-concours-dagregation-de-medecine-humaine-pharmacie-odontostomatologie-medecine-veterinaire-et-productions-animales</t>
  </si>
  <si>
    <t>Cameroun : Lutte contre la pêche illicite, non déclarée et non réglementée</t>
  </si>
  <si>
    <t>https://www.africavet.com/article/cameroun-lutte-contre-la-peche-illicite-non-declaree-et-non-reglementee-long-environmental-justice-foundation-octroie-des-equipements-aux-pecheurs-en-activite-sur-la-cote-douala-edea</t>
  </si>
  <si>
    <t>cameroun-lutte-contre-la-peche-illicite-non-declaree-et-non-reglementee-long-environmental-justice-foundation-octroie-des-equipements-aux-pecheurs-en-activite-sur-la-cote-douala-edea</t>
  </si>
  <si>
    <t>Poultry and Livestock Production Helps Communities Build Climate Resilience in Zimbabwe</t>
  </si>
  <si>
    <t>https://www.africavet.com/article/poultry-and-livestock-production-helps-communities-build-climate-resilience-in-zimbabwe</t>
  </si>
  <si>
    <t>poultry-and-livestock-production-helps-communities-build-climate-resilience-in-zimbabwe</t>
  </si>
  <si>
    <t>Article : The Public Health Importance and Management of Infectious Poultry Diseases in Smallholder Systems in Africa</t>
  </si>
  <si>
    <t>https://www.africavet.com/article/article-the-public-health-importance-and-management-of-infectious-poultry-diseases-in-smallholder-systems-in-africa</t>
  </si>
  <si>
    <t>article-the-public-health-importance-and-management-of-infectious-poultry-diseases-in-smallholder-systems-in-africa</t>
  </si>
  <si>
    <t>AU-IBAR : Ambitious Project To Promote Food And Nutrition Security In Africa Launched In Nairobi</t>
  </si>
  <si>
    <t>https://www.africavet.com/article/au-ibar-ambitious-project-to-promote</t>
  </si>
  <si>
    <t>au-ibar-ambitious-project-to-promote</t>
  </si>
  <si>
    <t>RESILIENT AFRICAN FEED AND FODDER SYSTEM PROJECT CONTINENTAL PROJECT INCEPTION AND OFFICIAL LAUNCH</t>
  </si>
  <si>
    <t>https://www.africavet.com/article/resilient-african-feed-and-fodder-system-project-continental-project-inception-and-official-launch</t>
  </si>
  <si>
    <t>resilient-african-feed-and-fodder-system-project-continental-project-inception-and-official-launch</t>
  </si>
  <si>
    <t>RAFFS PROJECT: The Feed and Fodder Sector in Africa</t>
  </si>
  <si>
    <t>https://www.africavet.com/article/raffs-project-the-feed-and-fodder-sector-in-africa</t>
  </si>
  <si>
    <t>raffs-project-the-feed-and-fodder-sector-in-africa</t>
  </si>
  <si>
    <t>Letter: West Africa should protect its fisheries from foreign fleets</t>
  </si>
  <si>
    <t>https://www.africavet.com/article/letter-west-africa-should-protect-its-fisheries-from-foreign-fleets</t>
  </si>
  <si>
    <t>letter-west-africa-should-protect-its-fisheries-from-foreign-fleets</t>
  </si>
  <si>
    <t>AU-IBAR and Partners Launch Strategic Advocacy Initiatives for Donkey Welfare</t>
  </si>
  <si>
    <t>https://www.africavet.com/article/au-ibar-and-partners-launch-strategic-advocacy-initiatives-for-donkey-welfare</t>
  </si>
  <si>
    <t>Côte d’Ivoire; Égypte; Éthiopie; Tanzanie; Ouganda</t>
  </si>
  <si>
    <t>au-ibar-and-partners-launch-strategic-advocacy-initiatives-for-donkey-welfare</t>
  </si>
  <si>
    <t>Cameroun : Newsletter 007 de la Plateforme Une Seule Santé est disponible !!!</t>
  </si>
  <si>
    <t>https://www.africavet.com/article/cameroun-newsletter-007-de-la-plateforme-une-seule-sante-est-disponible</t>
  </si>
  <si>
    <t>cameroun-newsletter-007-de-la-plateforme-une-seule-sante-est-disponible</t>
  </si>
  <si>
    <t>IP: PRISE DE FONCTIONS DE LA PROFESSEURE YASMINE BELKAID EN TANT QUE DIRECTRICE GÉNÉRALE DE L'INSTITUT PASTEUR</t>
  </si>
  <si>
    <t>https://www.africavet.com/article/ip-prise-de-fonctions-de-la-professeure-yasmine-belkaid-en-tant-que-directrice-generale-de-linstitut-pasteur</t>
  </si>
  <si>
    <t>ip-prise-de-fonctions-de-la-professeure-yasmine-belkaid-en-tant-que-directrice-generale-de-linstitut-pasteur</t>
  </si>
  <si>
    <t>L'élevage d'autruches au Sénégal, une activité lucrative</t>
  </si>
  <si>
    <t>https://www.africavet.com/article/lelevage-dautruches-au-senegal-une-activite-lucrative</t>
  </si>
  <si>
    <t>lelevage-dautruches-au-senegal-une-activite-lucrative</t>
  </si>
  <si>
    <t>AU-IBAR and Kenya's Collaborative Dedication to Advancing Tomorrow's Livestock Sector</t>
  </si>
  <si>
    <t>https://www.africavet.com/article/au-ibar-and-kenyas-collaborative-dedication-to-advancing-tomorrows-livestock-sector</t>
  </si>
  <si>
    <t>au-ibar-and-kenyas-collaborative-dedication-to-advancing-tomorrows-livestock-sector</t>
  </si>
  <si>
    <t>3rd Joint AITVM–STVM International Conference, 21 to Friday 24 May 2024, Montpellier, France : Deadline for abstract submission: 16 February 2024</t>
  </si>
  <si>
    <t>https://www.africavet.com/article/3rd-joint-aitvm-stvm-international-conference-21-to-friday-24-may-2024-montpellier-france</t>
  </si>
  <si>
    <t>3rd-joint-aitvm-stvm-international-conference-21-to-friday-24-may-2024-montpellier-france</t>
  </si>
  <si>
    <t>Building collaborations and science capacity in Africa – Afrique One</t>
  </si>
  <si>
    <t>https://www.africavet.com/article/building-collaborations-and-science-capacity-in-africa-afrique-one</t>
  </si>
  <si>
    <t>building-collaborations-and-science-capacity-in-africa-afrique-one</t>
  </si>
  <si>
    <t>Togo : Le pays s'engage dans la création d'Aires Marines Protégées (AMP) grâce au soutien du RAMPAO</t>
  </si>
  <si>
    <t>https://www.africavet.com/article/togo-le-pays-sengage-dans-la-creation-daires-marines-protegees-amp-grace-au-soutien-du-rampao</t>
  </si>
  <si>
    <t>togo-le-pays-sengage-dans-la-creation-daires-marines-protegees-amp-grace-au-soutien-du-rampao</t>
  </si>
  <si>
    <t>AU-IBAR : Promoting transboundary management for sustainable socio-economic development in the Gulf of Guinea</t>
  </si>
  <si>
    <t>https://www.africavet.com/article/au-ibar-promoting-transboundary-management-for-sustainable-socio-economic-development-in-the-gulf-of-guinea</t>
  </si>
  <si>
    <t>au-ibar-promoting-transboundary-management-for-sustainable-socio-economic-development-in-the-gulf-of-guinea</t>
  </si>
  <si>
    <t>L’OMSA fête ses 100 ans : un siècle en faveur de la santé et du bien-être animal</t>
  </si>
  <si>
    <t>https://www.africavet.com/article/lomsa-fete-ses-100-ans-un-siecle-en-faveur-de-la-sante-et-du-bien-etre-animal</t>
  </si>
  <si>
    <t>lomsa-fete-ses-100-ans-un-siecle-en-faveur-de-la-sante-et-du-bien-etre-animal</t>
  </si>
  <si>
    <t>FAO Action Plan 2022–2025 for the implementation of the FAO Strategy on Climate Change</t>
  </si>
  <si>
    <t>https://www.africavet.com/article/fao-action-plan-2022-2025-for-the-implementation-of-the-fao-strategy-on-climate-change</t>
  </si>
  <si>
    <t>fao-action-plan-2022-2025-for-the-implementation-of-the-fao-strategy-on-climate-change</t>
  </si>
  <si>
    <t>ANAF's Aquatic Agenda: Progress and Prospects from the 2nd ANAF General Assembly</t>
  </si>
  <si>
    <t>https://www.africavet.com/article/anafs-aquatic-agenda-progress-and-prospects-from-the-2nd-anaf-general-assembly</t>
  </si>
  <si>
    <t>anafs-aquatic-agenda-progress-and-prospects-from-the-2nd-anaf-general-assembly</t>
  </si>
  <si>
    <t>Cameroon : LINAFI – the fight against importation of halieutic products is top priority</t>
  </si>
  <si>
    <t>https://www.africavet.com/article/cameroon-linafi-the-fight-against-importation-of-halieutic-products-is-top-priority</t>
  </si>
  <si>
    <t>cameroon-linafi-the-fight-against-importation-of-halieutic-products-is-top-priority</t>
  </si>
  <si>
    <t>Cameroun : LINAFI -  la lutte contre l'importation de produits halieutiques est une priorité absolue</t>
  </si>
  <si>
    <t>https://www.africavet.com/article/cameroun-linafi-la-lutte-contre-limportation-de-produits-halieutiques-est-une-priorite-absolue</t>
  </si>
  <si>
    <t>cameroun-linafi-la-lutte-contre-limportation-de-produits-halieutiques-est-une-priorite-absolue</t>
  </si>
  <si>
    <t>FAO : Alerte rapide et circulation de l’information sur les maladies</t>
  </si>
  <si>
    <t>https://www.africavet.com/article/fao-alerte-rapide-et-circulation-de-linformation-sur-les-maladies</t>
  </si>
  <si>
    <t>fao-alerte-rapide-et-circulation-de-linformation-sur-les-maladies</t>
  </si>
  <si>
    <t>CAN 2023 : les acteurs du secteur de la restauration collective instruits sur la sécurité sanitaire des aliments</t>
  </si>
  <si>
    <t>https://www.africavet.com/article/can-2023-les-acteurs-du-secteur-de-la-restauration-collective-instruits-sur-la-securite-sanitaire-des-aliments</t>
  </si>
  <si>
    <t>can-2023-les-acteurs-du-secteur-de-la-restauration-collective-instruits-sur-la-securite-sanitaire-des-aliments</t>
  </si>
  <si>
    <t>Côte d'Ivoire : atelier d'information et de concertation avec les acteurs publics et privés en vue de l'élaboration du cadre stratégique pour l’économie bleue</t>
  </si>
  <si>
    <t>https://www.africavet.com/article/cote-divoire-atelier-dinformation-et-de-concertation-avec-les-acteurs-publics-et-prives-en-vue-de-lelaboration-du-cadre-strategique-pour-leconomie-bleue</t>
  </si>
  <si>
    <t>cote-divoire-atelier-dinformation-et-de-concertation-avec-les-acteurs-publics-et-prives-en-vue-de-lelaboration-du-cadre-strategique-pour-leconomie-bleue</t>
  </si>
  <si>
    <t>AU-IBAR : 2nd ANAF General Assembly: Key Highlights from Opening Remarks</t>
  </si>
  <si>
    <t>https://www.africavet.com/article/au-ibar-2nd-anaf-general-assembly-key-highlights-from-opening-remarks</t>
  </si>
  <si>
    <t>Kenya; Afrique du Sud</t>
  </si>
  <si>
    <t>au-ibar-2nd-anaf-general-assembly-key-highlights-from-opening-remarks</t>
  </si>
  <si>
    <t>The niche of One Health approaches in Lassa fever surveillance and control</t>
  </si>
  <si>
    <t>https://www.africavet.com/article/the-niche-of-one-health-approaches-in-lassa-fever-surveillance-and-control</t>
  </si>
  <si>
    <t>Nigeria; Sierra Leone; Guinée</t>
  </si>
  <si>
    <t>the-niche-of-one-health-approaches-in-lassa-fever-surveillance-and-control</t>
  </si>
  <si>
    <t>Le Sénégal et l’OMS inaugurent un centre régional des urgences pour renforcer la riposte de l’Afrique aux crises sanitaires</t>
  </si>
  <si>
    <t>https://www.africavet.com/article/le-senegal-et-loms-inaugurent-un-centre-regional-des-urgences-pour-renforcer-la-riposte-de-lafrique-aux-crises-sanitaires</t>
  </si>
  <si>
    <t>le-senegal-et-loms-inaugurent-un-centre-regional-des-urgences-pour-renforcer-la-riposte-de-lafrique-aux-crises-sanitaires</t>
  </si>
  <si>
    <t>ANAF's 2nd General Congress: Shaping the Future of Aquaculture in Africa</t>
  </si>
  <si>
    <t>https://www.africavet.com/article/anafs-2nd-general-congress-shaping-the-future-of-aquaculture-in-africa</t>
  </si>
  <si>
    <t>anafs-2nd-general-congress-shaping-the-future-of-aquaculture-in-africa</t>
  </si>
  <si>
    <t>Cabo Verde : certification de l’élimination du paludisme, une étape historique dans la lutte contre le paludisme</t>
  </si>
  <si>
    <t>https://www.africavet.com/article/cabo-verde-certification-de-lelimination-du-paludisme-une-etape-historique-dans-la-lutte-contre-le-paludisme</t>
  </si>
  <si>
    <t>cabo-verde-certification-de-lelimination-du-paludisme-une-etape-historique-dans-la-lutte-contre-le-paludisme</t>
  </si>
  <si>
    <t>Tchad : renforcement de la collaboration scientifique entre le CECOQDA et une Université congolaise</t>
  </si>
  <si>
    <t>https://www.africavet.com/article/tchad-renforcement-de-la-collaboration-scientifique-entre-le-cecoqda-et-une-universite-congolaise</t>
  </si>
  <si>
    <t>tchad-renforcement-de-la-collaboration-scientifique-entre-le-cecoqda-et-une-universite-congolaise</t>
  </si>
  <si>
    <t>Niger : Guide technique de l’élevage</t>
  </si>
  <si>
    <t>https://www.africavet.com/article/niger-guide-technique-de-lelevage</t>
  </si>
  <si>
    <t>niger-guide-technique-de-lelevage</t>
  </si>
  <si>
    <t>Comment le changement climatique affecte-t-il la santé animale?</t>
  </si>
  <si>
    <t>https://www.africavet.com/article/comment-le-changement-climatique-affecte-t-il-la-sante-animale</t>
  </si>
  <si>
    <t>comment-le-changement-climatique-affecte-t-il-la-sante-animale</t>
  </si>
  <si>
    <t>Don't let antimicrobial resistance (AMR) take control!</t>
  </si>
  <si>
    <t>https://www.africavet.com/article/dont-let-antimicrobial-resistance-amr-take-control</t>
  </si>
  <si>
    <t>dont-let-antimicrobial-resistance-amr-take-control</t>
  </si>
  <si>
    <t>Niger : Guide de l’aviculteur</t>
  </si>
  <si>
    <t>https://www.africavet.com/article/niger-guide-de-laviculteur</t>
  </si>
  <si>
    <t>niger-guide-de-laviculteur</t>
  </si>
  <si>
    <t>Niger : Guide sur les techniques d’animation pour la formation des animateurs endogènes et producteurs pilotes.</t>
  </si>
  <si>
    <t>https://www.africavet.com/article/niger-guide-sur-les-techniques-danimation-pour-la-formation-des-animateurs-endogenes-et-producteurs-pilotes</t>
  </si>
  <si>
    <t>niger-guide-sur-les-techniques-danimation-pour-la-formation-des-animateurs-endogenes-et-producteurs-pilotes</t>
  </si>
  <si>
    <t>US : Update Regarding the User Fees Required for Export Facility Inspection Packages</t>
  </si>
  <si>
    <t>https://www.africavet.com/article/us-update-regarding-the-user-fees-required-for-export-facility-inspection-packages</t>
  </si>
  <si>
    <t>us-update-regarding-the-user-fees-required-for-export-facility-inspection-packages</t>
  </si>
  <si>
    <t>Côte d'Ivoire : Le ministère des Ressources animales se dote d’un numéro vert pour les Urgences sanitaires</t>
  </si>
  <si>
    <t>https://www.africavet.com/article/cote-divoire-le-ministere-des-ressources-animales-se-dote-dun-numero-vert-pour-les-urgences-sanitaires</t>
  </si>
  <si>
    <t>cote-divoire-le-ministere-des-ressources-animales-se-dote-dun-numero-vert-pour-les-urgences-sanitaires</t>
  </si>
  <si>
    <t>Niger : Référentiel technico-économique pour la formation continue de type modulaire sur la chaîne de valeur miel de table</t>
  </si>
  <si>
    <t>https://www.africavet.com/article/niger-referentiel-technico-economique-pour-la-formation-continue-de-type-modulaire-sur-la-chaine-de-valeur-miel-de-table</t>
  </si>
  <si>
    <t>niger-referentiel-technico-economique-pour-la-formation-continue-de-type-modulaire-sur-la-chaine-de-valeur-miel-de-table</t>
  </si>
  <si>
    <t>Niger : L’approche One Health / une gestion améliorée des risques sanitaires</t>
  </si>
  <si>
    <t>https://www.africavet.com/article/niger-lapproche-one-health-une-gestion-amelioree-des-risques-sanitaires</t>
  </si>
  <si>
    <t>niger-lapproche-one-health-une-gestion-amelioree-des-risques-sanitaires</t>
  </si>
  <si>
    <t>US : USDA Announces Civil Penalties and License Revocation for Virginia Facility Due to Repeated Animal Welfare Act Violations</t>
  </si>
  <si>
    <t>https://www.africavet.com/article/us-usda-announces-civil-penalties-and-license-revocation-for-virginia-facility-due-to-repeated-animal-welfare-act-violations</t>
  </si>
  <si>
    <t>us-usda-announces-civil-penalties-and-license-revocation-for-virginia-facility-due-to-repeated-animal-welfare-act-violations</t>
  </si>
  <si>
    <t>SENEGAL : La pêche continentale dépourvue du soutien des ONG</t>
  </si>
  <si>
    <t>https://www.africavet.com/article/senegal-la-peche-continentale-depourvue-du-soutien-des-ong</t>
  </si>
  <si>
    <t>senegal-la-peche-continentale-depourvue-du-soutien-des-ong</t>
  </si>
  <si>
    <t>Niger : Fiche technique sur la transformation du lait local en yaourt brassé.</t>
  </si>
  <si>
    <t>https://www.africavet.com/article/niger-fiche-technique-sur-la-transformation-du-lait-local-en-yaourt-brasse</t>
  </si>
  <si>
    <t>niger-fiche-technique-sur-la-transformation-du-lait-local-en-yaourt-brasse</t>
  </si>
  <si>
    <t>Speech of the Chairperson of the AUC at launch of BionTech vaccine manufacturing facility in Kigali, 18 Dec 2023</t>
  </si>
  <si>
    <t>https://www.africavet.com/article/speech-of-the-chairperson-of-the-auc-at-launch-of-biontech-vaccine-manufacturing-facility-in-kigali-18-dec-2023</t>
  </si>
  <si>
    <t>speech-of-the-chairperson-of-the-auc-at-launch-of-biontech-vaccine-manufacturing-facility-in-kigali-18-dec-2023</t>
  </si>
  <si>
    <t>ONSSA, Maroc : Réglementation transversale - Durabilité des produits alimentaires</t>
  </si>
  <si>
    <t>https://www.africavet.com/article/onssa-maroc-reglementation-transversale-durabilite-des-produits-alimentaires</t>
  </si>
  <si>
    <t>onssa-maroc-reglementation-transversale-durabilite-des-produits-alimentaires</t>
  </si>
  <si>
    <t>Maroc : Participation de l’ONSSA à la 24ème édition du Salon Avicole “Dawajine”</t>
  </si>
  <si>
    <t>https://www.africavet.com/article/maroc-participation-de-lonssa-a-la-24eme-edition-du-salon-avicole-dawajine</t>
  </si>
  <si>
    <t>maroc-participation-de-lonssa-a-la-24eme-edition-du-salon-avicole-dawajine</t>
  </si>
  <si>
    <t>OMSA : Les multiples répercussions d’El Niño sur la faune sauvage et la santé animale</t>
  </si>
  <si>
    <t>https://www.africavet.com/article/omsa-les-multiples-repercussions-del-nino-sur-la-faune-sauvage-et-la-sante-animale</t>
  </si>
  <si>
    <t>omsa-les-multiples-repercussions-del-nino-sur-la-faune-sauvage-et-la-sante-animale</t>
  </si>
  <si>
    <t>Cameroun : Visite du PCA de Gavi *La halte du site de vaccination du Centre Mère et Enfant</t>
  </si>
  <si>
    <t>https://www.africavet.com/article/cameroun-visite-du-pca-de-gavi-la-halte-du-site-de-vaccination-du-centre-mere-et-enfant</t>
  </si>
  <si>
    <t>cameroun-visite-du-pca-de-gavi-la-halte-du-site-de-vaccination-du-centre-mere-et-enfant</t>
  </si>
  <si>
    <t>Cameroun : Foire à bétail 2023 : les agriculteurs mettent en œuvre l'agriculture de 2e génération</t>
  </si>
  <si>
    <t>https://www.africavet.com/article/cameroun-foire-a-betail-2023</t>
  </si>
  <si>
    <t>cameroun-foire-a-betail-2023</t>
  </si>
  <si>
    <t>Cameroon : Livestock exhibition 2023: Farmers implement 2nd generation agriculture</t>
  </si>
  <si>
    <t>https://www.africavet.com/article/cameroon-livestock-exhibition-2023</t>
  </si>
  <si>
    <t>cameroon-livestock-exhibition-2023</t>
  </si>
  <si>
    <t>Experts meet to discuss a resilient African feed and fodder agenda for African Union Member States</t>
  </si>
  <si>
    <t>https://www.africavet.com/article/experts-meet-to-discuss-a-resilient-african-feed-and-fodder-agenda-for-african-union-member-states</t>
  </si>
  <si>
    <t>experts-meet-to-discuss-a-resilient-african-feed-and-fodder-agenda-for-african-union-member-states</t>
  </si>
  <si>
    <t>Variole du singe-mpox: une évolution préoccupante de la maladie en Afrique</t>
  </si>
  <si>
    <t>https://www.africavet.com/article/variole-du-singe-mpox-une-evolution-preoccupante-de-la-maladie-en-afrique</t>
  </si>
  <si>
    <t>variole-du-singe-mpox-une-evolution-preoccupante-de-la-maladie-en-afrique</t>
  </si>
  <si>
    <t>Cameroun : 7ième Cours International Pasteur sur la Surveillance et le Contrôle de la Rage au Centre Pasteur du Cameroun</t>
  </si>
  <si>
    <t>https://www.africavet.com/article/cameroun-7ieme-cours-international-pasteur-sur-la-surveillance-et-le-controle-de-la-rage-au-centre-pasteur-du-cameroun</t>
  </si>
  <si>
    <t>cameroun-7ieme-cours-international-pasteur-sur-la-surveillance-et-le-controle-de-la-rage-au-centre-pasteur-du-cameroun</t>
  </si>
  <si>
    <t>ESPV - Press release : One Health Summer Institute #OHSI2023</t>
  </si>
  <si>
    <t>https://www.africavet.com/article/espv-press-release-one-health-summer-institute-ohsi2023</t>
  </si>
  <si>
    <t>espv-press-release-one-health-summer-institute-ohsi2023</t>
  </si>
  <si>
    <t>Cameroun : 7ème cours international sur la surveillance et le contrôle de la rage</t>
  </si>
  <si>
    <t>https://www.africavet.com/article/cameroun-7eme-cours-international-sur-la-surveillance-et-le-controle-de-la-rage</t>
  </si>
  <si>
    <t>cameroun-7eme-cours-international-sur-la-surveillance-et-le-controle-de-la-rage</t>
  </si>
  <si>
    <t>AU-IBAR High Level Side Event to the 5th STC Conference</t>
  </si>
  <si>
    <t>https://www.africavet.com/article/au-ibar-high-level-side-event-to-the-5th-stc-conference</t>
  </si>
  <si>
    <t>au-ibar-high-level-side-event-to-the-5th-stc-conference</t>
  </si>
  <si>
    <t>United Against Rabies Photo Competition - Deadline : 15 January 2024 (Paris Time).</t>
  </si>
  <si>
    <t>https://www.africavet.com/article/united-against-rabies-photo-competition-deadline-15-january-2024-paris-time</t>
  </si>
  <si>
    <t>united-against-rabies-photo-competition-deadline-15-january-2024-paris-time</t>
  </si>
  <si>
    <t>Africa : Communiqué for the 5th Africa Continental World Antimicrobial Resistance (AMR) Awareness Week 2023</t>
  </si>
  <si>
    <t>https://www.africavet.com/article/africa-communique-for-the-5th-africa-continental-world-antimicrobial-resistance-amr-awareness-week-2023</t>
  </si>
  <si>
    <t>africa-communique-for-the-5th-africa-continental-world-antimicrobial-resistance-amr-awareness-week-2023</t>
  </si>
  <si>
    <t>SENEGAL-CONSOMMATION / Kaffrine : 17 kg de cuisse de poulets saisis par le service de l’élevage</t>
  </si>
  <si>
    <t>https://www.africavet.com/article/senegal-consommation-kaffrine-17-kg-de-cuisse-de-poulets-saisis-par-le-service-de-lelevage</t>
  </si>
  <si>
    <t>senegal-consommation-kaffrine-17-kg-de-cuisse-de-poulets-saisis-par-le-service-de-lelevage</t>
  </si>
  <si>
    <t>Conference on Public Health in Africa 2023: Opening Remarks by H.E. Dr. Jean Kaseya, Director-General, Africa CDC on 27 November 2023</t>
  </si>
  <si>
    <t>https://www.africavet.com/article/conference-on-public-health-in-africa-2023-opening-remarks-by-h-e-dr-jean-kaseya-director-general-africa-cdc-on-27-november-2023</t>
  </si>
  <si>
    <t>conference-on-public-health-in-africa-2023-opening-remarks-by-h-e-dr-jean-kaseya-director-general-africa-cdc-on-27-november-2023</t>
  </si>
  <si>
    <t>Young researchers recognized for their fight against Peste des Petits Ruminants</t>
  </si>
  <si>
    <t>https://www.africavet.com/article/young-researchers-recognized-for-their-fight-against-peste-des-petits-ruminants</t>
  </si>
  <si>
    <t>young-researchers-recognized-for-their-fight-against-peste-des-petits-ruminants</t>
  </si>
  <si>
    <t>L’Ecole Inter-Etats des Sciences Médecine vétérinaires de Dakar organisera plusieurs rencontres</t>
  </si>
  <si>
    <t>https://www.africavet.com/article/lecole-inter-etats-des-sciences-medecine-veterinaires-de-dakar-organisera-plusieurs-rencontres</t>
  </si>
  <si>
    <t>lecole-inter-etats-des-sciences-medecine-veterinaires-de-dakar-organisera-plusieurs-rencontres</t>
  </si>
  <si>
    <t>International Symposium on Sustainable Animal Production and Health</t>
  </si>
  <si>
    <t>https://www.africavet.com/article/international-symposium-on-sustainable-animal-production-and-health</t>
  </si>
  <si>
    <t>international-symposium-on-sustainable-animal-production-and-health</t>
  </si>
  <si>
    <t>FAO Multidisciplinary Team in Central Africa Discusses Strategies to Improve Food Systems and Enhance Resilience in the ECCAS Region</t>
  </si>
  <si>
    <t>https://www.africavet.com/article/fao-multidisciplinary-team-in-central-africa-discusses-strategies-to-improve-food-systems-and-enhance-resilience-in-the-eccas-region</t>
  </si>
  <si>
    <t>fao-multidisciplinary-team-in-central-africa-discusses-strategies-to-improve-food-systems-and-enhance-resilience-in-the-eccas-region</t>
  </si>
  <si>
    <t>African swine fever prevention, detection and control in resource-limited settings</t>
  </si>
  <si>
    <t>https://www.africavet.com/article/african-swine-fever-prevention-detection-and-control-in-resource-limited-settings</t>
  </si>
  <si>
    <t>african-swine-fever-prevention-detection-and-control-in-resource-limited-settings</t>
  </si>
  <si>
    <t>The Progressive Management Pathway for Aquaculture Biosecurity</t>
  </si>
  <si>
    <t>https://www.africavet.com/article/the-progressive-management-pathway-for-aquaculture-biosecurity</t>
  </si>
  <si>
    <t>the-progressive-management-pathway-for-aquaculture-biosecurity</t>
  </si>
  <si>
    <t>OMSA conclut un accord avec l'Union Européenne pour soutenir l'Union Africaine dans la mise en œuvre de l'Accord de libre-échange continental africain.</t>
  </si>
  <si>
    <t>https://www.africavet.com/article/omsa-conclut-un-accord-avec-lunion-europeenne-pour-soutenir-lunion-africaine-dans-la-mise-en-oeuvre-de-laccord-de-libre-echange-continental-africain</t>
  </si>
  <si>
    <t>omsa-conclut-un-accord-avec-lunion-europeenne-pour-soutenir-lunion-africaine-dans-la-mise-en-oeuvre-de-laccord-de-libre-echange-continental-africain</t>
  </si>
  <si>
    <t>Côte d’Ivoire : atelier de formation des gestionnaires d’écloseries piscicoles sur le thème : conduite de la reproduction, de l’élevage larvaire et de l’alevinage</t>
  </si>
  <si>
    <t>https://www.africavet.com/article/cote-divoire-atelier-de-formation-des-gestionnaires-decloseries-piscicoles-sur-le-theme-conduite-de-la-reproduction-de-lelevage-larvaire-et-de-lalevinage</t>
  </si>
  <si>
    <t>cote-divoire-atelier-de-formation-des-gestionnaires-decloseries-piscicoles-sur-le-theme-conduite-de-la-reproduction-de-lelevage-larvaire-et-de-lalevinage</t>
  </si>
  <si>
    <t>Côte d’Ivoire : Visite du débarcadère Mohamed VI de Locodjro et du port de pêche d’Abidjan</t>
  </si>
  <si>
    <t>https://www.africavet.com/article/cote-divoire-visite-du-debarcadere-mohamed-vi-de-locodjro-et-du-port-de-peche-dabidjan</t>
  </si>
  <si>
    <t>cote-divoire-visite-du-debarcadere-mohamed-vi-de-locodjro-et-du-port-de-peche-dabidjan</t>
  </si>
  <si>
    <t>Côte d'Ivoire : Journée mondiale du One Health / Une seule Santé : voici la déclaration du gouvernement</t>
  </si>
  <si>
    <t>https://www.africavet.com/article/cote-divoire-journee-mondiale-du-one-health-une-seule-sante-voici-la-declaration-du-gouvernement</t>
  </si>
  <si>
    <t>cote-divoire-journee-mondiale-du-one-health-une-seule-sante-voici-la-declaration-du-gouvernement</t>
  </si>
  <si>
    <t>John N. Nkengasong nominated to lead New Bureau of Global Health Security and Diplomacy</t>
  </si>
  <si>
    <t>https://www.africavet.com/article/john-n-nkengasong-nominated-to-lead-new-bureau-of-global-health-security-and-diplomacy</t>
  </si>
  <si>
    <t>john-n-nkengasong-nominated-to-lead-new-bureau-of-global-health-security-and-diplomacy</t>
  </si>
  <si>
    <t>Côte d'Ivoire : Ambition pour le Secteur de l'Elevage, des Pêches et de l'Aquaculture</t>
  </si>
  <si>
    <t>https://www.africavet.com/article/cote-divoire-ambition-pour-le-secteur-de-lelevage-des-peches-et-de-laquaculture</t>
  </si>
  <si>
    <t>cote-divoire-ambition-pour-le-secteur-de-lelevage-des-peches-et-de-laquaculture</t>
  </si>
  <si>
    <t>CEMAC : 13ème session ordinaire du conseil de direction de la CEBEVIRHA</t>
  </si>
  <si>
    <t>https://www.africavet.com/article/13eme-session-ordinaire-du-conseil-de-direction-de-la-cebevirha</t>
  </si>
  <si>
    <t>République centrafricaine; Tchad; Guinée équatoriale; Gabon</t>
  </si>
  <si>
    <t>13eme-session-ordinaire-du-conseil-de-direction-de-la-cebevirha</t>
  </si>
  <si>
    <t>Cameroun : atelier multisectoriel sur la finalisation du plan national de préparation et de réponse aux épidémies et pandémies de pathogènes respiratoires</t>
  </si>
  <si>
    <t>https://www.africavet.com/article/cameroun-atelier-multisectoriel-sur-la-finalisation-du-plan-national-de-preparation-et-de-reponse-aux-epidemies-et-pandemies-de-pathogenes-respiratoires</t>
  </si>
  <si>
    <t>cameroun-atelier-multisectoriel-sur-la-finalisation-du-plan-national-de-preparation-et-de-reponse-aux-epidemies-et-pandemies-de-pathogenes-respiratoires</t>
  </si>
  <si>
    <t>La rencontre d’harmonisation des campagnes de vaccination entre le Cameroun, le Tchad, le Niger et la RCA a pris fin</t>
  </si>
  <si>
    <t>https://www.africavet.com/article/la-rencontre-dharmonisation-des-campagnes-de-vaccination-entre-le-tchad-et-trois-pays-voisins-a-pris-fin</t>
  </si>
  <si>
    <t>République centrafricaine; Tchad; Niger</t>
  </si>
  <si>
    <t>la-rencontre-dharmonisation-des-campagnes-de-vaccination-entre-le-tchad-et-trois-pays-voisins-a-pris-fin</t>
  </si>
  <si>
    <t>Afrique du Sud : Une épizootie de Grippe aviaire en dévastatrice menace l’industrie avicole et l’approvisionnement alimentaire</t>
  </si>
  <si>
    <t>https://www.africavet.com/article/afrique-du-sud-une-epizootie-de-grippe-aviaire-en-devastatrice-menace-lindustrie-avicole</t>
  </si>
  <si>
    <t>afrique-du-sud-une-epizootie-de-grippe-aviaire-en-devastatrice-menace-lindustrie-avicole</t>
  </si>
  <si>
    <t>Burkina-Faso : L’ordre national des vétérinaires dénonce l’intervention d’acteurs non habilités dans son secteur d’activité </t>
  </si>
  <si>
    <t>https://www.africavet.com/article/burkina-faso-lordre-national-des-veterinaires-denonce-lintervention-dacteurs-non-habilites-dans-son-secteur-dactivite</t>
  </si>
  <si>
    <t>burkina-faso-lordre-national-des-veterinaires-denonce-lintervention-dacteurs-non-habilites-dans-son-secteur-dactivite</t>
  </si>
  <si>
    <t>Composante 4 du PREDIP (COMATAO) : principales réalisations et défis</t>
  </si>
  <si>
    <t>https://www.africavet.com/article/composante-4-du-predip-comatao-principales-realisations-et-defis</t>
  </si>
  <si>
    <t>composante-4-du-predip-comatao-principales-realisations-et-defis</t>
  </si>
  <si>
    <t>Côte d'Ivoire : Loi n° 2020-995 du 30 décembre 2020 portant Code de la Santé publique vétérinaire</t>
  </si>
  <si>
    <t>https://www.africavet.com/article/cote-divoire-loi-n-2020-995-du-30-decembre-2020-portant-code-de-la-sante-publique-veterinaire</t>
  </si>
  <si>
    <t>cote-divoire-loi-n-2020-995-du-30-decembre-2020-portant-code-de-la-sante-publique-veterinaire</t>
  </si>
  <si>
    <t>U.S. Ambassador-at-Large Dr. John Nkengasong Visits Cameroon</t>
  </si>
  <si>
    <t>https://www.africavet.com/article/u-s-ambassador-at-large-dr-john-nkengasong-visits-cameroon</t>
  </si>
  <si>
    <t>u-s-ambassador-at-large-dr-john-nkengasong-visits-cameroon</t>
  </si>
  <si>
    <t>Kenya hosts a global conference on tackling Trypanosomiasis in Africa</t>
  </si>
  <si>
    <t>https://www.africavet.com/article/kenya-hosts-a-global-conference-on-tackling-trypanosomiasis-in-africa</t>
  </si>
  <si>
    <t>kenya-hosts-a-global-conference-on-tackling-trypanosomiasis-in-africa</t>
  </si>
  <si>
    <t>Africa AMR Surveillance Network Inaugural Meeting Highlights</t>
  </si>
  <si>
    <t>https://www.africavet.com/article/africa-amr-surveillance-network-inaugural-meeting-highlights</t>
  </si>
  <si>
    <t>africa-amr-surveillance-network-inaugural-meeting-highlights</t>
  </si>
  <si>
    <t>RWANDA’S AGRICULTURE SECTOR TRANSFORMATION JOURNEY OVER THE LAST 29 YEARS</t>
  </si>
  <si>
    <t>https://www.africavet.com/article/rwandas-agriculture-sector-transformation-journey-over-the-last-29-years</t>
  </si>
  <si>
    <t>rwandas-agriculture-sector-transformation-journey-over-the-last-29-years</t>
  </si>
  <si>
    <t>Validation Workshop for Report on Africa’s Policy Guidelines to Curb IUU Fishing and Promoting Transparency in the African Fisheries Sector</t>
  </si>
  <si>
    <t>https://www.africavet.com/article/validation-workshop-for-report-on-africas-policy-guidelines-to-curb-iuu-fishing</t>
  </si>
  <si>
    <t>validation-workshop-for-report-on-africas-policy-guidelines-to-curb-iuu-fishing</t>
  </si>
  <si>
    <t>Mansoura Veterinary Medical Journal</t>
  </si>
  <si>
    <t>https://www.africavet.com/article/mansoura-veterinary-medical-journal</t>
  </si>
  <si>
    <t>Revues</t>
  </si>
  <si>
    <t>mansoura-veterinary-medical-journal</t>
  </si>
  <si>
    <t>Sokoto Journal of Veterinary Sciences</t>
  </si>
  <si>
    <t>https://www.africavet.com/article/sokoto-journal-of-veterinary-sciences</t>
  </si>
  <si>
    <t>sokoto-journal-of-veterinary-sciences</t>
  </si>
  <si>
    <t>Sahel Journal of Veterinary Sciences</t>
  </si>
  <si>
    <t>https://www.africavet.com/article/sahel-journal-of-veterinary-sciences</t>
  </si>
  <si>
    <t>sahel-journal-of-veterinary-sciences</t>
  </si>
  <si>
    <t>Serological detection of foot and mouth disease antibodies in apparenty healthy pigs within federal capital territory, Abuja</t>
  </si>
  <si>
    <t>https://www.africavet.com/article/serological-detection-of-foot-and-mouth-disease-antibodies-in-apparenty-healthy-pigs-within-federal-capital-territory-abuja</t>
  </si>
  <si>
    <t>serological-detection-of-foot-and-mouth-disease-antibodies-in-apparenty-healthy-pigs-within-federal-capital-territory-abuja</t>
  </si>
  <si>
    <t>Nigerian Veterinary Journal</t>
  </si>
  <si>
    <t>https://www.africavet.com/article/nigerian-veterinary-journal</t>
  </si>
  <si>
    <t>nigerian-veterinary-journal</t>
  </si>
  <si>
    <t>Advancing a developed African Fisheries and Aquaculture</t>
  </si>
  <si>
    <t>https://www.africavet.com/article/advancing-a-developed-african-fisheries-and-aquaculture</t>
  </si>
  <si>
    <t>advancing-a-developed-african-fisheries-and-aquaculture</t>
  </si>
  <si>
    <t>EISMV : APPEL A CANDIDATURE</t>
  </si>
  <si>
    <t>https://www.africavet.com/article/eismv-appel-a-candidature</t>
  </si>
  <si>
    <t>eismv-appel-a-candidature</t>
  </si>
  <si>
    <t>Côte d'Ivoire : Fin du repos biologique 2023 pour la pêche industrielle et semi-industrielle</t>
  </si>
  <si>
    <t>https://www.africavet.com/article/cote-divoire-fin-du-repos-biologique-2023-pour-la-peche-industrielle-et-semi-industrielle</t>
  </si>
  <si>
    <t>cote-divoire-fin-du-repos-biologique-2023-pour-la-peche-industrielle-et-semi-industrielle</t>
  </si>
  <si>
    <t>Kenya set to host a global summit tackling Trypanosomiasis in Africa</t>
  </si>
  <si>
    <t>https://www.africavet.com/article/kenya-set-to-host-a-global-summit-tackling-trypanosomiasis-in-africa</t>
  </si>
  <si>
    <t>kenya-set-to-host-a-global-summit-tackling-trypanosomiasis-in-africa</t>
  </si>
  <si>
    <t>Côte d’Ivoire : « E-pharma veto », une application visant à tracer les produits vétérinaires</t>
  </si>
  <si>
    <t>https://www.africavet.com/article/cote-divoire-e-pharma-veto-une-application-visant-a-tracer-les-produits-veterinaires</t>
  </si>
  <si>
    <t>cote-divoire-e-pharma-veto-une-application-visant-a-tracer-les-produits-veterinaires</t>
  </si>
  <si>
    <t>Côte d'Ivoire: Le Ministre Sidi TOURÉ a reçu ce mardi 5 septembre en audience une délégation Suisse conduite par M. Jakob ZINSSTAG.</t>
  </si>
  <si>
    <t>https://www.africavet.com/article/cote-divoire-le-ministre-sidi-toure-a-recu-ce-mardi-5-septembre-en-audience-une-delegation-suisse-conduite-par-m-jakob-zinsstag</t>
  </si>
  <si>
    <t>cote-divoire-le-ministre-sidi-toure-a-recu-ce-mardi-5-septembre-en-audience-une-delegation-suisse-conduite-par-m-jakob-zinsstag</t>
  </si>
  <si>
    <t>Élevage : Un nouveau partenariat noué pour trouver des solutions à la trypanosomiase animale africaine (TAA)</t>
  </si>
  <si>
    <t>https://www.africavet.com/article/elevage-un-nouveau-partenariat-noue-pour-trouver-des-solutions-a-la-trypanosomiase-animale-africaine-taa</t>
  </si>
  <si>
    <t>elevage-un-nouveau-partenariat-noue-pour-trouver-des-solutions-a-la-trypanosomiase-animale-africaine-taa</t>
  </si>
  <si>
    <t>Africa Epidemic Service : Public Health Informatics, Epidemiology, Laboratory Leadership</t>
  </si>
  <si>
    <t>https://www.africavet.com/article/africa-epidemic-service</t>
  </si>
  <si>
    <t>africa-epidemic-service</t>
  </si>
  <si>
    <t>WPSA-Cameroon Webinarin partnership with AFROHUN-Cameroon</t>
  </si>
  <si>
    <t>https://www.africavet.com/article/wpsa-cameroon-webinarin-partnership-with-afrohun-cameroon</t>
  </si>
  <si>
    <t>wpsa-cameroon-webinarin-partnership-with-afrohun-cameroon</t>
  </si>
  <si>
    <t>Cameroun : La BAD évalue le financement de ses projets - Elevage et pisciculture</t>
  </si>
  <si>
    <t>https://www.africavet.com/article/cameroun-la-bad-evalue-le-financement-de-ses-projets-elevage-et-pisciculture</t>
  </si>
  <si>
    <t>cameroun-la-bad-evalue-le-financement-de-ses-projets-elevage-et-pisciculture</t>
  </si>
  <si>
    <t>WHO launches a new Global Initiative on Digital Health supported by the G20 Presidency</t>
  </si>
  <si>
    <t>https://www.africavet.com/article/who-launches-a-new-global-initiative-on-digital-health-supported-by-the-g20-presidency</t>
  </si>
  <si>
    <t>who-launches-a-new-global-initiative-on-digital-health-supported-by-the-g20-presidency</t>
  </si>
  <si>
    <t>Charting a Course for Marine Conservation: The Kenya-Tanzania Transboundary Collaboration Roadmap</t>
  </si>
  <si>
    <t>https://www.africavet.com/article/charting-a-course-for-marine-conservation-the-kenya-tanzania-transboundary-collaboration-roadmap</t>
  </si>
  <si>
    <t>charting-a-course-for-marine-conservation-the-kenya-tanzania-transboundary-collaboration-roadmap</t>
  </si>
  <si>
    <t>Kenya : L'assurance du bétail concerne plus de 173 000 éleveurs</t>
  </si>
  <si>
    <t>https://www.africavet.com/article/kenya-lassurance-du-betail-concerne-plus-de-173-000-eleveurs</t>
  </si>
  <si>
    <t>kenya-lassurance-du-betail-concerne-plus-de-173-000-eleveurs</t>
  </si>
  <si>
    <t>Cameroun : Exercice de simulation sur la gestion d’une épidémie de Fièvre Hémorragique Virale</t>
  </si>
  <si>
    <t>https://www.africavet.com/article/cameroun-exercice-de-simulation-sur-la-gestion-dune-epidemie-de-fievre-hemorragique-virale</t>
  </si>
  <si>
    <t>cameroun-exercice-de-simulation-sur-la-gestion-dune-epidemie-de-fievre-hemorragique-virale</t>
  </si>
  <si>
    <t>Zoo-Sanitary Situation Assessment, an Initial Step in Country Disease Prioritization Process</t>
  </si>
  <si>
    <t>https://www.africavet.com/article/zoo-sanitary-situation-assessment-an-initial-step-in-country-disease-prioritization-process-systematic-review-and-meta-analysis-from-2000-to-2020-in-cameroon</t>
  </si>
  <si>
    <t>zoo-sanitary-situation-assessment-an-initial-step-in-country-disease-prioritization-process-systematic-review-and-meta-analysis-from-2000-to-2020-in-cameroon</t>
  </si>
  <si>
    <t>Resilient African Feed and Fodder Systems Launches A Survey for AU Member States</t>
  </si>
  <si>
    <t>https://www.africavet.com/article/resilient-african-feed-and-fodder-systems-launches-a-survey-for-au-member-states</t>
  </si>
  <si>
    <t>resilient-african-feed-and-fodder-systems-launches-a-survey-for-au-member-states</t>
  </si>
  <si>
    <t>RDC : Un homme grièvement blessé par un hippopotame à Kavimvira (Uvira)</t>
  </si>
  <si>
    <t>https://www.africavet.com/article/rdc-un-homme-grievement-blesse-par-un-hippopotame-a-kavimvira-uvira</t>
  </si>
  <si>
    <t>rdc-un-homme-grievement-blesse-par-un-hippopotame-a-kavimvira-uvira</t>
  </si>
  <si>
    <t>African Union's One Health Data Alliance Africa Project Launches with a Focus on Integrated Health Governance</t>
  </si>
  <si>
    <t>https://www.africavet.com/article/african-unions-one-health-data-alliance-africa-project-launches-with-a-focus-on-integrated-health-governance</t>
  </si>
  <si>
    <t>african-unions-one-health-data-alliance-africa-project-launches-with-a-focus-on-integrated-health-governance</t>
  </si>
  <si>
    <t>EISMV : Master (M2) Epidémiologie des maladies transmissibles et Gestion des Risques Sanitaires</t>
  </si>
  <si>
    <t>https://www.africavet.com/article/eismv-master-m2-epidemiologie-des-maladies-transmissibles-et-gestion-des-risques-sanitaires</t>
  </si>
  <si>
    <t>eismv-master-m2-epidemiologie-des-maladies-transmissibles-et-gestion-des-risques-sanitaires</t>
  </si>
  <si>
    <t>EISMV - RASPA Vol.1 n°00 Juin 2022</t>
  </si>
  <si>
    <t>https://www.africavet.com/article/eismv-raspa-vol-1-n00-juin-2022</t>
  </si>
  <si>
    <t>eismv-raspa-vol-1-n00-juin-2022</t>
  </si>
  <si>
    <t>An African Union Workshop Explores Solutions for Feed and Fodder Systems in Africa</t>
  </si>
  <si>
    <t>https://www.africavet.com/article/an-african-union-workshop-explores-solutions-for-feed-and-fodder-systems-in-africa</t>
  </si>
  <si>
    <t>an-african-union-workshop-explores-solutions-for-feed-and-fodder-systems-in-africa</t>
  </si>
  <si>
    <t>Fostering Collaborative Excellence: A Transformative Learning Visit by University of Cape Coast Fisheries and Aquaculture experts to AU-IBAR</t>
  </si>
  <si>
    <t>https://www.africavet.com/article/fostering-collaborative-excellence-a-transformative-learning-visit-by-university-of-cape-coast-fisheries-and-aquaculture-experts-to-au-ibar</t>
  </si>
  <si>
    <t>fostering-collaborative-excellence-a-transformative-learning-visit-by-university-of-cape-coast-fisheries-and-aquaculture-experts-to-au-ibar</t>
  </si>
  <si>
    <t>AUC and Partners Communication Experts Meet to discuss Strategic Communications for CAADP</t>
  </si>
  <si>
    <t>https://www.africavet.com/article/auc-and-partners-communication-experts-meet-to-discuss-strategic-communications-for-caadp</t>
  </si>
  <si>
    <t>auc-and-partners-communication-experts-meet-to-discuss-strategic-communications-for-caadp</t>
  </si>
  <si>
    <t>AU-IBAR Announces New Director - Dr. Huyam Ahmed Mohammed Elamin Salih</t>
  </si>
  <si>
    <t>https://www.africavet.com/article/au-ibar-announces-new-director-dr-huyam-ahmed-mohammed-elamin-salih</t>
  </si>
  <si>
    <t>au-ibar-announces-new-director-dr-huyam-ahmed-mohammed-elamin-salih</t>
  </si>
  <si>
    <t>ReAct Africa &amp;amp; South Centre - Virtual Conference</t>
  </si>
  <si>
    <t>https://www.africavet.com/article/1866-2</t>
  </si>
  <si>
    <t>1866-2</t>
  </si>
  <si>
    <t>CEEAC : Atelier de sensibilisation pour la prévention de la rage humaine et animale dans le cadre de l'approche "Une Seule Santé“</t>
  </si>
  <si>
    <t>https://www.africavet.com/article/ceeac-atelier-de-sensibilisation-une-seule-sante</t>
  </si>
  <si>
    <t>ceeac-atelier-de-sensibilisation-une-seule-sante</t>
  </si>
  <si>
    <t>AMUSE Livestock, version 2―Antimicrobial use in livestock production: A tool to harmonise data collection on knowledge, attitude and practices</t>
  </si>
  <si>
    <t>https://www.africavet.com/article/amuse-livestock-version-2%e2%80%95antimicrobial-use-in-livestock-production-a-tool-to-harmonise-data-collection-on-knowledge-attitude-and-practices</t>
  </si>
  <si>
    <t>amuse-livestock-version-2%e2%80%95antimicrobial-use-in-livestock-production-a-tool-to-harmonise-data-collection-on-knowledge-attitude-and-practices</t>
  </si>
  <si>
    <t>Practice biosecurity to save your pigs; including clean and disinfection procedures</t>
  </si>
  <si>
    <t>https://www.africavet.com/article/practice-biosecurity-to-save-your-pigs-including-clean-and-disinfection-procedures</t>
  </si>
  <si>
    <t>practice-biosecurity-to-save-your-pigs-including-clean-and-disinfection-procedures</t>
  </si>
  <si>
    <t>Biosecurity is key to stop African Swine Fever - Be a Champion Farmer!</t>
  </si>
  <si>
    <t>https://www.africavet.com/article/biosecurity-is-key-to-stop-african-swine-fever-be-a-champion-farmer</t>
  </si>
  <si>
    <t>biosecurity-is-key-to-stop-african-swine-fever-be-a-champion-farmer</t>
  </si>
  <si>
    <t>Sénégal : Revue après action sur la grippe aviaire à H5N1</t>
  </si>
  <si>
    <t>https://www.africavet.com/article/senegal-revue-apres-action-sur-la-grippe-aviaire-a-h5n1</t>
  </si>
  <si>
    <t>senegal-revue-apres-action-sur-la-grippe-aviaire-a-h5n1</t>
  </si>
  <si>
    <t>EIOS Newsletter July 2023</t>
  </si>
  <si>
    <t>https://www.africavet.com/article/eios-newsletter-july-2023</t>
  </si>
  <si>
    <t>eios-newsletter-july-2023</t>
  </si>
  <si>
    <t>Côte d'Ivoire : Politique Nationale de Développement de l’Elevage, de la pêche et de l’Aquaculture (PONADEPA 2022-2026).</t>
  </si>
  <si>
    <t>https://www.africavet.com/article/politique-nationale-de-developpement-de-lelevage-de-la-peche-et-de-laquaculture-ponadepa-2022-2026</t>
  </si>
  <si>
    <t>politique-nationale-de-developpement-de-lelevage-de-la-peche-et-de-laquaculture-ponadepa-2022-2026</t>
  </si>
  <si>
    <t>Côte d’Ivoire : Développement de l’aquaculture : Le pays va renforcer sa production locale de poisson.</t>
  </si>
  <si>
    <t>https://www.africavet.com/article/cote-divoire-developpement-de-laquaculture-le-pays-va-renforcer-sa-production-locale-de-poisson</t>
  </si>
  <si>
    <t>cote-divoire-developpement-de-laquaculture-le-pays-va-renforcer-sa-production-locale-de-poisson</t>
  </si>
  <si>
    <t>Cameroun : 2ème conférence internationale sur la transhumance transfrontalière</t>
  </si>
  <si>
    <t>https://www.africavet.com/article/cameroun-2eme-conference-internationale-sur-la-transhumance-transfrontaliere</t>
  </si>
  <si>
    <t>cameroun-2eme-conference-internationale-sur-la-transhumance-transfrontaliere</t>
  </si>
  <si>
    <t>Sénégal-élevage/ Bambey : 50 jeunes formés en aviculture et en embouche par le conseil départemental</t>
  </si>
  <si>
    <t>https://www.africavet.com/article/senegal-elevage-bambey-50-jeunes-formes-en-aviculture-et-en-embouche-par-le-conseil-departemental</t>
  </si>
  <si>
    <t>senegal-elevage-bambey-50-jeunes-formes-en-aviculture-et-en-embouche-par-le-conseil-departemental</t>
  </si>
  <si>
    <t>Cameroun : Des appuis agropastoraux pour les populations vulnérables dans le Logone-et-Chari</t>
  </si>
  <si>
    <t>https://www.africavet.com/article/cameroun-des-appuis-agropastoraux-pour-les-populations-vulnerables-dans-le-logone-et-chari</t>
  </si>
  <si>
    <t>cameroun-des-appuis-agropastoraux-pour-les-populations-vulnerables-dans-le-logone-et-chari</t>
  </si>
  <si>
    <t>Confirmation of Anthrax Outbreak in Nigeria</t>
  </si>
  <si>
    <t>https://www.africavet.com/article/confirmation-of-anthrax-outbreak-in-nigeria</t>
  </si>
  <si>
    <t>confirmation-of-anthrax-outbreak-in-nigeria</t>
  </si>
  <si>
    <t>France : Influenza aviaire - l’État renforce son soutien budgétaire pour accompagner les éleveurs et le lancement de la campagne vaccinale</t>
  </si>
  <si>
    <t>https://www.africavet.com/article/france-influenza-aviaire-letat-renforce-son-soutien-budgetaire-pour-accompagner-les-eleveurs-et-le-lancement-de-la-campagne-vaccinale</t>
  </si>
  <si>
    <t>france-influenza-aviaire-letat-renforce-son-soutien-budgetaire-pour-accompagner-les-eleveurs-et-le-lancement-de-la-campagne-vaccinale</t>
  </si>
  <si>
    <t>CEEAC-SANTE : VERS LA MISE EN PLACE DE LA PLATE FORME REGIONALE «UNE SEULE SANTE»</t>
  </si>
  <si>
    <t>https://www.africavet.com/article/ceeac-sante-vers-la-mise-en-place-de-la-plate-forme-regionale-une-seule-sante</t>
  </si>
  <si>
    <t>ceeac-sante-vers-la-mise-en-place-de-la-plate-forme-regionale-une-seule-sante</t>
  </si>
  <si>
    <t>Cameroun : la loi sur la pêche est en cours de révision</t>
  </si>
  <si>
    <t>https://www.africavet.com/article/cameroun-la-loi-camerounaise-sur-la-peche-est-en-cours-de-revision</t>
  </si>
  <si>
    <t>cameroun-la-loi-camerounaise-sur-la-peche-est-en-cours-de-revision</t>
  </si>
  <si>
    <t>Sénégal: Ndeye Khady Kaïré, une passion pour la santé animale</t>
  </si>
  <si>
    <t>https://www.africavet.com/article/senegal-ndeye-khady-kaire-une-passion-pour-la-sante-animale</t>
  </si>
  <si>
    <t>senegal-ndeye-khady-kaire-une-passion-pour-la-sante-animale</t>
  </si>
  <si>
    <t>Zoetis reçoit 15,3 millions $ pour améliorer la santé animale en Afrique subsaharienne</t>
  </si>
  <si>
    <t>https://www.africavet.com/article/zoetis-recoit-153-millions-pour-ameliorer-la-sante-animale-en-afrique-subsaharienne</t>
  </si>
  <si>
    <t>zoetis-recoit-153-millions-pour-ameliorer-la-sante-animale-en-afrique-subsaharienne</t>
  </si>
  <si>
    <t>Secteur pêche : la FAO appuie la recherche en Côte d’Ivoire pour l’autosuffisance en poissons</t>
  </si>
  <si>
    <t>https://www.africavet.com/article/secteur-peche-la-fao-appuie-la-recherche-en-cote-divoire-pour-lautosuffisance-en-poissons</t>
  </si>
  <si>
    <t>secteur-peche-la-fao-appuie-la-recherche-en-cote-divoire-pour-lautosuffisance-en-poissons</t>
  </si>
  <si>
    <t>FAO Animal Production and Health - Annual report 2022</t>
  </si>
  <si>
    <t>https://www.africavet.com/article/fao-animal-production-and-health-annual-report-2022</t>
  </si>
  <si>
    <t>fao-animal-production-and-health-annual-report-2022</t>
  </si>
  <si>
    <t>Transhumance transfrontalière du bétail et répartition spatiale de la brucellose en Côte d’Ivoire</t>
  </si>
  <si>
    <t>https://www.africavet.com/article/transhumance-transfrontaliere-du-betail-et-repartition-spatiale-de-la-brucellose-en-cote-divoire</t>
  </si>
  <si>
    <t>transhumance-transfrontaliere-du-betail-et-repartition-spatiale-de-la-brucellose-en-cote-divoire</t>
  </si>
  <si>
    <t>Revue d’élevage et de médecine vétérinaire des pays tropicaux</t>
  </si>
  <si>
    <t>https://www.africavet.com/article/revue-delevage-et-de-medecine-veterinaire-des-pays-tropicaux</t>
  </si>
  <si>
    <t>revue-delevage-et-de-medecine-veterinaire-des-pays-tropicaux</t>
  </si>
  <si>
    <t>FAO publications catalogue 2022</t>
  </si>
  <si>
    <t>https://www.africavet.com/article/fao-publications-catalogue-2022</t>
  </si>
  <si>
    <t>fao-publications-catalogue-2022</t>
  </si>
  <si>
    <t>Qu'est-ce que la viande de brousse ?</t>
  </si>
  <si>
    <t>https://www.africavet.com/article/quest-ce-que-la-viande-de-brousse</t>
  </si>
  <si>
    <t>quest-ce-que-la-viande-de-brousse</t>
  </si>
  <si>
    <t>Release of “Bushmeat,” a Book Promoting a Holistic Approach to Wild Meat in Central Africa, Supports WCS Vision</t>
  </si>
  <si>
    <t>https://www.africavet.com/article/release-of-bushmeat-a-book-promoting-a-holistic-approach-to-wild-meat-in-central-africa-supports-wcs-vision</t>
  </si>
  <si>
    <t>release-of-bushmeat-a-book-promoting-a-holistic-approach-to-wild-meat-in-central-africa-supports-wcs-vision</t>
  </si>
  <si>
    <t>The Manhattan Principles</t>
  </si>
  <si>
    <t>https://www.africavet.com/article/the-manhattan-principles</t>
  </si>
  <si>
    <t>the-manhattan-principles</t>
  </si>
  <si>
    <t>La Tanzanie déclare la fin de l’épidémie de maladie à virus Marburg</t>
  </si>
  <si>
    <t>https://www.africavet.com/article/la-tanzanie-declare-la-fin-de-lepidemie-de-maladie-a-virus-marburg</t>
  </si>
  <si>
    <t>la-tanzanie-declare-la-fin-de-lepidemie-de-maladie-a-virus-marburg</t>
  </si>
  <si>
    <t>Fin de l’épidémie de maladie à virus Marburg en Guinée équatoriale</t>
  </si>
  <si>
    <t>https://www.africavet.com/article/fin-de-lepidemie-de-maladie-a-virus-marburg-en-guinee-equatoriale</t>
  </si>
  <si>
    <t>fin-de-lepidemie-de-maladie-a-virus-marburg-en-guinee-equatoriale</t>
  </si>
  <si>
    <t>4th GF-TADs Eastern Africa Roadmap Meeting for Foot-and-Mouth Disease</t>
  </si>
  <si>
    <t>https://www.africavet.com/article/4th-gf-tads-eastern-africa-roadmap-meeting-for-foot-and-mouth-disease</t>
  </si>
  <si>
    <t>4th-gf-tads-eastern-africa-roadmap-meeting-for-foot-and-mouth-disease</t>
  </si>
  <si>
    <t>2nd Year Progress Meeting - COMBAT Project</t>
  </si>
  <si>
    <t>https://www.africavet.com/article/2nd-year-progress-meeting-combat-project</t>
  </si>
  <si>
    <t>2nd-year-progress-meeting-combat-project</t>
  </si>
  <si>
    <t>Mpox (monkeypox)</t>
  </si>
  <si>
    <t>https://www.africavet.com/article/mpox-monkeypox</t>
  </si>
  <si>
    <t>mpox-monkeypox</t>
  </si>
  <si>
    <t>WOAH : “The veterinary workforce plays a key role in the global One Health agenda”woah“The veterinary workforce plays a key role in the global One Health agenda”</t>
  </si>
  <si>
    <t>https://www.africavet.com/article/woah-the-veterinary-workforce-plays-a-key-role-in-the-global-one-health</t>
  </si>
  <si>
    <t>woah-the-veterinary-workforce-plays-a-key-role-in-the-global-one-health</t>
  </si>
  <si>
    <t>Expert consultation on the sustainable management of parasites in livestock challenged by the global emergence of resistance</t>
  </si>
  <si>
    <t>https://www.africavet.com/article/expert-consultation-on-the-sustainable-management-of-parasites-in-livestock-challenged-by-the-global-emergence-of-resistance</t>
  </si>
  <si>
    <t>expert-consultation-on-the-sustainable-management-of-parasites-in-livestock-challenged-by-the-global-emergence-of-resistance</t>
  </si>
  <si>
    <t>Information systems for zoonotic disease surveillance using a One Health approach</t>
  </si>
  <si>
    <t>https://www.africavet.com/article/information-systems-for-zoonotic-disease-surveillance-using-a-one-health-approach</t>
  </si>
  <si>
    <t>information-systems-for-zoonotic-disease-surveillance-using-a-one-health-approach</t>
  </si>
  <si>
    <t>Algérie : Plus de 2000 vétérinaires mobilisés pour le contrôle sanitaire des animaux lors de l’Aïd El-Adha</t>
  </si>
  <si>
    <t>https://www.africavet.com/article/algerie-plus-de-2000-veterinaires-mobilises-pour-le-controle-sanitaire-des-animaux-lors-de-laid-el-adha</t>
  </si>
  <si>
    <t>algerie-plus-de-2000-veterinaires-mobilises-pour-le-controle-sanitaire-des-animaux-lors-de-laid-el-adha</t>
  </si>
  <si>
    <t>RDC : Kinshasa se dit inquiète de l’épidémie de Monkeypox qui a fait 192 morts selon un dernier bilan</t>
  </si>
  <si>
    <t>https://www.africavet.com/article/rdc-kinshasa-se-dit-inquiete-de-lepidemie-de-monkeypox-qui-a-fait-192-morts-selon-un-dernier-bilan</t>
  </si>
  <si>
    <t>rdc-kinshasa-se-dit-inquiete-de-lepidemie-de-monkeypox-qui-a-fait-192-morts-selon-un-dernier-bilan</t>
  </si>
  <si>
    <t>RDC : le ministère de la Pêche et Élevage prépare l’inauguration du débarcadère intégré</t>
  </si>
  <si>
    <t>https://www.africavet.com/article/rdc-le-ministere-de-la-peche-et-elevage-prepare-linauguration-du-debarcadere-integre</t>
  </si>
  <si>
    <t>rdc-le-ministere-de-la-peche-et-elevage-prepare-linauguration-du-debarcadere-integre</t>
  </si>
  <si>
    <t>Film Cinquantenaire de l'EISMV de Dakar</t>
  </si>
  <si>
    <t>https://www.africavet.com/article/film-cinquantenaire-de-leismv-de-dakar</t>
  </si>
  <si>
    <t>film-cinquantenaire-de-leismv-de-dakar</t>
  </si>
  <si>
    <t>Qu'est-ce que la résistance aux antimicrobiens (RAM) ?</t>
  </si>
  <si>
    <t>https://www.africavet.com/article/quest-ce-que-la-resistance-aux-antimicrobiens-ram</t>
  </si>
  <si>
    <t>quest-ce-que-la-resistance-aux-antimicrobiens-ram</t>
  </si>
  <si>
    <t>Launch of the Pan-African Secretariat for Peste des Petits Ruminants (PPR) Eradication</t>
  </si>
  <si>
    <t>https://www.africavet.com/article/launch-of-the-pan-african-secretariat-for-peste-des-petits-ruminants-ppr-eradication</t>
  </si>
  <si>
    <t>launch-of-the-pan-african-secretariat-for-peste-des-petits-ruminants-ppr-eradication</t>
  </si>
  <si>
    <t>World Bee Day 2023: Bee Engaged in Pollinator-Friendly Agricultural Production</t>
  </si>
  <si>
    <t>https://www.africavet.com/article/world-bee-day-2023-bee-engaged-in-pollinator-friendly-agricultural-production</t>
  </si>
  <si>
    <t>world-bee-day-2023-bee-engaged-in-pollinator-friendly-agricultural-production</t>
  </si>
  <si>
    <t>Gambie : Amnesty International alerte sur les conséquences de la surpêche</t>
  </si>
  <si>
    <t>https://www.africavet.com/article/gambie-amnesty-international-alerte-sur-les-consequences-de-la-surpeche</t>
  </si>
  <si>
    <t>gambie-amnesty-international-alerte-sur-les-consequences-de-la-surpeche</t>
  </si>
  <si>
    <t>Sénégal - Maladies d’origine alimentaire : 137 000 décès par an enregistrés en Afrique</t>
  </si>
  <si>
    <t>https://www.africavet.com/article/senegal-maladies-dorigine-alimentaire-137-000-deces-par-an-enregistres-en-afrique</t>
  </si>
  <si>
    <t>senegal-maladies-dorigine-alimentaire-137-000-deces-par-an-enregistres-en-afrique</t>
  </si>
  <si>
    <t>FAO ECTAD : ISAVET au Cameroun… Et de quatre !</t>
  </si>
  <si>
    <t>https://www.africavet.com/article/fao-ectad-isavet-au-cameroun-et-de-quatre</t>
  </si>
  <si>
    <t>fao-ectad-isavet-au-cameroun-et-de-quatre</t>
  </si>
  <si>
    <t>Guinée : bientôt un institut d’élevage des crapauds vivipares sur les monts Nimba</t>
  </si>
  <si>
    <t>https://www.africavet.com/article/guinee-bientot-un-institut-delevage-des-crapauds-vivipares-sur-les-monts-nimba</t>
  </si>
  <si>
    <t>guinee-bientot-un-institut-delevage-des-crapauds-vivipares-sur-les-monts-nimba</t>
  </si>
  <si>
    <t>Fiche Technique Santé-Sécurité : Agents Pathogènes – Virus de la fièvre hémorragique de Crimée-Congo</t>
  </si>
  <si>
    <t>https://www.africavet.com/article/fiche-technique-sante-securite-agents-pathogenes-virus-de-la-fievre-hemorragique-de-crimee-congo</t>
  </si>
  <si>
    <t>fiche-technique-sante-securite-agents-pathogenes-virus-de-la-fievre-hemorragique-de-crimee-congo</t>
  </si>
  <si>
    <t>90ème Session générale de l’Assemblée mondiale des Délégués</t>
  </si>
  <si>
    <t>https://www.africavet.com/article/90eme-session-generale-de-lassemblee-mondiale-des-delegues</t>
  </si>
  <si>
    <t>90eme-session-generale-de-lassemblee-mondiale-des-delegues</t>
  </si>
  <si>
    <t>Côte d'Ivoire : une nouvelle maladie à fièvre hémorragie de Crimée-Congo fait son apparition en Afrique de l’Ouest</t>
  </si>
  <si>
    <t>https://www.africavet.com/article/cote-divoire-une-nouvelle-maladie-a-fievre-hemorragie-de-crimee-congo-fait-son-apparition-en-afrique-de-louest</t>
  </si>
  <si>
    <t>cote-divoire-une-nouvelle-maladie-a-fievre-hemorragie-de-crimee-congo-fait-son-apparition-en-afrique-de-louest</t>
  </si>
  <si>
    <t>Nouveaux statuts officiels de santé animale et programmes de contrôle accordés par l’OMSA</t>
  </si>
  <si>
    <t>https://www.africavet.com/article/nouveaux-statuts-officiels-de-sante-animale-et-programmes-de-controle-accordes-par-lomsa</t>
  </si>
  <si>
    <t>nouveaux-statuts-officiels-de-sante-animale-et-programmes-de-controle-accordes-par-lomsa</t>
  </si>
  <si>
    <t>Strengthening influenza preparedness through an OpenWHO online course</t>
  </si>
  <si>
    <t>https://www.africavet.com/article/strengthening-influenza-preparedness-through-an-openwho-online-course</t>
  </si>
  <si>
    <t>strengthening-influenza-preparedness-through-an-openwho-online-course</t>
  </si>
  <si>
    <t>Expert Talk on WOAH’s activities on wildlife health and wildlife trade</t>
  </si>
  <si>
    <t>https://www.africavet.com/article/expert-talk-on-woahs-activities-on-wildlife-health-and-wildlife-trade</t>
  </si>
  <si>
    <t>expert-talk-on-woahs-activities-on-wildlife-health-and-wildlife-trade</t>
  </si>
  <si>
    <t>Déclaration sur l’influenza aviaire chez les mammifères</t>
  </si>
  <si>
    <t>https://www.africavet.com/article/declaration-sur-linfluenza-aviaire-chez-les-mammiferes</t>
  </si>
  <si>
    <t>declaration-sur-linfluenza-aviaire-chez-les-mammiferes</t>
  </si>
  <si>
    <t>£39 million for AMR research as UK launches Global Health Framework</t>
  </si>
  <si>
    <t>https://www.africavet.com/article/39-million-for-amr-research-as-uk-launches-global-health-framework</t>
  </si>
  <si>
    <t>39-million-for-amr-research-as-uk-launches-global-health-framework</t>
  </si>
  <si>
    <t>Veterinary laboratory testing protocols for priority zoonotic diseases in Africa</t>
  </si>
  <si>
    <t>https://www.africavet.com/article/veterinary-laboratory-testing-protocols-for-priority-zoonotic-diseases-in-africa</t>
  </si>
  <si>
    <t>veterinary-laboratory-testing-protocols-for-priority-zoonotic-diseases-in-africa</t>
  </si>
  <si>
    <t>Quadripartite welcomes OHHLEP’s new white paper on zoonotic spillover prevention</t>
  </si>
  <si>
    <t>https://www.africavet.com/article/quadripartite-welcomes-ohhleps-new-white-paper-on-zoonotic-spillover-prevention</t>
  </si>
  <si>
    <t>quadripartite-welcomes-ohhleps-new-white-paper-on-zoonotic-spillover-prevention</t>
  </si>
  <si>
    <t>Cameroun : Journée Mondiale Vétérinaire. Le MINEPIA célèbre l’évènement</t>
  </si>
  <si>
    <t>https://www.africavet.com/article/cameroun-journee-mondiale-veterinaire-le-minepia-celebre-levenement</t>
  </si>
  <si>
    <t>cameroun-journee-mondiale-veterinaire-le-minepia-celebre-levenement</t>
  </si>
  <si>
    <t>Quadripartite call to action for One Health for a safer world</t>
  </si>
  <si>
    <t>https://www.africavet.com/article/quadripartite-call-to-action-for-one-health-for-a-safer-world</t>
  </si>
  <si>
    <t>quadripartite-call-to-action-for-one-health-for-a-safer-world</t>
  </si>
  <si>
    <t>Rinderpest and its eradication</t>
  </si>
  <si>
    <t>https://www.africavet.com/article/rinderpest-and-its-eradication</t>
  </si>
  <si>
    <t>rinderpest-and-its-eradication</t>
  </si>
  <si>
    <t>Seychelles : Le Pays signe un accord de coopération avec l’Inde pour mieux faire face aux trafics illégaux, Pêche INN</t>
  </si>
  <si>
    <t>https://www.africavet.com/article/seychelles-le-pays-signe-un-accord-de-cooperation-avec-linde-pour-mieux-faire-face-aux-trafics-illegaux-peche-inn</t>
  </si>
  <si>
    <t>seychelles-le-pays-signe-un-accord-de-cooperation-avec-linde-pour-mieux-faire-face-aux-trafics-illegaux-peche-inn</t>
  </si>
  <si>
    <t>Sénégal-découverte: Immersion à l'Ecole Inter-Etats des Sciences Vétérinaires de Dakar</t>
  </si>
  <si>
    <t>https://www.africavet.com/article/senegal-decouverte-immersion-a-lecole-inter-etats-des-sciences-veterinaires-de-dakar</t>
  </si>
  <si>
    <t>senegal-decouverte-immersion-a-lecole-inter-etats-des-sciences-veterinaires-de-dakar</t>
  </si>
  <si>
    <t>SAVE THE DATE | PPR Stakeholder seminar series | 24 February (11:00-12:00 CET), Dr Hiver Boussini, AU-IBAR</t>
  </si>
  <si>
    <t>https://www.africavet.com/article/save-the-date-ppr-stakeholder-seminar-series-24-february-1100-1200-cet-dr-hiver-boussini-au-ibar</t>
  </si>
  <si>
    <t>save-the-date-ppr-stakeholder-seminar-series-24-february-1100-1200-cet-dr-hiver-boussini-au-ibar</t>
  </si>
  <si>
    <t>Guinée équatoriale : Première épidémie de maladie à virus Marburg confirmée</t>
  </si>
  <si>
    <t>https://www.africavet.com/article/guinee-equatoriale-premiere-epidemie-de-maladie-a-virus-marburg-confirmee</t>
  </si>
  <si>
    <t>guinee-equatoriale-premiere-epidemie-de-maladie-a-virus-marburg-confirmee</t>
  </si>
  <si>
    <t>Sénégal : une piste pour s'ouvrir à la souveraineté en volailles locales</t>
  </si>
  <si>
    <t>https://www.africavet.com/article/senegal-une-piste-pour-souvrir-a-la-souverainete-en-volailles-locales</t>
  </si>
  <si>
    <t>senegal-une-piste-pour-souvrir-a-la-souverainete-en-volailles-locales</t>
  </si>
  <si>
    <t>Cameroon : ILRI and CGIAR appoint Professor Appolinaire Djikeng as Director General of ILRI and CGIAR Senior Director of Livestock-Based Systems</t>
  </si>
  <si>
    <t>https://www.africavet.com/article/cameroon-ilri-and-cgiar-appoint-professor-appolinaire-djikeng-as-director-general-of-ilri-and-cgiar-senior-director-of-livestock-based-systems</t>
  </si>
  <si>
    <t>cameroon-ilri-and-cgiar-appoint-professor-appolinaire-djikeng-as-director-general-of-ilri-and-cgiar-senior-director-of-livestock-based-systems</t>
  </si>
  <si>
    <t>Côte d'Ivoire : Le Pays participe à la 2e édition du sommet de Dakar</t>
  </si>
  <si>
    <t>https://www.africavet.com/article/cote-divoire-le-pays-participe-a-la-2e-edition-du-sommet-de-dakar</t>
  </si>
  <si>
    <t>cote-divoire-le-pays-participe-a-la-2e-edition-du-sommet-de-dakar</t>
  </si>
  <si>
    <t>Côte d’Ivoire : L’usine d’aliments pour volaille Koudjis opérationnelle</t>
  </si>
  <si>
    <t>https://www.africavet.com/article/cote-divoire-lusine-daliments-pour-volaille-koudjis-operationnelle</t>
  </si>
  <si>
    <t>cote-divoire-lusine-daliments-pour-volaille-koudjis-operationnelle</t>
  </si>
  <si>
    <t>OMS : Déclaration du Groupe consultatif technique sur l’évolution du virus SARS-CoV-2 (TAG-VE) à l’issue de la réunion du 3 janvier sur la situation concernant la COVID-19 en Chine</t>
  </si>
  <si>
    <t>https://www.africavet.com/article/oms-declaration-du-groupe-consultatif-technique-sur-levolution-du-virus-sars-cov-2-tag-ve-a-lissue-de-la-reunion-du-3-janvier-sur-la-situation-concernant-la-covid-19-en-chine</t>
  </si>
  <si>
    <t>Covid 19 Afrique</t>
  </si>
  <si>
    <t>oms-declaration-du-groupe-consultatif-technique-sur-levolution-du-virus-sars-cov-2-tag-ve-a-lissue-de-la-reunion-du-3-janvier-sur-la-situation-concernant-la-covid-19-en-chine</t>
  </si>
  <si>
    <t>Tchad : une mission du ministère de l’Elevage et des Productions animales séjourne à Laï</t>
  </si>
  <si>
    <t>https://www.africavet.com/article/tchad-une-mission-du-ministere-de-lelevage-et-des-productions-animales-sejourne-a-lai</t>
  </si>
  <si>
    <t>tchad-une-mission-du-ministere-de-lelevage-et-des-productions-animales-sejourne-a-lai</t>
  </si>
  <si>
    <t>OMSA : La mise en œuvre des normes de santé animale par le prisme des données : le Rapport annuel de l’Observatoire</t>
  </si>
  <si>
    <t>https://www.africavet.com/article/omsa-la-mise-en-oeuvre-des-normes-de-sante-animale-par-le-prisme-des-donnees-le-rapport-annuel-de-lobservatoire</t>
  </si>
  <si>
    <t>omsa-la-mise-en-oeuvre-des-normes-de-sante-animale-par-le-prisme-des-donnees-le-rapport-annuel-de-lobservatoire</t>
  </si>
  <si>
    <t>Le Groupe tripartite et le PNUE valident la définition du principe « Une seule santé » formulée par l’OHHLEP</t>
  </si>
  <si>
    <t>https://www.africavet.com/article/le-groupe-tripartite-et-le-pnue-valident-la-definition-du-principe-une-seule-sante-formulee-par-lohhlep</t>
  </si>
  <si>
    <t>le-groupe-tripartite-et-le-pnue-valident-la-definition-du-principe-une-seule-sante-formulee-par-lohhlep</t>
  </si>
  <si>
    <t>Veterinary vaccines: principles and applications</t>
  </si>
  <si>
    <t>https://www.africavet.com/article/veterinary-vaccines-principles-and-applications</t>
  </si>
  <si>
    <t>veterinary-vaccines-principles-and-applications</t>
  </si>
  <si>
    <t>Cameroun : l’UE adresse un « carton rouge » et menace de sanctions - Pêche illicite</t>
  </si>
  <si>
    <t>https://www.africavet.com/article/cameroun-lue-adresse-un-carton-rouge-et-menace-de-sanctions-peche-illicite</t>
  </si>
  <si>
    <t>cameroun-lue-adresse-un-carton-rouge-et-menace-de-sanctions-peche-illicite</t>
  </si>
  <si>
    <t>Cameroun : Visite de travail du Dr Taïga dans le Littoral et le Sud-Ouest</t>
  </si>
  <si>
    <t>https://www.africavet.com/article/cameroun-visite-de-travail-du-dr-taiga-dans-le-littoral-et-le-sud-ouest</t>
  </si>
  <si>
    <t>cameroun-visite-de-travail-du-dr-taiga-dans-le-littoral-et-le-sud-ouest</t>
  </si>
  <si>
    <t>Ethiopia :The national atlas of tsetse flies and African animal trypanosomosis</t>
  </si>
  <si>
    <t>https://www.africavet.com/article/ethiopia-the-national-atlas-of-tsetse-flies-and-african-animal-trypanosomosis</t>
  </si>
  <si>
    <t>ethiopia-the-national-atlas-of-tsetse-flies-and-african-animal-trypanosomosis</t>
  </si>
  <si>
    <t>Sénégal : Les éleveurs plus inquiets que les agriculteurs, un risque de pluies hors-saison</t>
  </si>
  <si>
    <t>https://www.africavet.com/article/senegal-les-eleveurs-plus-inquiets-que-les-agriculteurs-un-risque-de-pluies-hors-saison</t>
  </si>
  <si>
    <t>senegal-les-eleveurs-plus-inquiets-que-les-agriculteurs-un-risque-de-pluies-hors-saison</t>
  </si>
  <si>
    <t>Côte d'Ivoire: Visite du Centre des Technologies des Pêches, à Kanagawa préfecture, 2ème localité la plus peuplée après Tokyo</t>
  </si>
  <si>
    <t>https://www.africavet.com/article/cote-divoire-visite-du-centre-des-technologies-des-peches-a-kanagawa-prefecture-2eme-localite-la-plus-peuplee-apres-tokyo</t>
  </si>
  <si>
    <t>cote-divoire-visite-du-centre-des-technologies-des-peches-a-kanagawa-prefecture-2eme-localite-la-plus-peuplee-apres-tokyo</t>
  </si>
  <si>
    <t>AU-IBAR : Stakeholders agree that the African donkey must be saved "Now and in the Future"</t>
  </si>
  <si>
    <t>https://www.africavet.com/article/au-ibar-stakeholders-agree-that-the-african-donkey-must-be-saved-now-and-in-the-future</t>
  </si>
  <si>
    <t>au-ibar-stakeholders-agree-that-the-african-donkey-must-be-saved-now-and-in-the-future</t>
  </si>
  <si>
    <t>One Health : Surveillance and Information Sharing Operational Tool</t>
  </si>
  <si>
    <t>https://www.africavet.com/article/one-health-surveillance-and-information-sharing-operational-tool</t>
  </si>
  <si>
    <t>one-health-surveillance-and-information-sharing-operational-tool</t>
  </si>
  <si>
    <t>Lancement du Plan d’action conjoint « Une seule santé » pour répondre aux menaces sanitaires touchant les humains, les animaux, les végétaux et l’environnement</t>
  </si>
  <si>
    <t>https://www.africavet.com/article/lancement-du-plan-daction-conjoint-une-seule-sante-pour-repondre-aux-menaces-sanitaires-touchant-les-humains-les-animaux-les-vegetaux-et-lenvironnement</t>
  </si>
  <si>
    <t>lancement-du-plan-daction-conjoint-une-seule-sante-pour-repondre-aux-menaces-sanitaires-touchant-les-humains-les-animaux-les-vegetaux-et-lenvironnement</t>
  </si>
  <si>
    <t>AU-IBAR : Commencement of the International Week to Promote the Responsible Use of Antimicrobials</t>
  </si>
  <si>
    <t>https://www.africavet.com/article/au-ibar-commencement-of-the-international-week-to-promote-the-responsible-use-of-antimicrobials</t>
  </si>
  <si>
    <t>au-ibar-commencement-of-the-international-week-to-promote-the-responsible-use-of-antimicrobials</t>
  </si>
  <si>
    <t>One Health Joint Plan of Action, 2022–2026</t>
  </si>
  <si>
    <t>https://www.africavet.com/article/one-health-joint-plan-of-action-2022-2026</t>
  </si>
  <si>
    <t>one-health-joint-plan-of-action-2022-2026</t>
  </si>
  <si>
    <t>An atlas to support the progressive control of tsetse‑transmitted animal trypanosomosis in Burkina Faso</t>
  </si>
  <si>
    <t>https://www.africavet.com/article/an-atlas-to-support-the-progressive-control-of-tsetse%e2%80%91transmitted-animal-trypanosomosis-in-burkina-faso</t>
  </si>
  <si>
    <t>an-atlas-to-support-the-progressive-control-of-tsetse%e2%80%91transmitted-animal-trypanosomosis-in-burkina-faso</t>
  </si>
  <si>
    <t>Côte d’Ivoire : Productions animales et halieutiques: le Ministre Sidi Touré et son homologue marocain renforcent leur coopération</t>
  </si>
  <si>
    <t>https://www.africavet.com/article/cote-divoire-productions-animales-et-halieutiques-le-ministre-sidi-toure-et-son-homologue-marocain-renforcent-leur-cooperation</t>
  </si>
  <si>
    <t>cote-divoire-productions-animales-et-halieutiques-le-ministre-sidi-toure-et-son-homologue-marocain-renforcent-leur-cooperation</t>
  </si>
  <si>
    <t>Cameroun : Développement de la pisciculture avec l’appui du Japon</t>
  </si>
  <si>
    <t>https://www.africavet.com/article/cameroun-developpement-de-la-pisciculture-avec-lappui-du-japon</t>
  </si>
  <si>
    <t>cameroun-developpement-de-la-pisciculture-avec-lappui-du-japon</t>
  </si>
  <si>
    <t>Côte d’Ivoire : Le Premier Ministre procédera au lancement officiel du Programme Stratégique de Transformation de l’Aquaculture le 1er août à Loka (Bouake)</t>
  </si>
  <si>
    <t>https://www.africavet.com/article/cote-divoire-le-premier-ministre-procedera-au-lancement-officiel-du-programme-strategique-de-transformation-de-laquaculture-le-1er-aout-a-loka-bouake</t>
  </si>
  <si>
    <t>cote-divoire-le-premier-ministre-procedera-au-lancement-officiel-du-programme-strategique-de-transformation-de-laquaculture-le-1er-aout-a-loka-bouake</t>
  </si>
  <si>
    <t>OMS : Déclaration du Directeur général de l’OMS - Epidémie multipays ‎d’orthopoxvirose simienne (variole du singe) – 23 juillet 2022‎</t>
  </si>
  <si>
    <t>https://www.africavet.com/article/oms-declaration-du-directeur-general-de-loms-epidemie-multipays-dorthopoxvirose-simienne-variole-du-singe-23-juillet-2022</t>
  </si>
  <si>
    <t>oms-declaration-du-directeur-general-de-loms-epidemie-multipays-dorthopoxvirose-simienne-variole-du-singe-23-juillet-2022</t>
  </si>
  <si>
    <t>Ghana declares first-ever outbreak of Marburg virus disease</t>
  </si>
  <si>
    <t>https://www.africavet.com/article/ghana-declares-first-ever-outbreak-of-marburg-virus-disease</t>
  </si>
  <si>
    <t>ghana-declares-first-ever-outbreak-of-marburg-virus-disease</t>
  </si>
  <si>
    <t>Le Ghana déclare la toute première épidémie de la maladie à virus Marburg</t>
  </si>
  <si>
    <t>https://www.africavet.com/article/le-ghana-declare-la-toute-premiere-epidemie-de-la-maladie-a-virus-marburg</t>
  </si>
  <si>
    <t>le-ghana-declare-la-toute-premiere-epidemie-de-la-maladie-a-virus-marburg</t>
  </si>
  <si>
    <t>Cameroun : Journée mondiale des Zoonoses 2022 avec la participation des États-Unis.</t>
  </si>
  <si>
    <t>https://www.africavet.com/article/cameroun-journee-mondiale-des-zoonoses-2022-avec-la-participation-des-etats-unis</t>
  </si>
  <si>
    <t>cameroun-journee-mondiale-des-zoonoses-2022-avec-la-participation-des-etats-unis</t>
  </si>
  <si>
    <t>IBAR : Central African States Review Mapping Study and Roadmap of Regional Poultry Value Chain Implementation Strategy for ECCAS Region</t>
  </si>
  <si>
    <t>https://www.africavet.com/article/ibar-central-african-states-review-mapping-study-and-roadmap-of-regional-poultry-value-chain-implementation-strategy-for-eccas-region</t>
  </si>
  <si>
    <t>ibar-central-african-states-review-mapping-study-and-roadmap-of-regional-poultry-value-chain-implementation-strategy-for-eccas-region</t>
  </si>
  <si>
    <t>IBAR : “ Save our Ocean, Protect our Future” - African Member States contribute toward global ocean action</t>
  </si>
  <si>
    <t>https://www.africavet.com/article/ibar-save-our-ocean-protect-our-future-african-member-states-contribute-toward-global-ocean-action</t>
  </si>
  <si>
    <t>ibar-save-our-ocean-protect-our-future-african-member-states-contribute-toward-global-ocean-action</t>
  </si>
  <si>
    <t>Nigeria : Le Gouvernement veut porter sa production de poisson-chat africain à plus de 320 000 tonnes en 10 ans</t>
  </si>
  <si>
    <t>https://www.africavet.com/article/nigeria-le-gouvernement-veut-porter-sa-production-de-poisson-chat-africain-a-plus-de-320-000-tonnes-en-10-ans</t>
  </si>
  <si>
    <t>nigeria-le-gouvernement-veut-porter-sa-production-de-poisson-chat-africain-a-plus-de-320-000-tonnes-en-10-ans</t>
  </si>
  <si>
    <t>Cameroun : La société Fish&amp;amp;Co investit dans l'Aquaculture</t>
  </si>
  <si>
    <t>https://www.africavet.com/article/cameroun-la-societe-fishco-investit-dans-laquaculture</t>
  </si>
  <si>
    <t>cameroun-la-societe-fishco-investit-dans-laquaculture</t>
  </si>
  <si>
    <t>Cameroun : le leader de la filière avicole, Agrocam obtient la certification ISO 9001</t>
  </si>
  <si>
    <t>https://www.africavet.com/article/cameroun-le-leader-de-la-filiere-avicole-agrocam-obtient-la-certification-iso-9001</t>
  </si>
  <si>
    <t>cameroun-le-leader-de-la-filiere-avicole-agrocam-obtient-la-certification-iso-9001</t>
  </si>
  <si>
    <t>Nigeria Hosts Fisheries Governance 2 Project Internal Dialogue Meetings</t>
  </si>
  <si>
    <t>https://www.africavet.com/article/nigeria-hosts-fisheries-governance-2-project-internal-dialogue-meetings</t>
  </si>
  <si>
    <t>nigeria-hosts-fisheries-governance-2-project-internal-dialogue-meetings</t>
  </si>
  <si>
    <t>AU-IBAR Hosts 11th Regional Steering Committee Global Framework for the Control of Transboundary animal disease (GF-TADs) in Africa</t>
  </si>
  <si>
    <t>https://www.africavet.com/article/au-ibar-hosts-11th-regional-steering-committee-global-framework-for-the-control-of-transboundary-animal-disease-gf-tads-in-africa</t>
  </si>
  <si>
    <t>au-ibar-hosts-11th-regional-steering-committee-global-framework-for-the-control-of-transboundary-animal-disease-gf-tads-in-africa</t>
  </si>
  <si>
    <t>Burkina-Faso : Plus de 1 600 cartons de poissons impropres à la consommation saisis et détruits</t>
  </si>
  <si>
    <t>https://www.africavet.com/article/burkina-faso-plus-de-1-600-cartons-de-poissons-impropres-a-la-consommation-saisis-et-detruits</t>
  </si>
  <si>
    <t>burkina-faso-plus-de-1-600-cartons-de-poissons-impropres-a-la-consommation-saisis-et-detruits</t>
  </si>
  <si>
    <t>International : L’OMC conclut un accord sur les subventions au profit du secteur de la pêche</t>
  </si>
  <si>
    <t>https://www.africavet.com/article/international-lomc-conclut-un-accord-sur-les-subventions-au-profit-du-secteur-de-la-peche</t>
  </si>
  <si>
    <t>international-lomc-conclut-un-accord-sur-les-subventions-au-profit-du-secteur-de-la-peche</t>
  </si>
  <si>
    <t>Sénégal : La FAO veut valoriser la chaine huitre</t>
  </si>
  <si>
    <t>https://www.africavet.com/article/senegal-la-fao-veut-valoriser-la-chaine-huitre</t>
  </si>
  <si>
    <t>senegal-la-fao-veut-valoriser-la-chaine-huitre</t>
  </si>
  <si>
    <t>Cameroun : Des terroristes tuent pêcheurs nigérians</t>
  </si>
  <si>
    <t>https://www.africavet.com/article/cameroun-des-terroristes-tuent-pecheurs-nigerians</t>
  </si>
  <si>
    <t>cameroun-des-terroristes-tuent-pecheurs-nigerians</t>
  </si>
  <si>
    <t>Afrique de l’ouest : Gestion des zones côtières, de la biodiversité et des aires protégées</t>
  </si>
  <si>
    <t>https://www.africavet.com/article/afrique-de-louest-gestion-des-zones-cotieres-de-la-biodiversite-et-des-aires-protegees</t>
  </si>
  <si>
    <t>afrique-de-louest-gestion-des-zones-cotieres-de-la-biodiversite-et-des-aires-protegees</t>
  </si>
  <si>
    <t>Controlling and progressively minimizing the burden of animal trypanosomosis, a Horizon 2020 project</t>
  </si>
  <si>
    <t>https://www.africavet.com/article/controlling-and-progressively-minimizing-the-burden-of-animal-trypanosomosis-a-horizon-2020-project</t>
  </si>
  <si>
    <t>controlling-and-progressively-minimizing-the-burden-of-animal-trypanosomosis-a-horizon-2020-project</t>
  </si>
  <si>
    <t>Cameroun : SODEPA - université de Ngaoundéré (Grandes Ecoles) : unis par les liens sacrés du savoir</t>
  </si>
  <si>
    <t>https://www.africavet.com/article/cameroun-sodepa-universite-de-ngaoundere-grandes-ecoles-unis-par-les-liens-sacres-du-savoir</t>
  </si>
  <si>
    <t>cameroun-sodepa-universite-de-ngaoundere-grandes-ecoles-unis-par-les-liens-sacres-du-savoir</t>
  </si>
  <si>
    <t>Togo : Célébration de la Journée internationale de la sécurité sanitaire des aliments avec l’appui de Vétérinaires Sans Frontières Suisse</t>
  </si>
  <si>
    <t>https://www.africavet.com/article/togo-celebration-de-la-journee-internationale-de-la-securite-sanitaire-des-aliments-avec-lappui-de-veterinaires-sans-frontieres-suisse</t>
  </si>
  <si>
    <t>togo-celebration-de-la-journee-internationale-de-la-securite-sanitaire-des-aliments-avec-lappui-de-veterinaires-sans-frontieres-suisse</t>
  </si>
  <si>
    <t>Fièvre de la vallée du Rift</t>
  </si>
  <si>
    <t>https://www.africavet.com/article/fievre-de-la-vallee-du-rift</t>
  </si>
  <si>
    <t>fievre-de-la-vallee-du-rift</t>
  </si>
  <si>
    <t>International : Le Vietnam produit avec succès un vaccin contre la peste porcine africaine</t>
  </si>
  <si>
    <t>https://www.africavet.com/article/international-le-vietnam-produit-avec-succes-un-vaccin-contre-la-peste-porcine-africaine</t>
  </si>
  <si>
    <t>international-le-vietnam-produit-avec-succes-un-vaccin-contre-la-peste-porcine-africaine</t>
  </si>
  <si>
    <t>Commemoration of World Food Safety Day – 6-7 June, 2022</t>
  </si>
  <si>
    <t>https://www.africavet.com/article/commemoration-of-world-food-safety-day-6-7-june-2022</t>
  </si>
  <si>
    <t>commemoration-of-world-food-safety-day-6-7-june-2022</t>
  </si>
  <si>
    <t>Manuel technique de l'éleveur de lapin au Bénin</t>
  </si>
  <si>
    <t>https://www.africavet.com/article/manuel-technique-de-leleveur-de-lapin-au-benin</t>
  </si>
  <si>
    <t>manuel-technique-de-leleveur-de-lapin-au-benin</t>
  </si>
  <si>
    <t>Guidelines for African swine fever (ASF) prevention and control in smallholder pig farming in Asia - Farm biosecurity, slaughtering and restocking</t>
  </si>
  <si>
    <t>https://www.africavet.com/article/guidelines-for-african-swine-fever-asf-prevention-and-control-in-smallholder-pig-farming-in-asia-farm-biosecurity-slaughtering-and-restocking</t>
  </si>
  <si>
    <t>guidelines-for-african-swine-fever-asf-prevention-and-control-in-smallholder-pig-farming-in-asia-farm-biosecurity-slaughtering-and-restocking</t>
  </si>
  <si>
    <t>International : Des vétérinaires urgentistes vont aider les services de secours brabançons lors des interventions impliquant des animaux</t>
  </si>
  <si>
    <t>https://www.africavet.com/article/international-des-veterinaires-urgentistes-vont-aider-les-services-de-secours-brabancons-lors-des-interventions-impliquant-des-animaux</t>
  </si>
  <si>
    <t>international-des-veterinaires-urgentistes-vont-aider-les-services-de-secours-brabancons-lors-des-interventions-impliquant-des-animaux</t>
  </si>
  <si>
    <t>OMSA: L’Organisation mondiale de la santé animale lance sa nouvelle identité institutionnelle</t>
  </si>
  <si>
    <t>https://www.africavet.com/article/omsa-lorganisation-mondiale-de-la-sante-animale-lance-sa-nouvelle-identite-institutionnelle</t>
  </si>
  <si>
    <t>omsa-lorganisation-mondiale-de-la-sante-animale-lance-sa-nouvelle-identite-institutionnelle</t>
  </si>
  <si>
    <t>WOAH: The World Organisation for Animal Health launches its refreshed brand identity</t>
  </si>
  <si>
    <t>https://www.africavet.com/article/woah-the-world-organisation-for-animal-health-launches-its-refreshed-brand-identity</t>
  </si>
  <si>
    <t>woah-the-world-organisation-for-animal-health-launches-its-refreshed-brand-identity</t>
  </si>
  <si>
    <t>Upcoming Event: Fisheries Governance 2 Project Second Project Technical Coordinating meeting to be held in Abuja, Nigeria from 16-18 June 2022</t>
  </si>
  <si>
    <t>https://www.africavet.com/article/upcoming-event-fisheries-governance-2-project-second-project-technical-coordinating-meeting-to-be-held-in-abuja-nigeria-from-16-18-june-2022</t>
  </si>
  <si>
    <t>upcoming-event-fisheries-governance-2-project-second-project-technical-coordinating-meeting-to-be-held-in-abuja-nigeria-from-16-18-june-2022</t>
  </si>
  <si>
    <t>L’OMS collabore étroitement avec les pays ‎qui luttent contre la variole du singe</t>
  </si>
  <si>
    <t>https://www.africavet.com/article/loms-collabore-etroitement-avec-les-pays-qui-luttent-contre-la-variole-du-singe</t>
  </si>
  <si>
    <t>loms-collabore-etroitement-avec-les-pays-qui-luttent-contre-la-variole-du-singe</t>
  </si>
  <si>
    <t>L’Assemblée mondiale de la Santé réélit le Dr Tedros Adhanom Ghebreyesus au poste de Directeur général de l’OMS pour un second mandat</t>
  </si>
  <si>
    <t>https://www.africavet.com/article/lassemblee-mondiale-de-la-sante-reelit-le-dr-tedros-adhanom-ghebreyesus-au-poste-de-directeur-general-de-loms-pour-un-second-mandat</t>
  </si>
  <si>
    <t>lassemblee-mondiale-de-la-sante-reelit-le-dr-tedros-adhanom-ghebreyesus-au-poste-de-directeur-general-de-loms-pour-un-second-mandat</t>
  </si>
  <si>
    <t>COMESA reviews &amp; validates Draft Blue Economy Strategy</t>
  </si>
  <si>
    <t>https://www.africavet.com/article/comesa-reviews-validates-draft-blue-economy-strategy</t>
  </si>
  <si>
    <t>comesa-reviews-validates-draft-blue-economy-strategy</t>
  </si>
  <si>
    <t>Maroc : L’ONSSA lance le service de paiement électronique en ligne</t>
  </si>
  <si>
    <t>https://www.africavet.com/article/maroc-lonssa-lance-le-service-de-paiement-electronique-en-ligne</t>
  </si>
  <si>
    <t>maroc-lonssa-lance-le-service-de-paiement-electronique-en-ligne</t>
  </si>
  <si>
    <t>Mise en garde contre l'octroi de pavillons africains à des navires à «haut risque»</t>
  </si>
  <si>
    <t>https://www.africavet.com/article/mise-en-garde-contre-loctroi-de-pavillons-africains-a-des-navires-a-haut-risque</t>
  </si>
  <si>
    <t>mise-en-garde-contre-loctroi-de-pavillons-africains-a-des-navires-a-haut-risque</t>
  </si>
  <si>
    <t>Investir dans notre planète pour le Jour de la Terre</t>
  </si>
  <si>
    <t>https://www.africavet.com/article/investir-dans-notre-planete-pour-le-jour-de-la-terre</t>
  </si>
  <si>
    <t>investir-dans-notre-planete-pour-le-jour-de-la-terre</t>
  </si>
  <si>
    <t>Cameroun : l’Afrique centrale planche sur le financement de l’aquaculture commerciale</t>
  </si>
  <si>
    <t>https://www.africavet.com/article/cameroun-lafrique-centrale-planche-sur-le-financement-de-laquaculture-commerciale</t>
  </si>
  <si>
    <t>cameroun-lafrique-centrale-planche-sur-le-financement-de-laquaculture-commerciale</t>
  </si>
  <si>
    <t>Somalie: de nouvelles données montrent que la sécheresse dans la Corne de l’Afrique est un facteur aggravant de la faim aiguë</t>
  </si>
  <si>
    <t>https://www.africavet.com/article/somalie-de-nouvelles-donnees-montrent-que-la-secheresse-dans-la-corne-de-lafrique-est-un-facteur-aggravant-de-la-faim-aigue</t>
  </si>
  <si>
    <t>somalie-de-nouvelles-donnees-montrent-que-la-secheresse-dans-la-corne-de-lafrique-est-un-facteur-aggravant-de-la-faim-aigue</t>
  </si>
  <si>
    <t>Gabon : 1 milliard FCFA d’exportations de produits halieutiques en 2021, les revenus les plus faibles depuis 2017</t>
  </si>
  <si>
    <t>https://www.africavet.com/article/gabon-1-milliard-fcfa-dexportations-de-produits-halieutiques-en-2021-les-revenus-les-plus-faibles-depuis-2017</t>
  </si>
  <si>
    <t>gabon-1-milliard-fcfa-dexportations-de-produits-halieutiques-en-2021-les-revenus-les-plus-faibles-depuis-2017</t>
  </si>
  <si>
    <t>4ème Édition du Salon Avicole International de Yaoundé du 26 au 28 avril 2022</t>
  </si>
  <si>
    <t>https://www.africavet.com/article/4eme-edition-du-salon-avicole-international-de-yaounde-du-26-au-28-avril-2022</t>
  </si>
  <si>
    <t>4eme-edition-du-salon-avicole-international-de-yaounde-du-26-au-28-avril-2022</t>
  </si>
  <si>
    <t>Sénégal : 11 milliards de FCFA du FIDA pour améliorer l’agriculture et l’élevage</t>
  </si>
  <si>
    <t>https://www.africavet.com/article/senegal-11-milliards-de-fcfa-du-fida-pour-ameliorer-lagriculture-et-lelevage-2</t>
  </si>
  <si>
    <t>senegal-11-milliards-de-fcfa-du-fida-pour-ameliorer-lagriculture-et-lelevage-2</t>
  </si>
  <si>
    <t>Afrique du Sud: 14 crocodiles retrouvés</t>
  </si>
  <si>
    <t>https://www.africavet.com/article/afrique-du-sud-14-crocodiles-retrouves</t>
  </si>
  <si>
    <t>afrique-du-sud-14-crocodiles-retrouves</t>
  </si>
  <si>
    <t>https://www.africavet.com/article/senegal-11-milliards-de-fcfa-du-fida-pour-ameliorer-lagriculture-et-lelevage</t>
  </si>
  <si>
    <t>senegal-11-milliards-de-fcfa-du-fida-pour-ameliorer-lagriculture-et-lelevage</t>
  </si>
  <si>
    <t>Acting for better aquatic animal health and welfare worldwide</t>
  </si>
  <si>
    <t>https://www.africavet.com/article/acting-for-better-aquatic-animal-health-and-welfare-worldwide</t>
  </si>
  <si>
    <t>acting-for-better-aquatic-animal-health-and-welfare-worldwide</t>
  </si>
  <si>
    <t>Vidéo : Qu'est ce que le concept "One Health" (une santé) ?</t>
  </si>
  <si>
    <t>https://www.africavet.com/article/video-quest-ce-que-le-concept-one-health-une-sante</t>
  </si>
  <si>
    <t>video-quest-ce-que-le-concept-one-health-une-sante</t>
  </si>
  <si>
    <t>Improving aquatic animal health and welfare worldwide</t>
  </si>
  <si>
    <t>https://www.africavet.com/article/improving-aquatic-animal-health-and-welfare-worldwide</t>
  </si>
  <si>
    <t>improving-aquatic-animal-health-and-welfare-worldwide</t>
  </si>
  <si>
    <t>2nd Phase of Pan-African Peste des petits ruminants (PPR) Control and Eradication Programme (2022-2026) launched in Nairobi</t>
  </si>
  <si>
    <t>https://www.africavet.com/article/2nd-phase-of-pan-african-peste-des-petits-ruminants-ppr-control-and-eradication-programme-2022-2026-launched-in-nairobi</t>
  </si>
  <si>
    <t>2nd-phase-of-pan-african-peste-des-petits-ruminants-ppr-control-and-eradication-programme-2022-2026-launched-in-nairobi</t>
  </si>
  <si>
    <t>Cameroun : le ministère du Tourisme cherche 5 milliards pour viabiliser le parc national de Lobéké</t>
  </si>
  <si>
    <t>https://www.africavet.com/article/bonjour-tout-le-monde</t>
  </si>
  <si>
    <t>Sujets</t>
  </si>
  <si>
    <t>bonjour-tout-le-monde</t>
  </si>
  <si>
    <t>Sénégal : Tabaski, vers une pénurie de moutons</t>
  </si>
  <si>
    <t>https://www.africavet.com/article/senegal-tabaski-vers-une-penurie-de-moutons</t>
  </si>
  <si>
    <t>senegal-tabaski-vers-une-penurie-de-moutons</t>
  </si>
  <si>
    <t>AU-IBAR : Animal Welfare, Environment &amp; Sustainable Development Nexus Resolution Adopted during United Nations Environmental Assembly 5.2</t>
  </si>
  <si>
    <t>https://www.africavet.com/article/au-ibar-animal-welfare-environment-sustainable-development-nexus-resolution-adopted-during-united-nations-environmental-assembly-5-2</t>
  </si>
  <si>
    <t>République du Congo; RDC; Éthiopie; Ghana; Sénégal; Soudan du Sud</t>
  </si>
  <si>
    <t>au-ibar-animal-welfare-environment-sustainable-development-nexus-resolution-adopted-during-united-nations-environmental-assembly-5-2</t>
  </si>
  <si>
    <t>Cameroon  : the AEDP Mission Kicks off</t>
  </si>
  <si>
    <t>https://www.africavet.com/article/cameroon-the-aedp-mission-kicks-off-2</t>
  </si>
  <si>
    <t>cameroon-the-aedp-mission-kicks-off-2</t>
  </si>
  <si>
    <t>Côte d’Ivoire : Un centre de formation dans la transformation du poisson avec l'appui du Japon</t>
  </si>
  <si>
    <t>https://www.africavet.com/article/cote-divoire-un-centre-de-formation-dans-la-transformation-du-poisson-avec-lappui-du-japon</t>
  </si>
  <si>
    <t>cote-divoire-un-centre-de-formation-dans-la-transformation-du-poisson-avec-lappui-du-japon</t>
  </si>
  <si>
    <t>AU-IBAR : Strengthening the inclusion of livestock in the Regional Agriculture Investment Plans: The initial livestock sector review of the ECCAS CAP and PRIASAN</t>
  </si>
  <si>
    <t>https://www.africavet.com/article/au-ibar-strengthening-the-inclusion-of-livestock-in-the-regional-agriculture-investment-plans-the-initial-livestock-sector-review-of-the-eccas-cap-and-priasan</t>
  </si>
  <si>
    <t>au-ibar-strengthening-the-inclusion-of-livestock-in-the-regional-agriculture-investment-plans-the-initial-livestock-sector-review-of-the-eccas-cap-and-priasan</t>
  </si>
  <si>
    <t>https://www.africavet.com/article/cameroon-the-aedp-mission-kicks-off</t>
  </si>
  <si>
    <t>cameroon-the-aedp-mission-kicks-off</t>
  </si>
  <si>
    <t>UN Environment Programme joins alliance to implement One Health approach</t>
  </si>
  <si>
    <t>https://www.africavet.com/article/un-environment-programme-joins-alliance-to-implement-one-health-approach</t>
  </si>
  <si>
    <t>un-environment-programme-joins-alliance-to-implement-one-health-approach</t>
  </si>
  <si>
    <t>GPE PPA Afrique : Première réunion du groupe permanent d'experts (GPE) pour la peste porcine africaine (PPA)</t>
  </si>
  <si>
    <t>https://www.africavet.com/article/gpe-ppa-afrique-premiere-reunion-du-groupe-permanent-dexperts-gpe-pour-la-peste-porcine-africaine-ppa</t>
  </si>
  <si>
    <t>gpe-ppa-afrique-premiere-reunion-du-groupe-permanent-dexperts-gpe-pour-la-peste-porcine-africaine-ppa</t>
  </si>
  <si>
    <t>Grippes à potentiel zoonotique : la contribution du secteur de la santé animale pour la préparation aux pandémies</t>
  </si>
  <si>
    <t>https://www.africavet.com/article/grippes-a-potentiel-zoonotique-la-contribution-du-secteur-de-la-sante-animale-pour-la-preparation-aux-pandemies</t>
  </si>
  <si>
    <t>grippes-a-potentiel-zoonotique-la-contribution-du-secteur-de-la-sante-animale-pour-la-preparation-aux-pandemies</t>
  </si>
  <si>
    <t>Cameroun : Revue de la mise œuvre des recommandations des ateliers sur l’approche « Une Seule Santé » pour la sous-région Afrique centrale</t>
  </si>
  <si>
    <t>https://www.africavet.com/article/cameroun-revue-de-la-mise-oeuvre-des-recommandations-des-ateliers-sur-lapproche-une-seule-sante-pour-la-sous-region-afrique-centrale</t>
  </si>
  <si>
    <t>cameroun-revue-de-la-mise-oeuvre-des-recommandations-des-ateliers-sur-lapproche-une-seule-sante-pour-la-sous-region-afrique-centrale</t>
  </si>
  <si>
    <t>Invité du Journal: Dr Antoine Tchoubia (29/05/2021)</t>
  </si>
  <si>
    <t>https://www.africavet.com/article/l-invite-du-journal-dr-antoine-tchoubia-29-05-2021</t>
  </si>
  <si>
    <t>l-invite-du-journal-dr-antoine-tchoubia-29-05-2021</t>
  </si>
  <si>
    <t>Gabon : Intoxication alimentaire</t>
  </si>
  <si>
    <t>https://www.africavet.com/article/gabon-intoxication-alimentaire</t>
  </si>
  <si>
    <t>gabon-intoxication-alimentaire</t>
  </si>
  <si>
    <t>Togo : Une quarantaine de bouchers et abatteurs de petits ruminants dans les aires d’abattage d’Agoè Zongo et Gbossimé formés.</t>
  </si>
  <si>
    <t>https://www.africavet.com/article/togo-une-quarantaine-de-bouchers-et-abatteurs-de-petits-ruminants-dans-les-aires-dabattage-dagoe-zongo-et-gbossime-formes</t>
  </si>
  <si>
    <t>togo-une-quarantaine-de-bouchers-et-abatteurs-de-petits-ruminants-dans-les-aires-dabattage-dagoe-zongo-et-gbossime-formes</t>
  </si>
  <si>
    <t>OIE : Déclaration sur le suivi du SARS-CoV-2 chez le cerf de Virginie</t>
  </si>
  <si>
    <t>https://www.africavet.com/article/oie-declaration-sur-le-suivi-du-sars-cov-2-chez-le-cerf-de-virginie</t>
  </si>
  <si>
    <t>oie-declaration-sur-le-suivi-du-sars-cov-2-chez-le-cerf-de-virginie</t>
  </si>
  <si>
    <t>Cameroun : 60% des maladies infectieuses chez l’homme proviennent des animaux</t>
  </si>
  <si>
    <t>https://www.africavet.com/article/cameroun-60-des-maladies-infectieuses</t>
  </si>
  <si>
    <t>cameroun-60-des-maladies-infectieuses</t>
  </si>
  <si>
    <t>Grève chez nos reproducteurs Brahma: elles ne pondent plus</t>
  </si>
  <si>
    <t>https://www.africavet.com/article/greve-chez-nos-reproducteurs-brahma-elles-ne-pondent-plus</t>
  </si>
  <si>
    <t>greve-chez-nos-reproducteurs-brahma-elles-ne-pondent-plus</t>
  </si>
  <si>
    <t>EISMV : Soutenance de Master : Amélioration de l’analyse des données sur la situation épidémiologique de la rage animale et humaine en république de Guinée sur la période 2018 à 2020</t>
  </si>
  <si>
    <t>https://www.africavet.com/article/eismv-soutenance-de-master-amelioration-de-lanalyse-des-donnees-sur-la-situation-epidemiologique-de-la-rage-animale-et-humaine-en-republique-de-guinee-sur-la-periode-2018-a-2020</t>
  </si>
  <si>
    <t>eismv-soutenance-de-master-amelioration-de-lanalyse-des-donnees-sur-la-situation-epidemiologique-de-la-rage-animale-et-humaine-en-republique-de-guinee-sur-la-periode-2018-a-2020</t>
  </si>
  <si>
    <t>EISMV : Soutenance de Master : Amélioration de l’analyse des données de surveillance épidémiologique du charbon bactéridien chez les ruminants domestiques et les humains en République de Guinée, 2015-2020</t>
  </si>
  <si>
    <t>https://www.africavet.com/article/eismv-soutenance-de-master-amelioration-de-lanalyse-des-donnees-de-surveillance-epidemiologique-du-charbon-bacteridien-chez-les-ruminants-domestiques-et-les-humains-en-republique-de-guine</t>
  </si>
  <si>
    <t>eismv-soutenance-de-master-amelioration-de-lanalyse-des-donnees-de-surveillance-epidemiologique-du-charbon-bacteridien-chez-les-ruminants-domestiques-et-les-humains-en-republique-de-guine</t>
  </si>
  <si>
    <t>Covid-19, Sida : des virus d'origine animale</t>
  </si>
  <si>
    <t>https://www.africavet.com/article/covid-19-sida-des-virus-dorigine-animale</t>
  </si>
  <si>
    <t>covid-19-sida-des-virus-dorigine-animale</t>
  </si>
  <si>
    <t>Africa CDC : 1ère Conférence Internationale sur la Santé Publique en Afrique</t>
  </si>
  <si>
    <t>https://www.africavet.com/article/africa-cdc-1ere-conference-internationale-sur-la-sante-publique-en-afrique</t>
  </si>
  <si>
    <t>africa-cdc-1ere-conference-internationale-sur-la-sante-publique-en-afrique</t>
  </si>
  <si>
    <t>L’Organisation mondiale de la santé animale (OIE) appelle à une surveillance accrue de l’influenza aviaire</t>
  </si>
  <si>
    <t>https://www.africavet.com/article/lorganisation-mondiale-de-la-sante-animale-oie-appelle-a-une-surveillance-accrue-de-linfluenza-aviaire</t>
  </si>
  <si>
    <t>lorganisation-mondiale-de-la-sante-animale-oie-appelle-a-une-surveillance-accrue-de-linfluenza-aviaire</t>
  </si>
  <si>
    <t>France: un premier foyer de Grippe aviaire de type H5 détecté dans un élevage</t>
  </si>
  <si>
    <t>https://www.africavet.com/article/france-un-premier-foyer-de-grippe-aviaire-de-type-h5-detecte-dans-un-elevage</t>
  </si>
  <si>
    <t>france-un-premier-foyer-de-grippe-aviaire-de-type-h5-detecte-dans-un-elevage</t>
  </si>
  <si>
    <t>New Foot and Mouth outbreak a blow to South Africa</t>
  </si>
  <si>
    <t>https://www.africavet.com/article/new-foot-and-mouth-outbreak-a-blow-to-south-africa</t>
  </si>
  <si>
    <t>new-foot-and-mouth-outbreak-a-blow-to-south-africa</t>
  </si>
  <si>
    <t>Une seule santé : Une approche globale incontournable</t>
  </si>
  <si>
    <t>https://www.africavet.com/article/une-seule-sante-une-approche-globale-incontournable</t>
  </si>
  <si>
    <t>une-seule-sante-une-approche-globale-incontournable</t>
  </si>
  <si>
    <t>Atténuer les effets de covid-19 sur le secteur de l’élevage</t>
  </si>
  <si>
    <t>https://www.africavet.com/article/attenuer-les-effets-de-covid-19-sur-le-secteur-de-lelevage</t>
  </si>
  <si>
    <t>attenuer-les-effets-de-covid-19-sur-le-secteur-de-lelevage</t>
  </si>
  <si>
    <t>RDC : Les Etats-Unis débloquent 15,2 millions de dollars pour soutenir la lutte contre Ebola dans la province de l’Equateur</t>
  </si>
  <si>
    <t>https://www.africavet.com/article/rdc-les-etats-unis-debloquent-152-millions-de-dollars-pour-soutenir-la-lutte-contre-ebola-dans-la-province-de-lequateur</t>
  </si>
  <si>
    <t>rdc-les-etats-unis-debloquent-152-millions-de-dollars-pour-soutenir-la-lutte-contre-ebola-dans-la-province-de-lequateur</t>
  </si>
  <si>
    <t>Plusieurs cas de fièvre hémorragique de Crimée-Congo signalés au Pakistan</t>
  </si>
  <si>
    <t>https://www.africavet.com/article/plusieurs-cas-de-fievre-hemorragique-de-crimee-congo-signales-au-pakistan</t>
  </si>
  <si>
    <t>plusieurs-cas-de-fievre-hemorragique-de-crimee-congo-signales-au-pakistan</t>
  </si>
  <si>
    <t>Le dernier rapport de la FAO le souligne : l’aquaculture occupe la première place dans les assiettes des consommateurs qui se remplissent toujours plus de poissons !</t>
  </si>
  <si>
    <t>https://www.africavet.com/article/le-dernier-rapport-de-la-fao-le-souligne-laquaculture-occupe-la-premiere-place-dans-les-assiettes-des-consommateurs-qui-se-remplissent-toujours-plus-de-poissons</t>
  </si>
  <si>
    <t>le-dernier-rapport-de-la-fao-le-souligne-laquaculture-occupe-la-premiere-place-dans-les-assiettes-des-consommateurs-qui-se-remplissent-toujours-plus-de-poissons</t>
  </si>
  <si>
    <t>Reducing antibiotic use in Sudan through a One Health approach</t>
  </si>
  <si>
    <t>https://www.africavet.com/article/reducing-antibiotic-use-in-sudan-through-a-one-health-approach</t>
  </si>
  <si>
    <t>reducing-antibiotic-use-in-sudan-through-a-one-health-approach</t>
  </si>
  <si>
    <t>FAO Aquaculture Newsletter (FAN) 61 is out</t>
  </si>
  <si>
    <t>https://www.africavet.com/article/fao-aquaculture-newsletter-fan-61-is-out</t>
  </si>
  <si>
    <t>fao-aquaculture-newsletter-fan-61-is-out</t>
  </si>
  <si>
    <t>Covid-19 | ZooCov, un projet pour mieux prévenir la transmission du coronavirus de l’animal sauvage à l’homme</t>
  </si>
  <si>
    <t>https://www.africavet.com/article/covid-19-zoocov-un-projet-pour-mieux-prevenir-la-transmission-du-coronavirus-de-lanimal-sauvage-a-lhomme</t>
  </si>
  <si>
    <t>covid-19-zoocov-un-projet-pour-mieux-prevenir-la-transmission-du-coronavirus-de-lanimal-sauvage-a-lhomme</t>
  </si>
  <si>
    <t>Cameroon : 2020 au MINEPIA : Le poisson s’invite au menu</t>
  </si>
  <si>
    <t>https://www.africavet.com/article/cameroon-2020-au-minepia-le-poisson-sinvite-au-menu</t>
  </si>
  <si>
    <t>cameroon-2020-au-minepia-le-poisson-sinvite-au-menu</t>
  </si>
  <si>
    <t>Burkina Faso: Lutte contre la résistance antimicrobienne (RAM), les acteurs se mobilisent pour plus d’efficacité et d’engagements</t>
  </si>
  <si>
    <t>https://www.africavet.com/article/burkina-faso-lutte-contre-la-resistance-antimicrobienne-ram-les-acteurs-se-mobilisent-pour-plus-defficacite-et-dengagements</t>
  </si>
  <si>
    <t>burkina-faso-lutte-contre-la-resistance-antimicrobienne-ram-les-acteurs-se-mobilisent-pour-plus-defficacite-et-dengagements</t>
  </si>
  <si>
    <t>Répondre à la crise du COVID-19 : l'apport de la profession vétérinaire</t>
  </si>
  <si>
    <t>https://www.africavet.com/article/repondre-a-la-crise-du-covid-19-lapport-de-la-profession-veterinaire-2</t>
  </si>
  <si>
    <t>repondre-a-la-crise-du-covid-19-lapport-de-la-profession-veterinaire-2</t>
  </si>
  <si>
    <t>Une seule santé</t>
  </si>
  <si>
    <t>https://www.africavet.com/article/une-seule-sante</t>
  </si>
  <si>
    <t>une-seule-sante</t>
  </si>
  <si>
    <t>Biodiversité : l’UICN ajoute 1.840 espèces menacées sur sa Liste rouge</t>
  </si>
  <si>
    <t>https://www.africavet.com/article/repondre-a-la-crise-du-covid-19-lapport-de-la-profession-veterinaire</t>
  </si>
  <si>
    <t>repondre-a-la-crise-du-covid-19-lapport-de-la-profession-veterinaire</t>
  </si>
  <si>
    <t>Mauritanie : la pêche continentale assure plus de 20.000 emplois (ministre)</t>
  </si>
  <si>
    <t>https://www.africavet.com/article/mauritanie-la-peche-continentale-assure-plus-de-20-000-emplois-ministre</t>
  </si>
  <si>
    <t>mauritanie-la-peche-continentale-assure-plus-de-20-000-emplois-ministre</t>
  </si>
  <si>
    <t>Suivi sanitaire vétérinaire et performances zootechniques</t>
  </si>
  <si>
    <t>https://www.africavet.com/article/suivi-sanitaire-veterinaire-et-performances-zootechniques</t>
  </si>
  <si>
    <t>suivi-sanitaire-veterinaire-et-performances-zootechniques</t>
  </si>
  <si>
    <t>COVID-19 Vaccines: MODERNA | PFIZER/BIONTECH | ASTRAZENECA</t>
  </si>
  <si>
    <t>https://www.africavet.com/article/covid-19-vaccines-moderna-pfizer-biontech-astrazeneca</t>
  </si>
  <si>
    <t>covid-19-vaccines-moderna-pfizer-biontech-astrazeneca</t>
  </si>
  <si>
    <t>Burkina Faso: École nationale d’élevage et de santé animale (ENESA) : 40 ans d’existence et près de 3 000 professionnels formés</t>
  </si>
  <si>
    <t>https://www.africavet.com/article/burkina-faso-ecole-nationale-delevage-et-de-sante-animale-enesa-40-ans-dexistence-et-pres-de-3-000-professionnels-formes</t>
  </si>
  <si>
    <t>burkina-faso-ecole-nationale-delevage-et-de-sante-animale-enesa-40-ans-dexistence-et-pres-de-3-000-professionnels-formes</t>
  </si>
  <si>
    <t>Répartition régionale des articles nationaux</t>
  </si>
  <si>
    <t>Les régions sont utilisées comme regroupement éditorial; le classement pays demeure l’unité de référence</t>
  </si>
  <si>
    <t>Pays UA</t>
  </si>
  <si>
    <t>Part</t>
  </si>
  <si>
    <t>Moyenne par pays</t>
  </si>
  <si>
    <t>Structure thématique et évolution du corpus</t>
  </si>
  <si>
    <t>Comptes calculés sur les 1 044 pages de type /article/ publiées au 25 août 2026</t>
  </si>
  <si>
    <t>Macrothèmes</t>
  </si>
  <si>
    <t>Évolution annuelle</t>
  </si>
  <si>
    <t>Portée géographique</t>
  </si>
  <si>
    <t>Croissance</t>
  </si>
  <si>
    <t>Auteurs — contribution, audience et spécialisation</t>
  </si>
  <si>
    <t>Les variantes d’espacement des noms ont été normalisées; les chiffres restent une photographie cumulative</t>
  </si>
  <si>
    <t>Part articles</t>
  </si>
  <si>
    <t>Part vues</t>
  </si>
  <si>
    <t>Médiane vues</t>
  </si>
  <si>
    <t>Articles fort impact</t>
  </si>
  <si>
    <t>Part EN</t>
  </si>
  <si>
    <t>Article le plus vu</t>
  </si>
  <si>
    <t>ZLECAf : les ministres africains veulent accélérer le commerce du bétail et transformer l’économie pastorale (226 vues)</t>
  </si>
  <si>
    <t>South Africa launches “FMD-free with vaccination” roadmap, with mass roll-out from February 2026 (94 vues)</t>
  </si>
  <si>
    <t>Bridging Innovation and Ecology: The Dual Path to Livestock Productivity in Africa (154 vues)</t>
  </si>
  <si>
    <t>Tchad : L'élevage, pilier de l'économie, face aux défis et opportunités du développement (71 vues)</t>
  </si>
  <si>
    <t>Africa CDC : 1ère Conférence Internationale sur la Santé Publique en Afrique (17 vues)</t>
  </si>
  <si>
    <t>Lecture managériale</t>
  </si>
  <si>
    <t>• Malick Kane assure 798 articles sur 1 044 et couvre 49 pays dans les articles nationaux.
• Mac Juliette Johngwe obtient la meilleure moyenne brute avec 24,4 vues par article; les différences de récence doivent toutefois être prises en compte.
• Le score d’impact moyen le plus élevé appartient à Mac Juliette Johngwe (63,3 / 100).
• Utiliser ces données pour répartir les sujets et le mentorat, jamais comme évaluation individuelle isolée sans contexte de commande, d’ancienneté et de format.</t>
  </si>
  <si>
    <t>Audience et impact éditorial</t>
  </si>
  <si>
    <t>Les vues sont des compteurs cumulés par article; elles ne correspondent pas à des visiteurs uniques</t>
  </si>
  <si>
    <t>Vues moyennes/article</t>
  </si>
  <si>
    <t>Médiane des vues</t>
  </si>
  <si>
    <t>Maximum observé</t>
  </si>
  <si>
    <t>Audience par année de publication</t>
  </si>
  <si>
    <t>Complétude</t>
  </si>
  <si>
    <t>Audience par macrothème</t>
  </si>
  <si>
    <t>Ce que le corpus mesure — et ce qu’il ne mesure pas</t>
  </si>
  <si>
    <t>Disponible</t>
  </si>
  <si>
    <t>Source nécessaire</t>
  </si>
  <si>
    <t>Utilité</t>
  </si>
  <si>
    <t>Vues cumulées par article</t>
  </si>
  <si>
    <t>API AfricaVET</t>
  </si>
  <si>
    <t>Audience brute et comparaisons relatives</t>
  </si>
  <si>
    <t>Visiteurs uniques</t>
  </si>
  <si>
    <t>Non</t>
  </si>
  <si>
    <t>GA4 ou Matomo requis</t>
  </si>
  <si>
    <t>Mesurer la taille réelle de l’audience</t>
  </si>
  <si>
    <t>Sessions et pages par session</t>
  </si>
  <si>
    <t>Mesurer la profondeur de consultation</t>
  </si>
  <si>
    <t>Sources de trafic</t>
  </si>
  <si>
    <t>GA4/Matomo + UTM</t>
  </si>
  <si>
    <t>Comparer recherche, réseaux sociaux et accès direct</t>
  </si>
  <si>
    <t>Pays et villes des visiteurs</t>
  </si>
  <si>
    <t>Mesurer la portée panafricaine réelle</t>
  </si>
  <si>
    <t>Temps d’engagement</t>
  </si>
  <si>
    <t>Évaluer la lecture effective des articles</t>
  </si>
  <si>
    <t>Partages et clics sociaux</t>
  </si>
  <si>
    <t>Plateformes sociales + UTM</t>
  </si>
  <si>
    <t>Mesurer l’amplification éditoriale</t>
  </si>
  <si>
    <t>Conversions</t>
  </si>
  <si>
    <t>Événements analytics</t>
  </si>
  <si>
    <t>Newsletter, WhatsApp, téléchargements et contacts</t>
  </si>
  <si>
    <t>Performance détaillée des articles</t>
  </si>
  <si>
    <t>Impact relatif = vues cumulées et vitesse d’acquisition; complétude = présence des éléments journalistiques et SEO</t>
  </si>
  <si>
    <t>Rang impact</t>
  </si>
  <si>
    <t>Rang vues</t>
  </si>
  <si>
    <t>Langue</t>
  </si>
  <si>
    <t>Âge (jours)</t>
  </si>
  <si>
    <t>Score impact</t>
  </si>
  <si>
    <t>Niveau impact</t>
  </si>
  <si>
    <t>Mots</t>
  </si>
  <si>
    <t>Complétude /100</t>
  </si>
  <si>
    <t>Critères manquants</t>
  </si>
  <si>
    <t>Titre de 45 à 80 caractères; Résumé de 120 à 220 caractères; Crédit ou source de l’image; Pays ou région renseigné; Sources journalistiques renseignées; Relecture ou vérification tracée</t>
  </si>
  <si>
    <t>Titre de 45 à 80 caractères; Résumé de 120 à 220 caractères; Crédit ou source de l’image; Sources journalistiques renseignées; Relecture ou vérification tracée</t>
  </si>
  <si>
    <t>Titre de 45 à 80 caractères; Résumé de 120 à 220 caractères; Sources journalistiques renseignées; Relecture ou vérification tracée</t>
  </si>
  <si>
    <t>Titre de 45 à 80 caractères; Crédit ou source de l’image; Pays ou région renseigné; Méta-titre SEO renseigné; Méta-description SEO renseignée; Sources journalistiques renseignées; Relecture ou vérification tracée</t>
  </si>
  <si>
    <t>Résumé de 120 à 220 caractères; Crédit ou source de l’image; Sources journalistiques renseignées; Relecture ou vérification tracée</t>
  </si>
  <si>
    <t>Résumé de 120 à 220 caractères; Crédit ou source de l’image; Pays ou région renseigné; Sources journalistiques renseignées; Relecture ou vérification tracée</t>
  </si>
  <si>
    <t>Titre de 45 à 80 caractères; Résumé de 120 à 220 caractères; Article d’au moins 500 mots; Crédit ou source de l’image; Sources journalistiques renseignées; Relecture ou vérification tracée</t>
  </si>
  <si>
    <t>Crédit ou source de l’image; Pays ou région renseigné; Sources journalistiques renseignées; Relecture ou vérification tracée</t>
  </si>
  <si>
    <t>Titre de 45 à 80 caractères; Résumé de 120 à 220 caractères; Article d’au moins 500 mots; Crédit ou source de l’image; Pays ou région renseigné; Sources journalistiques renseignées; Relecture ou vérification tracée</t>
  </si>
  <si>
    <t>Titre de 45 à 80 caractères; Article d’au moins 500 mots; Crédit ou source de l’image; Pays ou région renseigné; Méta-titre SEO renseigné; Méta-description SEO renseignée; Sources journalistiques renseignées; Relecture ou vérification tracée</t>
  </si>
  <si>
    <t>Crédit ou source de l’image; Pays ou région renseigné; Méta-titre SEO renseigné; Méta-description SEO renseignée; Sources journalistiques renseignées; Relecture ou vérification tracée</t>
  </si>
  <si>
    <t>Titre de 45 à 80 caractères; Article d’au moins 500 mots; Crédit ou source de l’image; Pays ou région renseigné; Sources journalistiques renseignées; Relecture ou vérification tracée</t>
  </si>
  <si>
    <t>Résumé de 120 à 220 caractères; Article d’au moins 500 mots; Crédit ou source de l’image; Pays ou région renseigné; Méta-titre SEO renseigné; Méta-description SEO renseignée; Sources journalistiques renseignées; Relecture ou vérification tracée</t>
  </si>
  <si>
    <t>Titre de 45 à 80 caractères; Résumé de 120 à 220 caractères; Article d’au moins 500 mots; Crédit ou source de l’image; Méta-titre SEO renseigné; Sources journalistiques renseignées; Relecture ou vérification tracée</t>
  </si>
  <si>
    <t>Titre de 45 à 80 caractères; Résumé de 120 à 220 caractères; Crédit ou source de l’image; Méta-titre SEO renseigné; Sources journalistiques renseignées; Relecture ou vérification tracée</t>
  </si>
  <si>
    <t>Titre de 45 à 80 caractères; Résumé de 120 à 220 caractères; Crédit ou source de l’image; Pays ou région renseigné; Méta-titre SEO renseigné; Méta-description SEO renseignée; Sources journalistiques renseignées; Relecture ou vérification tracée</t>
  </si>
  <si>
    <t>Article d’au moins 500 mots; Crédit ou source de l’image; Pays ou région renseigné; Méta-titre SEO renseigné; Méta-description SEO renseignée; Sources journalistiques renseignées; Relecture ou vérification tracée</t>
  </si>
  <si>
    <t>Titre de 45 à 80 caractères; Crédit ou source de l’image; Pays ou région renseigné; Sources journalistiques renseignées; Relecture ou vérification tracée</t>
  </si>
  <si>
    <t>Titre de 45 à 80 caractères; Résumé de 120 à 220 caractères; Article d’au moins 500 mots; Crédit ou source de l’image; Pays ou région renseigné; Méta-titre SEO renseigné; Méta-description SEO renseignée; Sources journalistiques renseignées; Relecture ou vérification tracée</t>
  </si>
  <si>
    <t>Titre de 45 à 80 caractères; Résumé de 120 à 220 caractères; Article d’au moins 500 mots; Crédit ou source de l’image; Pays ou région renseigné; Méta-titre SEO renseigné; Sources journalistiques renseignées; Relecture ou vérification tracée</t>
  </si>
  <si>
    <t>Résumé de 120 à 220 caractères; Crédit ou source de l’image; Pays ou région renseigné; Méta-titre SEO renseigné; Méta-description SEO renseignée; Sources journalistiques renseignées; Relecture ou vérification tracée</t>
  </si>
  <si>
    <t>Fort</t>
  </si>
  <si>
    <t>Titre de 45 à 80 caractères; Résumé de 120 à 220 caractères; Crédit ou source de l’image; Méta-titre SEO renseigné; Méta-description SEO renseignée; Sources journalistiques renseignées; Relecture ou vérification tracée</t>
  </si>
  <si>
    <t>Résumé de 120 à 220 caractères; Article d’au moins 500 mots; Crédit ou source de l’image; Pays ou région renseigné; Sources journalistiques renseignées; Relecture ou vérification tracée</t>
  </si>
  <si>
    <t>Article d’au moins 500 mots; Crédit ou source de l’image; Méta-titre SEO renseigné; Méta-description SEO renseignée; Sources journalistiques renseignées; Relecture ou vérification tracée</t>
  </si>
  <si>
    <t>Titre de 45 à 80 caractères; Article d’au moins 500 mots; Crédit ou source de l’image; Pays ou région renseigné; Méta-description SEO renseignée; Sources journalistiques renseignées; Relecture ou vérification tracée</t>
  </si>
  <si>
    <t>Titre de 45 à 80 caractères; Article d’au moins 500 mots; Crédit ou source de l’image; Méta-titre SEO renseigné; Sources journalistiques renseignées; Relecture ou vérification tracée</t>
  </si>
  <si>
    <t>Résumé de 120 à 220 caractères; Crédit ou source de l’image; Pays ou région renseigné; Méta-description SEO renseignée; Sources journalistiques renseignées; Relecture ou vérification tracée</t>
  </si>
  <si>
    <t>Titre de 45 à 80 caractères; Article d’au moins 500 mots; Crédit ou source de l’image; Pays ou région renseigné; Méta-titre SEO renseigné; Sources journalistiques renseignées; Relecture ou vérification tracée</t>
  </si>
  <si>
    <t>Résumé de 120 à 220 caractères; Article d’au moins 500 mots; Crédit ou source de l’image; Méta-titre SEO renseigné; Méta-description SEO renseignée; Sources journalistiques renseignées; Relecture ou vérification tracée</t>
  </si>
  <si>
    <t>Résumé de 120 à 220 caractères; Article d’au moins 500 mots; Crédit ou source de l’image; Méta-titre SEO renseigné; Sources journalistiques renseignées; Relecture ou vérification tracée</t>
  </si>
  <si>
    <t>Titre de 45 à 80 caractères; Résumé de 120 à 220 caractères; Article d’au moins 500 mots; Image principale renseignée; Crédit ou source de l’image; Pays ou région renseigné; Méta-titre SEO renseigné; Méta-description SEO renseignée; Sources journalistiques renseignées; Relecture ou vérification tracée</t>
  </si>
  <si>
    <t>Moyen</t>
  </si>
  <si>
    <t>Article d’au moins 500 mots; Crédit ou source de l’image; Pays ou région renseigné; Méta-titre SEO renseigné; Sources journalistiques renseignées; Relecture ou vérification tracée</t>
  </si>
  <si>
    <t>Résumé de 120 à 220 caractères; Crédit ou source de l’image; Méta-titre SEO renseigné; Méta-description SEO renseignée; Sources journalistiques renseignées; Relecture ou vérification tracée</t>
  </si>
  <si>
    <t>Titre de 45 à 80 caractères; Résumé de 120 à 220 caractères; Article d’au moins 500 mots; Crédit ou source de l’image; Méta-titre SEO renseigné; Méta-description SEO renseignée; Sources journalistiques renseignées; Relecture ou vérification tracée</t>
  </si>
  <si>
    <t>Qualité éditoriale et complétude des métadonnées</t>
  </si>
  <si>
    <t>Le score mesure la présence de dix éléments vérifiables; il ne note ni l’exactitude scientifique ni la qualité de l’écriture</t>
  </si>
  <si>
    <t>Complétude moyenne /100</t>
  </si>
  <si>
    <t>Image principale</t>
  </si>
  <si>
    <t>Contrôle des dix critères</t>
  </si>
  <si>
    <t>Critère</t>
  </si>
  <si>
    <t>Conformes</t>
  </si>
  <si>
    <t>Taux</t>
  </si>
  <si>
    <t>Écart</t>
  </si>
  <si>
    <t>Sources journalistiques renseignées</t>
  </si>
  <si>
    <t>Crédit ou source de l’image</t>
  </si>
  <si>
    <t>Pays ou région renseigné</t>
  </si>
  <si>
    <t>Méta-titre SEO renseigné</t>
  </si>
  <si>
    <t>Méta-description SEO renseignée</t>
  </si>
  <si>
    <t>Résumé de 120 à 220 caractères</t>
  </si>
  <si>
    <t>Titre de 45 à 80 caractères</t>
  </si>
  <si>
    <t>Article d’au moins 500 mots</t>
  </si>
  <si>
    <t>Image principale renseignée</t>
  </si>
  <si>
    <t>Distribution des scores de complétude</t>
  </si>
  <si>
    <t>0–19</t>
  </si>
  <si>
    <t>20–39</t>
  </si>
  <si>
    <t>40–59</t>
  </si>
  <si>
    <t>60–79</t>
  </si>
  <si>
    <t>80–100</t>
  </si>
  <si>
    <t>Diagnostic et mesures immédiates</t>
  </si>
  <si>
    <t>• Aucun article ne possède actuellement de sources structurées dans le champ dédié et aucune relecture/vérification n’est tracée dans les champs correspondants.
• Seuls 0,2 % des articles renseignent un crédit ou une source d’image, alors que 99,7 % possèdent une image principale.
• Les méta-titres et méta-descriptions ne sont renseignés que pour 8,9 % et 10,0 % du corpus.
• Priorité CMS : rendre obligatoires les sources, la provenance de l’image, le pays ou la région, la langue réelle et les champs SEO.
• Priorité rédaction : instaurer une validation à deux niveaux pour les contenus sensibles — exactitude factuelle/scientifique puis conformité éditoriale.</t>
  </si>
  <si>
    <t>Rythme de publication et organisation de la rédaction</t>
  </si>
  <si>
    <t>Analyse des dates et heures de publication; les vues moyennes ne doivent pas être interprétées comme une causalité horaire</t>
  </si>
  <si>
    <t>Production mensuelle en 2026</t>
  </si>
  <si>
    <t>Mois</t>
  </si>
  <si>
    <t>2026-01</t>
  </si>
  <si>
    <t>2026-02</t>
  </si>
  <si>
    <t>2026-03</t>
  </si>
  <si>
    <t>2026-04</t>
  </si>
  <si>
    <t>2026-05</t>
  </si>
  <si>
    <t>2026-06</t>
  </si>
  <si>
    <t>2026-07</t>
  </si>
  <si>
    <t>2026-08</t>
  </si>
  <si>
    <t>Répartition par jour de semaine</t>
  </si>
  <si>
    <t>Jour</t>
  </si>
  <si>
    <t>Lundi</t>
  </si>
  <si>
    <t>Mardi</t>
  </si>
  <si>
    <t>Mercredi</t>
  </si>
  <si>
    <t>Jeudi</t>
  </si>
  <si>
    <t>Vendredi</t>
  </si>
  <si>
    <t>Samedi</t>
  </si>
  <si>
    <t>Dimanche</t>
  </si>
  <si>
    <t>Tranches horaires de publication</t>
  </si>
  <si>
    <t>Interprétation opérationnelle</t>
  </si>
  <si>
    <t>Heure UTC</t>
  </si>
  <si>
    <t>• 2026-08 est le mois le plus productif de 2026 avec 82 articles.
• Le samedi et le dimanche totalisent 368 articles, soit 35,2 % du corpus.
• Les vues moyennes par jour ou heure sont fortement influencées par l’ancienneté des articles et leur sujet; elles servent à formuler des tests, pas à fixer seules un horaire optimal.
• Recommandation : organiser un calendrier hebdomadaire avec des créneaux distincts pour actualités, analyses, guides et opportunités, puis mesurer chaque créneau avec des UTM et des données d’engagement.</t>
  </si>
  <si>
    <t>00–05 UTC</t>
  </si>
  <si>
    <t>06–11 UTC</t>
  </si>
  <si>
    <t>12–17 UTC</t>
  </si>
  <si>
    <t>18–23 UTC</t>
  </si>
  <si>
    <t>Méthodologie de classement</t>
  </si>
  <si>
    <t>Version arrêtée au 25 août 2026 — reproductible à partir du corpus exporté</t>
  </si>
  <si>
    <t>Périmètre</t>
  </si>
  <si>
    <t>Corpus : toutes les 1 044 pages publiées retournées par l’API publique AfricaVET /api/posts, dont l’URL canonique contient /article/. Période couverte : 2019-08-30 au 2026-08-25. Les opportunités et formations n’ayant pas le type article ne sont pas intégrées.</t>
  </si>
  <si>
    <t>Règles d’attribution géographique</t>
  </si>
  <si>
    <t>1</t>
  </si>
  <si>
    <t>Prioritaire lorsqu’il est renseigné dans le CMS.</t>
  </si>
  <si>
    <t>Confiance élevée</t>
  </si>
  <si>
    <t>2</t>
  </si>
  <si>
    <t>Recherche des noms de pays, variantes FR/EN, gentilés, capitales et principaux toponymes.</t>
  </si>
  <si>
    <t>Utilisé si le titre ne contient pas d’ancrage africain régional ou continental.</t>
  </si>
  <si>
    <t>Confiance moyenne</t>
  </si>
  <si>
    <t>4</t>
  </si>
  <si>
    <t>Attribution contextuelle lorsque le pays n’apparaît qu’au début du contenu.</t>
  </si>
  <si>
    <t>À réviser</t>
  </si>
  <si>
    <t>Portée séparée</t>
  </si>
  <si>
    <t>Les contenus régionaux, continentaux, multinationaux et hors Afrique ne sont pas forcés dans un pays.</t>
  </si>
  <si>
    <t>Évite les doubles comptes</t>
  </si>
  <si>
    <t>6</t>
  </si>
  <si>
    <t>Classement national</t>
  </si>
  <si>
    <t>Le rang porte sur les articles à portée nationale; les mentions multinationales sont suivies séparément.</t>
  </si>
  <si>
    <t>Un article national = un pays</t>
  </si>
  <si>
    <t>7</t>
  </si>
  <si>
    <t>55 États membres</t>
  </si>
  <si>
    <t>La table conserve les 55 membres de l’Union africaine, y compris les pays à zéro article.</t>
  </si>
  <si>
    <t>Exhaustif</t>
  </si>
  <si>
    <t>8</t>
  </si>
  <si>
    <t>Date d’arrêté</t>
  </si>
  <si>
    <t>Les résultats changent dès qu’un nouvel article est publié ou qu’une taxonomie est corrigée.</t>
  </si>
  <si>
    <t>Photographie, non flux temps réel</t>
  </si>
  <si>
    <t>Limites et contrôles recommandés</t>
  </si>
  <si>
    <t>• Le champ country n’est renseigné que pour 61 articles (5,8 %), ce qui limite l’analyse native du CMS.
• Le champ original_language vaut “fr” pour tous les articles, alors que la détection textuelle estime 385 articles en anglais : la métadonnée de langue n’est pas fiable.
• Certaines pages sont des éditions FR/EN séparées d’un même événement; le classeur compte les articles publiés, pas les événements uniques.
• Les attributions contextuelles peuvent refléter le lieu d’un atelier, le siège d’une institution ou un exemple cité plutôt que le pays au cœur du sujet. Elles sont isolées dans une colonne dédiée.
• Les titres génériques, ressources mondiales et contenus sans pays explicite restent “Non attribués” au lieu d’être affectés arbitrairement.
• Une revue éditoriale manuelle est recommandée pour toutes les lignes “À vérifier” et pour les 50 attributions contextuelles nationales.</t>
  </si>
  <si>
    <t>Sources</t>
  </si>
  <si>
    <t>Source primaire : https://www.africavet.com/api/posts?limit=2000&amp;page=1&amp;sort=created_at&amp;order=DESC
Site : https://www.africavet.com/
Référence institutionnelle pour les États membres : https://au.int/en/member_states/countryprofiles2</t>
  </si>
  <si>
    <t>Indicateurs journalistiques ajoutés</t>
  </si>
  <si>
    <t>Impact relatif : 60 % percentile des vues cumulées + 40 % percentile des vues par jour depuis publication. Ce score compare les articles à l’intérieur du corpus et ne mesure pas un changement social, sanitaire ou politique attribuable à la publication.
Complétude éditoriale : 10 critères de complétude à 10 points chacun; mesure les métadonnées et la présentation, pas la qualité du fond. Les dix critères sont visibles dans la feuille “Qualité éditoriale” et les lacunes par article dans “Performance articles”.</t>
  </si>
  <si>
    <t>Limites de la mesure d’audience</t>
  </si>
  <si>
    <t>Le compteur view_count fournit des vues cumulées par article au moment de l’extraction. Il ne permet pas d’identifier les visiteurs uniques, les sessions, les sources de trafic, la localisation de l’audience, le temps d’engagement, les partages sociaux ou les conversions. Les comparaisons par année, auteur et horaire sont descriptives et restent influencées par l’ancienneté, le sujet, la promotion et les mises à jour des articles.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</si>
</sst>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21">
    <font>
      <sz val="11"/>
      <name val="Carlito"/>
    </font>
    <font>
      <b/>
      <sz val="10"/>
      <color rgb="FFFFFFFF"/>
      <name val="Carlito"/>
    </font>
    <font>
      <sz val="9"/>
      <color rgb="FF24313D"/>
      <name val="Aptos"/>
    </font>
    <font>
      <b/>
      <sz val="10"/>
      <color rgb="FFFFFFFF"/>
      <name val="Aptos"/>
    </font>
    <font>
      <b/>
      <sz val="18"/>
      <color rgb="FFFFFFFF"/>
      <name val="Carlito"/>
    </font>
    <font>
      <sz val="10"/>
      <color rgb="FFDCE8F2"/>
      <name val="Carlito"/>
    </font>
    <font>
      <b/>
      <sz val="10"/>
      <color rgb="FF24313D"/>
      <name val="Aptos"/>
    </font>
    <font>
      <sz val="10"/>
      <color rgb="FF24313D"/>
      <name val="Aptos"/>
    </font>
    <font>
      <b/>
      <sz val="11"/>
      <color rgb="FFFFFFFF"/>
      <name val="Carlito"/>
    </font>
    <font>
      <b/>
      <sz val="20"/>
      <color rgb="FFFFFFFF"/>
      <name val="Aptos Display"/>
    </font>
    <font>
      <b/>
      <sz val="9"/>
      <color rgb="FF24313D"/>
      <name val="Carlito"/>
    </font>
    <font>
      <sz val="10"/>
      <color rgb="FF24313D"/>
      <name val="Carlito"/>
    </font>
    <font>
      <sz val="9"/>
      <color rgb="FF24313D"/>
      <name val="Carlito"/>
    </font>
    <font>
      <sz val="9"/>
      <color rgb="FF24313D"/>
      <name val="Carlito"/>
    </font>
    <font>
      <sz val="8"/>
      <color rgb="FF24313D"/>
      <name val="Aptos"/>
    </font>
    <font>
      <sz val="11"/>
      <color rgb="FF24313D"/>
      <name val="Aptos"/>
    </font>
    <font>
      <b/>
      <sz val="18"/>
      <color rgb="FFFFFFFF"/>
      <name val="Aptos Display"/>
    </font>
    <font>
      <b/>
      <sz val="10"/>
      <color rgb="FFFFFFFF"/>
      <name val="Aptos Display"/>
    </font>
    <font>
      <b/>
      <sz val="22"/>
      <color rgb="FFFFFFFF"/>
      <name val="Aptos Display"/>
    </font>
    <font>
      <b/>
      <sz val="11"/>
      <color rgb="FFFFFFFF"/>
      <name val="Aptos"/>
    </font>
    <font>
      <b/>
      <sz val="11"/>
      <color rgb="FF1A5D1A"/>
      <name val="Carlito"/>
    </font>
  </fonts>
  <fills count="14">
    <fill>
      <patternFill patternType="none"/>
    </fill>
    <fill>
      <patternFill patternType="gray125"/>
    </fill>
    <fill>
      <patternFill patternType="solid">
        <fgColor rgb="FF1A5D1A"/>
      </patternFill>
    </fill>
    <fill>
      <patternFill patternType="solid">
        <fgColor rgb="FF19324D"/>
      </patternFill>
    </fill>
    <fill>
      <patternFill patternType="solid">
        <fgColor rgb="FF354E84"/>
      </patternFill>
    </fill>
    <fill>
      <patternFill patternType="solid">
        <fgColor rgb="FF7AC142"/>
      </patternFill>
    </fill>
    <fill>
      <patternFill patternType="solid">
        <fgColor rgb="FFE8A317"/>
      </patternFill>
    </fill>
    <fill>
      <patternFill patternType="solid">
        <fgColor rgb="FFEDF2F9"/>
      </patternFill>
    </fill>
    <fill>
      <patternFill patternType="solid">
        <fgColor rgb="FFEEF6E9"/>
      </patternFill>
    </fill>
    <fill>
      <patternFill patternType="solid">
        <fgColor rgb="FFFFF4D6"/>
      </patternFill>
    </fill>
    <fill>
      <patternFill patternType="solid">
        <fgColor rgb="FFEAF8EC"/>
      </patternFill>
    </fill>
    <fill>
      <patternFill patternType="solid">
        <fgColor rgb="FFFFFFFF"/>
      </patternFill>
    </fill>
    <fill>
      <patternFill patternType="solid">
        <fgColor rgb="FFC0392B"/>
      </patternFill>
    </fill>
    <fill>
      <patternFill patternType="solid">
        <fgColor rgb="FFF8FAFC"/>
      </patternFill>
    </fill>
  </fills>
  <borders count="61">
    <border>
      <left/>
      <right/>
      <top/>
      <bottom/>
      <diagonal/>
    </border>
    <border>
      <left style="thin">
        <color rgb="FF1A5D1A"/>
      </left>
      <right/>
      <top style="thin">
        <color rgb="FF1A5D1A"/>
      </top>
      <bottom style="thin">
        <color rgb="FF1A5D1A"/>
      </bottom>
      <diagonal/>
    </border>
    <border>
      <left/>
      <right/>
      <top style="thin">
        <color rgb="FF1A5D1A"/>
      </top>
      <bottom style="thin">
        <color rgb="FF1A5D1A"/>
      </bottom>
      <diagonal/>
    </border>
    <border>
      <left/>
      <right style="thin">
        <color rgb="FF1A5D1A"/>
      </right>
      <top style="thin">
        <color rgb="FF1A5D1A"/>
      </top>
      <bottom style="thin">
        <color rgb="FF1A5D1A"/>
      </bottom>
      <diagonal/>
    </border>
    <border>
      <left style="thin">
        <color rgb="FF1A5D1A"/>
      </left>
      <right/>
      <top style="thin">
        <color rgb="FF1A5D1A"/>
      </top>
      <bottom style="thin">
        <color rgb="FFE8EDF2"/>
      </bottom>
      <diagonal/>
    </border>
    <border>
      <left/>
      <right/>
      <top style="thin">
        <color rgb="FF1A5D1A"/>
      </top>
      <bottom style="thin">
        <color rgb="FFE8EDF2"/>
      </bottom>
      <diagonal/>
    </border>
    <border>
      <left style="thin">
        <color rgb="FF1A5D1A"/>
      </left>
      <right/>
      <top style="thin">
        <color rgb="FFE8EDF2"/>
      </top>
      <bottom style="thin">
        <color rgb="FFE8EDF2"/>
      </bottom>
      <diagonal/>
    </border>
    <border>
      <left/>
      <right/>
      <top style="thin">
        <color rgb="FFE8EDF2"/>
      </top>
      <bottom style="thin">
        <color rgb="FFE8EDF2"/>
      </bottom>
      <diagonal/>
    </border>
    <border>
      <left style="thin">
        <color rgb="FF1A5D1A"/>
      </left>
      <right/>
      <top style="thin">
        <color rgb="FFE8EDF2"/>
      </top>
      <bottom style="thin">
        <color rgb="FFD7DEE6"/>
      </bottom>
      <diagonal/>
    </border>
    <border>
      <left/>
      <right/>
      <top style="thin">
        <color rgb="FFE8EDF2"/>
      </top>
      <bottom style="thin">
        <color rgb="FFD7DEE6"/>
      </bottom>
      <diagonal/>
    </border>
    <border>
      <left style="thin">
        <color rgb="FF1A5D1A"/>
      </left>
      <right/>
      <top style="thin">
        <color rgb="FF1A5D1A"/>
      </top>
      <bottom/>
      <diagonal/>
    </border>
    <border>
      <left/>
      <right/>
      <top style="thin">
        <color rgb="FF1A5D1A"/>
      </top>
      <bottom/>
      <diagonal/>
    </border>
    <border>
      <left/>
      <right style="thin">
        <color rgb="FF1A5D1A"/>
      </right>
      <top style="thin">
        <color rgb="FF1A5D1A"/>
      </top>
      <bottom/>
      <diagonal/>
    </border>
    <border>
      <left style="thin">
        <color rgb="FF1A5D1A"/>
      </left>
      <right/>
      <top/>
      <bottom/>
      <diagonal/>
    </border>
    <border>
      <left/>
      <right style="thin">
        <color rgb="FF1A5D1A"/>
      </right>
      <top/>
      <bottom/>
      <diagonal/>
    </border>
    <border>
      <left style="thin">
        <color rgb="FF1A5D1A"/>
      </left>
      <right/>
      <top/>
      <bottom style="thin">
        <color rgb="FF1A5D1A"/>
      </bottom>
      <diagonal/>
    </border>
    <border>
      <left/>
      <right/>
      <top/>
      <bottom style="thin">
        <color rgb="FF1A5D1A"/>
      </bottom>
      <diagonal/>
    </border>
    <border>
      <left/>
      <right style="thin">
        <color rgb="FF1A5D1A"/>
      </right>
      <top/>
      <bottom style="thin">
        <color rgb="FF1A5D1A"/>
      </bottom>
      <diagonal/>
    </border>
    <border>
      <left style="thin">
        <color rgb="FF354E84"/>
      </left>
      <right/>
      <top style="thin">
        <color rgb="FF354E84"/>
      </top>
      <bottom/>
      <diagonal/>
    </border>
    <border>
      <left/>
      <right/>
      <top style="thin">
        <color rgb="FF354E84"/>
      </top>
      <bottom/>
      <diagonal/>
    </border>
    <border>
      <left/>
      <right style="thin">
        <color rgb="FF354E84"/>
      </right>
      <top style="thin">
        <color rgb="FF354E84"/>
      </top>
      <bottom/>
      <diagonal/>
    </border>
    <border>
      <left style="thin">
        <color rgb="FF354E84"/>
      </left>
      <right/>
      <top/>
      <bottom/>
      <diagonal/>
    </border>
    <border>
      <left/>
      <right style="thin">
        <color rgb="FF354E84"/>
      </right>
      <top/>
      <bottom/>
      <diagonal/>
    </border>
    <border>
      <left style="thin">
        <color rgb="FF354E84"/>
      </left>
      <right/>
      <top/>
      <bottom style="thin">
        <color rgb="FF354E84"/>
      </bottom>
      <diagonal/>
    </border>
    <border>
      <left/>
      <right/>
      <top/>
      <bottom style="thin">
        <color rgb="FF354E84"/>
      </bottom>
      <diagonal/>
    </border>
    <border>
      <left/>
      <right style="thin">
        <color rgb="FF354E84"/>
      </right>
      <top/>
      <bottom style="thin">
        <color rgb="FF354E84"/>
      </bottom>
      <diagonal/>
    </border>
    <border>
      <left style="thin">
        <color rgb="FF7AC142"/>
      </left>
      <right/>
      <top style="thin">
        <color rgb="FF7AC142"/>
      </top>
      <bottom/>
      <diagonal/>
    </border>
    <border>
      <left/>
      <right/>
      <top style="thin">
        <color rgb="FF7AC142"/>
      </top>
      <bottom/>
      <diagonal/>
    </border>
    <border>
      <left/>
      <right style="thin">
        <color rgb="FF7AC142"/>
      </right>
      <top style="thin">
        <color rgb="FF7AC142"/>
      </top>
      <bottom/>
      <diagonal/>
    </border>
    <border>
      <left style="thin">
        <color rgb="FF7AC142"/>
      </left>
      <right/>
      <top/>
      <bottom/>
      <diagonal/>
    </border>
    <border>
      <left/>
      <right style="thin">
        <color rgb="FF7AC142"/>
      </right>
      <top/>
      <bottom/>
      <diagonal/>
    </border>
    <border>
      <left style="thin">
        <color rgb="FF7AC142"/>
      </left>
      <right/>
      <top/>
      <bottom style="thin">
        <color rgb="FF7AC142"/>
      </bottom>
      <diagonal/>
    </border>
    <border>
      <left/>
      <right/>
      <top/>
      <bottom style="thin">
        <color rgb="FF7AC142"/>
      </bottom>
      <diagonal/>
    </border>
    <border>
      <left/>
      <right style="thin">
        <color rgb="FF7AC142"/>
      </right>
      <top/>
      <bottom style="thin">
        <color rgb="FF7AC142"/>
      </bottom>
      <diagonal/>
    </border>
    <border>
      <left style="thin">
        <color rgb="FFE8A317"/>
      </left>
      <right/>
      <top style="thin">
        <color rgb="FFE8A317"/>
      </top>
      <bottom/>
      <diagonal/>
    </border>
    <border>
      <left/>
      <right/>
      <top style="thin">
        <color rgb="FFE8A317"/>
      </top>
      <bottom/>
      <diagonal/>
    </border>
    <border>
      <left/>
      <right style="thin">
        <color rgb="FFE8A317"/>
      </right>
      <top style="thin">
        <color rgb="FFE8A317"/>
      </top>
      <bottom/>
      <diagonal/>
    </border>
    <border>
      <left style="thin">
        <color rgb="FFE8A317"/>
      </left>
      <right/>
      <top/>
      <bottom/>
      <diagonal/>
    </border>
    <border>
      <left/>
      <right style="thin">
        <color rgb="FFE8A317"/>
      </right>
      <top/>
      <bottom/>
      <diagonal/>
    </border>
    <border>
      <left style="thin">
        <color rgb="FFE8A317"/>
      </left>
      <right/>
      <top/>
      <bottom style="thin">
        <color rgb="FFE8A317"/>
      </bottom>
      <diagonal/>
    </border>
    <border>
      <left/>
      <right/>
      <top/>
      <bottom style="thin">
        <color rgb="FFE8A317"/>
      </bottom>
      <diagonal/>
    </border>
    <border>
      <left/>
      <right style="thin">
        <color rgb="FFE8A317"/>
      </right>
      <top/>
      <bottom style="thin">
        <color rgb="FFE8A317"/>
      </bottom>
      <diagonal/>
    </border>
    <border>
      <left style="thin">
        <color rgb="FFD7DEE6"/>
      </left>
      <right/>
      <top style="thin">
        <color rgb="FFD7DEE6"/>
      </top>
      <bottom/>
      <diagonal/>
    </border>
    <border>
      <left/>
      <right/>
      <top style="thin">
        <color rgb="FFD7DEE6"/>
      </top>
      <bottom/>
      <diagonal/>
    </border>
    <border>
      <left/>
      <right style="thin">
        <color rgb="FFD7DEE6"/>
      </right>
      <top style="thin">
        <color rgb="FFD7DEE6"/>
      </top>
      <bottom/>
      <diagonal/>
    </border>
    <border>
      <left style="thin">
        <color rgb="FFD7DEE6"/>
      </left>
      <right/>
      <top/>
      <bottom/>
      <diagonal/>
    </border>
    <border>
      <left/>
      <right style="thin">
        <color rgb="FFD7DEE6"/>
      </right>
      <top/>
      <bottom/>
      <diagonal/>
    </border>
    <border>
      <left style="thin">
        <color rgb="FFD7DEE6"/>
      </left>
      <right/>
      <top/>
      <bottom style="thin">
        <color rgb="FFD7DEE6"/>
      </bottom>
      <diagonal/>
    </border>
    <border>
      <left/>
      <right/>
      <top/>
      <bottom style="thin">
        <color rgb="FFD7DEE6"/>
      </bottom>
      <diagonal/>
    </border>
    <border>
      <left/>
      <right style="thin">
        <color rgb="FFD7DEE6"/>
      </right>
      <top/>
      <bottom style="thin">
        <color rgb="FFD7DEE6"/>
      </bottom>
      <diagonal/>
    </border>
    <border>
      <left style="thin">
        <color rgb="FFD7DEE6"/>
      </left>
      <right/>
      <top style="thin">
        <color rgb="FFD7DEE6"/>
      </top>
      <bottom style="thin">
        <color rgb="FFD7DEE6"/>
      </bottom>
      <diagonal/>
    </border>
    <border>
      <left/>
      <right style="thin">
        <color rgb="FFD7DEE6"/>
      </right>
      <top style="thin">
        <color rgb="FFD7DEE6"/>
      </top>
      <bottom style="thin">
        <color rgb="FFD7DEE6"/>
      </bottom>
      <diagonal/>
    </border>
    <border>
      <left/>
      <right/>
      <top style="thin">
        <color rgb="FFD7DEE6"/>
      </top>
      <bottom style="thin">
        <color rgb="FFD7DEE6"/>
      </bottom>
      <diagonal/>
    </border>
    <border>
      <left style="thin">
        <color rgb="FFC0392B"/>
      </left>
      <right/>
      <top style="thin">
        <color rgb="FFC0392B"/>
      </top>
      <bottom/>
      <diagonal/>
    </border>
    <border>
      <left/>
      <right/>
      <top style="thin">
        <color rgb="FFC0392B"/>
      </top>
      <bottom/>
      <diagonal/>
    </border>
    <border>
      <left/>
      <right style="thin">
        <color rgb="FFC0392B"/>
      </right>
      <top style="thin">
        <color rgb="FFC0392B"/>
      </top>
      <bottom/>
      <diagonal/>
    </border>
    <border>
      <left style="thin">
        <color rgb="FFC0392B"/>
      </left>
      <right/>
      <top/>
      <bottom/>
      <diagonal/>
    </border>
    <border>
      <left/>
      <right style="thin">
        <color rgb="FFC0392B"/>
      </right>
      <top/>
      <bottom/>
      <diagonal/>
    </border>
    <border>
      <left style="thin">
        <color rgb="FFC0392B"/>
      </left>
      <right/>
      <top/>
      <bottom style="thin">
        <color rgb="FFC0392B"/>
      </bottom>
      <diagonal/>
    </border>
    <border>
      <left/>
      <right/>
      <top/>
      <bottom style="thin">
        <color rgb="FFC0392B"/>
      </bottom>
      <diagonal/>
    </border>
    <border>
      <left/>
      <right style="thin">
        <color rgb="FFC0392B"/>
      </right>
      <top/>
      <bottom style="thin">
        <color rgb="FFC0392B"/>
      </bottom>
      <diagonal/>
    </border>
  </borders>
  <cellStyleXfs count="1">
    <xf numFmtId="0" fontId="0" fillId="0" borderId="0"/>
  </cellStyleXfs>
  <cellXfs count="284">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3" fillId="2" borderId="4" xfId="0" applyFont="1" applyFill="1" applyBorder="1" applyAlignment="1">
      <alignment vertical="center" wrapText="1"/>
    </xf>
    <xf numFmtId="0" fontId="3" fillId="2" borderId="5" xfId="0" applyFont="1" applyFill="1" applyBorder="1" applyAlignment="1">
      <alignment vertical="center" wrapText="1"/>
    </xf>
    <xf numFmtId="0" fontId="15" fillId="0" borderId="0" xfId="0" applyFont="1" applyAlignment="1">
      <alignment vertical="center"/>
    </xf>
    <xf numFmtId="165" fontId="15" fillId="0" borderId="0" xfId="0" applyNumberFormat="1" applyFont="1" applyAlignment="1">
      <alignment vertical="center"/>
    </xf>
    <xf numFmtId="0" fontId="0" fillId="0" borderId="0" xfId="0" applyAlignment="1">
      <alignment vertical="center"/>
    </xf>
    <xf numFmtId="3" fontId="0" fillId="0" borderId="0" xfId="0" applyNumberFormat="1" applyAlignment="1">
      <alignment vertical="center"/>
    </xf>
    <xf numFmtId="166" fontId="0" fillId="0" borderId="0" xfId="0" applyNumberFormat="1" applyAlignment="1">
      <alignment vertical="center"/>
    </xf>
    <xf numFmtId="0" fontId="0" fillId="0" borderId="0" xfId="0" applyAlignment="1">
      <alignment vertical="center" wrapText="1"/>
    </xf>
    <xf numFmtId="3" fontId="0" fillId="0" borderId="0" xfId="0" applyNumberFormat="1" applyAlignment="1">
      <alignment vertical="center" wrapText="1"/>
    </xf>
    <xf numFmtId="164" fontId="0" fillId="0" borderId="0" xfId="0" applyNumberFormat="1" applyAlignment="1">
      <alignment vertical="center"/>
    </xf>
    <xf numFmtId="165" fontId="0" fillId="0" borderId="0" xfId="0" applyNumberFormat="1" applyAlignment="1">
      <alignment vertical="center" wrapText="1"/>
    </xf>
    <xf numFmtId="3" fontId="0" fillId="9" borderId="0" xfId="0" applyNumberFormat="1" applyFill="1" applyAlignment="1">
      <alignment vertical="center" wrapText="1"/>
    </xf>
    <xf numFmtId="165" fontId="0" fillId="9" borderId="0" xfId="0" applyNumberFormat="1" applyFill="1" applyAlignment="1">
      <alignment vertical="center" wrapText="1"/>
    </xf>
    <xf numFmtId="166" fontId="0" fillId="0" borderId="0" xfId="0" applyNumberFormat="1" applyAlignment="1">
      <alignment vertical="center" wrapText="1"/>
    </xf>
    <xf numFmtId="166" fontId="0" fillId="9" borderId="0" xfId="0" applyNumberFormat="1" applyFill="1" applyAlignment="1">
      <alignment vertical="center" wrapText="1"/>
    </xf>
    <xf numFmtId="1" fontId="2" fillId="0" borderId="6" xfId="0" applyNumberFormat="1" applyFont="1" applyBorder="1" applyAlignment="1">
      <alignment vertical="center"/>
    </xf>
    <xf numFmtId="0" fontId="2" fillId="0" borderId="7" xfId="0" applyFont="1" applyBorder="1" applyAlignment="1">
      <alignment vertical="center"/>
    </xf>
    <xf numFmtId="3" fontId="2" fillId="0" borderId="7" xfId="0" applyNumberFormat="1" applyFont="1" applyBorder="1" applyAlignment="1">
      <alignment vertical="center"/>
    </xf>
    <xf numFmtId="165" fontId="2" fillId="0" borderId="7" xfId="0" applyNumberFormat="1" applyFont="1" applyBorder="1" applyAlignment="1">
      <alignment vertical="center"/>
    </xf>
    <xf numFmtId="164" fontId="2" fillId="0" borderId="7" xfId="0" applyNumberFormat="1" applyFont="1" applyBorder="1" applyAlignment="1">
      <alignment vertical="center"/>
    </xf>
    <xf numFmtId="1" fontId="2" fillId="0" borderId="8" xfId="0" applyNumberFormat="1" applyFont="1" applyBorder="1" applyAlignment="1">
      <alignment vertical="center"/>
    </xf>
    <xf numFmtId="0" fontId="2" fillId="0" borderId="9" xfId="0" applyFont="1" applyBorder="1" applyAlignment="1">
      <alignment vertical="center"/>
    </xf>
    <xf numFmtId="3" fontId="2" fillId="0" borderId="9" xfId="0" applyNumberFormat="1" applyFont="1" applyBorder="1" applyAlignment="1">
      <alignment vertical="center"/>
    </xf>
    <xf numFmtId="165" fontId="2" fillId="0" borderId="9" xfId="0" applyNumberFormat="1" applyFont="1" applyBorder="1" applyAlignment="1">
      <alignment vertical="center"/>
    </xf>
    <xf numFmtId="164" fontId="2" fillId="0" borderId="9" xfId="0" applyNumberFormat="1" applyFont="1" applyBorder="1" applyAlignment="1">
      <alignment vertical="center"/>
    </xf>
    <xf numFmtId="1" fontId="2" fillId="0" borderId="0" xfId="0" applyNumberFormat="1"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0" borderId="0" xfId="0" applyFont="1" applyAlignment="1">
      <alignment vertical="center"/>
    </xf>
    <xf numFmtId="3" fontId="2" fillId="0" borderId="0" xfId="0" applyNumberFormat="1" applyFont="1" applyAlignment="1">
      <alignment vertical="center"/>
    </xf>
    <xf numFmtId="0" fontId="7" fillId="0" borderId="0" xfId="0" applyFont="1" applyAlignment="1">
      <alignment vertical="center"/>
    </xf>
    <xf numFmtId="3" fontId="7" fillId="0" borderId="0" xfId="0" applyNumberFormat="1" applyFont="1" applyAlignment="1">
      <alignment vertical="center"/>
    </xf>
    <xf numFmtId="165" fontId="7" fillId="0" borderId="0" xfId="0" applyNumberFormat="1" applyFont="1" applyAlignment="1">
      <alignment vertical="center"/>
    </xf>
    <xf numFmtId="166" fontId="7" fillId="0" borderId="0" xfId="0" applyNumberFormat="1" applyFont="1" applyAlignment="1">
      <alignment vertical="center"/>
    </xf>
    <xf numFmtId="165" fontId="2" fillId="0" borderId="0" xfId="0" applyNumberFormat="1" applyFont="1" applyAlignment="1">
      <alignment vertical="center"/>
    </xf>
    <xf numFmtId="166" fontId="2" fillId="0" borderId="0" xfId="0" applyNumberFormat="1" applyFont="1" applyAlignment="1">
      <alignment vertical="center"/>
    </xf>
    <xf numFmtId="3" fontId="14" fillId="0" borderId="0" xfId="0" applyNumberFormat="1" applyFont="1" applyAlignment="1">
      <alignment vertical="center"/>
    </xf>
    <xf numFmtId="164" fontId="14" fillId="0" borderId="0" xfId="0" applyNumberFormat="1" applyFont="1" applyAlignment="1">
      <alignment vertical="center"/>
    </xf>
    <xf numFmtId="0" fontId="14" fillId="0" borderId="0" xfId="0" applyFont="1" applyAlignment="1">
      <alignment vertical="center" wrapText="1"/>
    </xf>
    <xf numFmtId="0" fontId="14" fillId="0" borderId="0" xfId="0" applyFont="1" applyAlignment="1">
      <alignment vertical="center"/>
    </xf>
    <xf numFmtId="166" fontId="14" fillId="0" borderId="0" xfId="0" applyNumberFormat="1" applyFont="1" applyAlignment="1">
      <alignment vertical="center"/>
    </xf>
    <xf numFmtId="165" fontId="0" fillId="0" borderId="0" xfId="0" applyNumberFormat="1" applyAlignment="1">
      <alignment vertical="center"/>
    </xf>
    <xf numFmtId="0" fontId="20" fillId="0" borderId="0" xfId="0" applyFont="1" applyAlignment="1">
      <alignment vertical="center"/>
    </xf>
    <xf numFmtId="0" fontId="0" fillId="0" borderId="0" xfId="0" applyAlignment="1">
      <alignment vertical="top" wrapText="1"/>
    </xf>
    <xf numFmtId="164" fontId="0" fillId="0" borderId="0" xfId="0" applyNumberFormat="1" applyAlignment="1">
      <alignment vertical="top" wrapText="1"/>
    </xf>
    <xf numFmtId="3" fontId="0" fillId="0" borderId="0" xfId="0" applyNumberFormat="1" applyAlignment="1">
      <alignment vertical="top" wrapText="1"/>
    </xf>
    <xf numFmtId="9" fontId="0" fillId="0" borderId="0" xfId="0" applyNumberFormat="1" applyAlignment="1">
      <alignment vertical="top" wrapText="1"/>
    </xf>
    <xf numFmtId="165" fontId="0" fillId="0" borderId="0" xfId="0" applyNumberFormat="1" applyAlignment="1">
      <alignment vertical="top" wrapText="1"/>
    </xf>
    <xf numFmtId="0" fontId="16" fillId="3" borderId="0" xfId="0" applyFont="1" applyFill="1" applyAlignment="1">
      <alignment vertical="center"/>
    </xf>
    <xf numFmtId="0" fontId="17" fillId="3" borderId="0" xfId="0" applyFont="1" applyFill="1" applyAlignment="1">
      <alignment vertical="center"/>
    </xf>
    <xf numFmtId="0" fontId="18" fillId="2" borderId="10" xfId="0" applyFont="1" applyFill="1" applyBorder="1" applyAlignment="1">
      <alignment horizontal="center" vertical="center"/>
    </xf>
    <xf numFmtId="0" fontId="18" fillId="2" borderId="11"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13" xfId="0" applyFont="1" applyFill="1" applyBorder="1" applyAlignment="1">
      <alignment horizontal="center" vertical="center"/>
    </xf>
    <xf numFmtId="0" fontId="18" fillId="2" borderId="0" xfId="0" applyFont="1" applyFill="1" applyAlignment="1">
      <alignment horizontal="center" vertical="center"/>
    </xf>
    <xf numFmtId="0" fontId="18" fillId="2" borderId="14" xfId="0" applyFont="1" applyFill="1" applyBorder="1" applyAlignment="1">
      <alignment horizontal="center" vertical="center"/>
    </xf>
    <xf numFmtId="0" fontId="18" fillId="2" borderId="15" xfId="0" applyFont="1" applyFill="1" applyBorder="1" applyAlignment="1">
      <alignment horizontal="center" vertical="center"/>
    </xf>
    <xf numFmtId="0" fontId="18" fillId="2" borderId="16" xfId="0" applyFont="1" applyFill="1" applyBorder="1" applyAlignment="1">
      <alignment horizontal="center" vertical="center"/>
    </xf>
    <xf numFmtId="0" fontId="18" fillId="2" borderId="17" xfId="0" applyFont="1" applyFill="1" applyBorder="1" applyAlignment="1">
      <alignment horizontal="center" vertical="center"/>
    </xf>
    <xf numFmtId="0" fontId="6" fillId="0" borderId="0" xfId="0" applyFont="1" applyAlignment="1">
      <alignment horizontal="center" vertical="center"/>
    </xf>
    <xf numFmtId="0" fontId="18" fillId="4" borderId="18" xfId="0" applyFont="1" applyFill="1" applyBorder="1" applyAlignment="1">
      <alignment horizontal="center" vertical="center"/>
    </xf>
    <xf numFmtId="0" fontId="18" fillId="4" borderId="19" xfId="0" applyFont="1" applyFill="1" applyBorder="1" applyAlignment="1">
      <alignment horizontal="center" vertical="center"/>
    </xf>
    <xf numFmtId="0" fontId="18" fillId="4" borderId="20" xfId="0" applyFont="1" applyFill="1" applyBorder="1" applyAlignment="1">
      <alignment horizontal="center" vertical="center"/>
    </xf>
    <xf numFmtId="0" fontId="18" fillId="4" borderId="21" xfId="0" applyFont="1" applyFill="1" applyBorder="1" applyAlignment="1">
      <alignment horizontal="center" vertical="center"/>
    </xf>
    <xf numFmtId="0" fontId="18" fillId="4" borderId="0" xfId="0" applyFont="1" applyFill="1" applyAlignment="1">
      <alignment horizontal="center" vertical="center"/>
    </xf>
    <xf numFmtId="0" fontId="18" fillId="4" borderId="22" xfId="0" applyFont="1" applyFill="1" applyBorder="1" applyAlignment="1">
      <alignment horizontal="center" vertical="center"/>
    </xf>
    <xf numFmtId="0" fontId="18" fillId="4" borderId="23" xfId="0" applyFont="1" applyFill="1" applyBorder="1" applyAlignment="1">
      <alignment horizontal="center" vertical="center"/>
    </xf>
    <xf numFmtId="0" fontId="18" fillId="4" borderId="24" xfId="0" applyFont="1" applyFill="1" applyBorder="1" applyAlignment="1">
      <alignment horizontal="center" vertical="center"/>
    </xf>
    <xf numFmtId="0" fontId="18" fillId="4" borderId="25" xfId="0" applyFont="1" applyFill="1" applyBorder="1" applyAlignment="1">
      <alignment horizontal="center" vertical="center"/>
    </xf>
    <xf numFmtId="0" fontId="18" fillId="5" borderId="26" xfId="0" applyFont="1" applyFill="1" applyBorder="1" applyAlignment="1">
      <alignment horizontal="center" vertical="center"/>
    </xf>
    <xf numFmtId="0" fontId="18" fillId="5" borderId="27" xfId="0" applyFont="1" applyFill="1" applyBorder="1" applyAlignment="1">
      <alignment horizontal="center" vertical="center"/>
    </xf>
    <xf numFmtId="0" fontId="18" fillId="5" borderId="28" xfId="0" applyFont="1" applyFill="1" applyBorder="1" applyAlignment="1">
      <alignment horizontal="center" vertical="center"/>
    </xf>
    <xf numFmtId="0" fontId="18" fillId="5" borderId="29" xfId="0" applyFont="1" applyFill="1" applyBorder="1" applyAlignment="1">
      <alignment horizontal="center" vertical="center"/>
    </xf>
    <xf numFmtId="0" fontId="18" fillId="5" borderId="0" xfId="0" applyFont="1" applyFill="1" applyAlignment="1">
      <alignment horizontal="center" vertical="center"/>
    </xf>
    <xf numFmtId="0" fontId="18" fillId="5" borderId="30" xfId="0" applyFont="1" applyFill="1" applyBorder="1" applyAlignment="1">
      <alignment horizontal="center" vertical="center"/>
    </xf>
    <xf numFmtId="0" fontId="18" fillId="5" borderId="31" xfId="0" applyFont="1" applyFill="1" applyBorder="1" applyAlignment="1">
      <alignment horizontal="center" vertical="center"/>
    </xf>
    <xf numFmtId="0" fontId="18" fillId="5" borderId="32" xfId="0" applyFont="1" applyFill="1" applyBorder="1" applyAlignment="1">
      <alignment horizontal="center" vertical="center"/>
    </xf>
    <xf numFmtId="0" fontId="18" fillId="5" borderId="33" xfId="0" applyFont="1" applyFill="1" applyBorder="1" applyAlignment="1">
      <alignment horizontal="center" vertical="center"/>
    </xf>
    <xf numFmtId="0" fontId="18" fillId="12" borderId="53" xfId="0" applyFont="1" applyFill="1" applyBorder="1" applyAlignment="1">
      <alignment horizontal="center" vertical="center"/>
    </xf>
    <xf numFmtId="0" fontId="18" fillId="12" borderId="54" xfId="0" applyFont="1" applyFill="1" applyBorder="1" applyAlignment="1">
      <alignment horizontal="center" vertical="center"/>
    </xf>
    <xf numFmtId="0" fontId="18" fillId="12" borderId="55" xfId="0" applyFont="1" applyFill="1" applyBorder="1" applyAlignment="1">
      <alignment horizontal="center" vertical="center"/>
    </xf>
    <xf numFmtId="0" fontId="18" fillId="12" borderId="56" xfId="0" applyFont="1" applyFill="1" applyBorder="1" applyAlignment="1">
      <alignment horizontal="center" vertical="center"/>
    </xf>
    <xf numFmtId="0" fontId="18" fillId="12" borderId="0" xfId="0" applyFont="1" applyFill="1" applyAlignment="1">
      <alignment horizontal="center" vertical="center"/>
    </xf>
    <xf numFmtId="0" fontId="18" fillId="12" borderId="57" xfId="0" applyFont="1" applyFill="1" applyBorder="1" applyAlignment="1">
      <alignment horizontal="center" vertical="center"/>
    </xf>
    <xf numFmtId="0" fontId="18" fillId="12" borderId="58" xfId="0" applyFont="1" applyFill="1" applyBorder="1" applyAlignment="1">
      <alignment horizontal="center" vertical="center"/>
    </xf>
    <xf numFmtId="0" fontId="18" fillId="12" borderId="59" xfId="0" applyFont="1" applyFill="1" applyBorder="1" applyAlignment="1">
      <alignment horizontal="center" vertical="center"/>
    </xf>
    <xf numFmtId="0" fontId="18" fillId="12" borderId="60" xfId="0" applyFont="1" applyFill="1" applyBorder="1" applyAlignment="1">
      <alignment horizontal="center" vertical="center"/>
    </xf>
    <xf numFmtId="0" fontId="19" fillId="4" borderId="0" xfId="0" applyFont="1" applyFill="1" applyAlignment="1">
      <alignment vertical="center"/>
    </xf>
    <xf numFmtId="0" fontId="15" fillId="7" borderId="42" xfId="0" applyFont="1" applyFill="1" applyBorder="1" applyAlignment="1">
      <alignment vertical="top" wrapText="1"/>
    </xf>
    <xf numFmtId="0" fontId="15" fillId="7" borderId="43" xfId="0" applyFont="1" applyFill="1" applyBorder="1" applyAlignment="1">
      <alignment vertical="top" wrapText="1"/>
    </xf>
    <xf numFmtId="0" fontId="15" fillId="7" borderId="44" xfId="0" applyFont="1" applyFill="1" applyBorder="1" applyAlignment="1">
      <alignment vertical="top" wrapText="1"/>
    </xf>
    <xf numFmtId="0" fontId="15" fillId="7" borderId="45" xfId="0" applyFont="1" applyFill="1" applyBorder="1" applyAlignment="1">
      <alignment vertical="top" wrapText="1"/>
    </xf>
    <xf numFmtId="0" fontId="15" fillId="7" borderId="0" xfId="0" applyFont="1" applyFill="1" applyAlignment="1">
      <alignment vertical="top" wrapText="1"/>
    </xf>
    <xf numFmtId="0" fontId="15" fillId="7" borderId="46" xfId="0" applyFont="1" applyFill="1" applyBorder="1" applyAlignment="1">
      <alignment vertical="top" wrapText="1"/>
    </xf>
    <xf numFmtId="0" fontId="15" fillId="7" borderId="47" xfId="0" applyFont="1" applyFill="1" applyBorder="1" applyAlignment="1">
      <alignment vertical="top" wrapText="1"/>
    </xf>
    <xf numFmtId="0" fontId="15" fillId="7" borderId="48" xfId="0" applyFont="1" applyFill="1" applyBorder="1" applyAlignment="1">
      <alignment vertical="top" wrapText="1"/>
    </xf>
    <xf numFmtId="0" fontId="15" fillId="7" borderId="49" xfId="0" applyFont="1" applyFill="1" applyBorder="1" applyAlignment="1">
      <alignment vertical="top" wrapText="1"/>
    </xf>
    <xf numFmtId="0" fontId="7" fillId="8" borderId="42" xfId="0" applyFont="1" applyFill="1" applyBorder="1" applyAlignment="1">
      <alignment vertical="top" wrapText="1"/>
    </xf>
    <xf numFmtId="0" fontId="7" fillId="8" borderId="43" xfId="0" applyFont="1" applyFill="1" applyBorder="1" applyAlignment="1">
      <alignment vertical="top" wrapText="1"/>
    </xf>
    <xf numFmtId="0" fontId="7" fillId="8" borderId="44" xfId="0" applyFont="1" applyFill="1" applyBorder="1" applyAlignment="1">
      <alignment vertical="top" wrapText="1"/>
    </xf>
    <xf numFmtId="0" fontId="7" fillId="8" borderId="45" xfId="0" applyFont="1" applyFill="1" applyBorder="1" applyAlignment="1">
      <alignment vertical="top" wrapText="1"/>
    </xf>
    <xf numFmtId="0" fontId="7" fillId="8" borderId="0" xfId="0" applyFont="1" applyFill="1" applyAlignment="1">
      <alignment vertical="top" wrapText="1"/>
    </xf>
    <xf numFmtId="0" fontId="7" fillId="8" borderId="46" xfId="0" applyFont="1" applyFill="1" applyBorder="1" applyAlignment="1">
      <alignment vertical="top" wrapText="1"/>
    </xf>
    <xf numFmtId="0" fontId="7" fillId="8" borderId="47" xfId="0" applyFont="1" applyFill="1" applyBorder="1" applyAlignment="1">
      <alignment vertical="top" wrapText="1"/>
    </xf>
    <xf numFmtId="0" fontId="7" fillId="8" borderId="48" xfId="0" applyFont="1" applyFill="1" applyBorder="1" applyAlignment="1">
      <alignment vertical="top" wrapText="1"/>
    </xf>
    <xf numFmtId="0" fontId="7" fillId="8" borderId="49" xfId="0" applyFont="1" applyFill="1" applyBorder="1" applyAlignment="1">
      <alignment vertical="top" wrapText="1"/>
    </xf>
    <xf numFmtId="0" fontId="4" fillId="3" borderId="0" xfId="0" applyFont="1" applyFill="1" applyAlignment="1">
      <alignment vertical="center"/>
    </xf>
    <xf numFmtId="0" fontId="5" fillId="3" borderId="0" xfId="0" applyFont="1" applyFill="1" applyAlignment="1">
      <alignment vertical="center"/>
    </xf>
    <xf numFmtId="3" fontId="9" fillId="2" borderId="10" xfId="0" applyNumberFormat="1" applyFont="1" applyFill="1" applyBorder="1" applyAlignment="1">
      <alignment horizontal="center" vertical="center"/>
    </xf>
    <xf numFmtId="3" fontId="9" fillId="2" borderId="11" xfId="0" applyNumberFormat="1" applyFont="1" applyFill="1" applyBorder="1" applyAlignment="1">
      <alignment horizontal="center" vertical="center"/>
    </xf>
    <xf numFmtId="3" fontId="9" fillId="2" borderId="12" xfId="0" applyNumberFormat="1" applyFont="1" applyFill="1" applyBorder="1" applyAlignment="1">
      <alignment horizontal="center" vertical="center"/>
    </xf>
    <xf numFmtId="3" fontId="9" fillId="2" borderId="13" xfId="0" applyNumberFormat="1" applyFont="1" applyFill="1" applyBorder="1" applyAlignment="1">
      <alignment horizontal="center" vertical="center"/>
    </xf>
    <xf numFmtId="3" fontId="9" fillId="2" borderId="0" xfId="0" applyNumberFormat="1" applyFont="1" applyFill="1" applyAlignment="1">
      <alignment horizontal="center" vertical="center"/>
    </xf>
    <xf numFmtId="3" fontId="9" fillId="2" borderId="14" xfId="0" applyNumberFormat="1" applyFont="1" applyFill="1" applyBorder="1" applyAlignment="1">
      <alignment horizontal="center" vertical="center"/>
    </xf>
    <xf numFmtId="3" fontId="9" fillId="2" borderId="15" xfId="0" applyNumberFormat="1" applyFont="1" applyFill="1" applyBorder="1" applyAlignment="1">
      <alignment horizontal="center" vertical="center"/>
    </xf>
    <xf numFmtId="3" fontId="9" fillId="2" borderId="16" xfId="0" applyNumberFormat="1" applyFont="1" applyFill="1" applyBorder="1" applyAlignment="1">
      <alignment horizontal="center" vertical="center"/>
    </xf>
    <xf numFmtId="3" fontId="9" fillId="2" borderId="17" xfId="0" applyNumberFormat="1" applyFont="1" applyFill="1" applyBorder="1" applyAlignment="1">
      <alignment horizontal="center" vertical="center"/>
    </xf>
    <xf numFmtId="0" fontId="10" fillId="0" borderId="0" xfId="0" applyFont="1" applyAlignment="1">
      <alignment horizontal="center" vertical="center" wrapText="1"/>
    </xf>
    <xf numFmtId="3" fontId="9" fillId="4" borderId="18" xfId="0" applyNumberFormat="1" applyFont="1" applyFill="1" applyBorder="1" applyAlignment="1">
      <alignment horizontal="center" vertical="center"/>
    </xf>
    <xf numFmtId="3" fontId="9" fillId="4" borderId="19" xfId="0" applyNumberFormat="1" applyFont="1" applyFill="1" applyBorder="1" applyAlignment="1">
      <alignment horizontal="center" vertical="center"/>
    </xf>
    <xf numFmtId="3" fontId="9" fillId="4" borderId="20" xfId="0" applyNumberFormat="1" applyFont="1" applyFill="1" applyBorder="1" applyAlignment="1">
      <alignment horizontal="center" vertical="center"/>
    </xf>
    <xf numFmtId="3" fontId="9" fillId="4" borderId="21" xfId="0" applyNumberFormat="1" applyFont="1" applyFill="1" applyBorder="1" applyAlignment="1">
      <alignment horizontal="center" vertical="center"/>
    </xf>
    <xf numFmtId="3" fontId="9" fillId="4" borderId="0" xfId="0" applyNumberFormat="1" applyFont="1" applyFill="1" applyAlignment="1">
      <alignment horizontal="center" vertical="center"/>
    </xf>
    <xf numFmtId="3" fontId="9" fillId="4" borderId="22" xfId="0" applyNumberFormat="1" applyFont="1" applyFill="1" applyBorder="1" applyAlignment="1">
      <alignment horizontal="center" vertical="center"/>
    </xf>
    <xf numFmtId="3" fontId="9" fillId="4" borderId="23" xfId="0" applyNumberFormat="1" applyFont="1" applyFill="1" applyBorder="1" applyAlignment="1">
      <alignment horizontal="center" vertical="center"/>
    </xf>
    <xf numFmtId="3" fontId="9" fillId="4" borderId="24" xfId="0" applyNumberFormat="1" applyFont="1" applyFill="1" applyBorder="1" applyAlignment="1">
      <alignment horizontal="center" vertical="center"/>
    </xf>
    <xf numFmtId="3" fontId="9" fillId="4" borderId="25" xfId="0" applyNumberFormat="1" applyFont="1" applyFill="1" applyBorder="1" applyAlignment="1">
      <alignment horizontal="center" vertical="center"/>
    </xf>
    <xf numFmtId="3" fontId="9" fillId="5" borderId="26" xfId="0" applyNumberFormat="1" applyFont="1" applyFill="1" applyBorder="1" applyAlignment="1">
      <alignment horizontal="center" vertical="center"/>
    </xf>
    <xf numFmtId="3" fontId="9" fillId="5" borderId="27" xfId="0" applyNumberFormat="1" applyFont="1" applyFill="1" applyBorder="1" applyAlignment="1">
      <alignment horizontal="center" vertical="center"/>
    </xf>
    <xf numFmtId="3" fontId="9" fillId="5" borderId="28" xfId="0" applyNumberFormat="1" applyFont="1" applyFill="1" applyBorder="1" applyAlignment="1">
      <alignment horizontal="center" vertical="center"/>
    </xf>
    <xf numFmtId="3" fontId="9" fillId="5" borderId="29" xfId="0" applyNumberFormat="1" applyFont="1" applyFill="1" applyBorder="1" applyAlignment="1">
      <alignment horizontal="center" vertical="center"/>
    </xf>
    <xf numFmtId="3" fontId="9" fillId="5" borderId="0" xfId="0" applyNumberFormat="1" applyFont="1" applyFill="1" applyAlignment="1">
      <alignment horizontal="center" vertical="center"/>
    </xf>
    <xf numFmtId="3" fontId="9" fillId="5" borderId="30" xfId="0" applyNumberFormat="1" applyFont="1" applyFill="1" applyBorder="1" applyAlignment="1">
      <alignment horizontal="center" vertical="center"/>
    </xf>
    <xf numFmtId="3" fontId="9" fillId="5" borderId="31" xfId="0" applyNumberFormat="1" applyFont="1" applyFill="1" applyBorder="1" applyAlignment="1">
      <alignment horizontal="center" vertical="center"/>
    </xf>
    <xf numFmtId="3" fontId="9" fillId="5" borderId="32" xfId="0" applyNumberFormat="1" applyFont="1" applyFill="1" applyBorder="1" applyAlignment="1">
      <alignment horizontal="center" vertical="center"/>
    </xf>
    <xf numFmtId="3" fontId="9" fillId="5" borderId="33" xfId="0" applyNumberFormat="1" applyFont="1" applyFill="1" applyBorder="1" applyAlignment="1">
      <alignment horizontal="center" vertical="center"/>
    </xf>
    <xf numFmtId="166" fontId="9" fillId="6" borderId="34" xfId="0" applyNumberFormat="1" applyFont="1" applyFill="1" applyBorder="1" applyAlignment="1">
      <alignment horizontal="center" vertical="center"/>
    </xf>
    <xf numFmtId="166" fontId="9" fillId="6" borderId="35" xfId="0" applyNumberFormat="1" applyFont="1" applyFill="1" applyBorder="1" applyAlignment="1">
      <alignment horizontal="center" vertical="center"/>
    </xf>
    <xf numFmtId="166" fontId="9" fillId="6" borderId="36" xfId="0" applyNumberFormat="1" applyFont="1" applyFill="1" applyBorder="1" applyAlignment="1">
      <alignment horizontal="center" vertical="center"/>
    </xf>
    <xf numFmtId="166" fontId="9" fillId="6" borderId="37" xfId="0" applyNumberFormat="1" applyFont="1" applyFill="1" applyBorder="1" applyAlignment="1">
      <alignment horizontal="center" vertical="center"/>
    </xf>
    <xf numFmtId="166" fontId="9" fillId="6" borderId="0" xfId="0" applyNumberFormat="1" applyFont="1" applyFill="1" applyAlignment="1">
      <alignment horizontal="center" vertical="center"/>
    </xf>
    <xf numFmtId="166" fontId="9" fillId="6" borderId="38" xfId="0" applyNumberFormat="1" applyFont="1" applyFill="1" applyBorder="1" applyAlignment="1">
      <alignment horizontal="center" vertical="center"/>
    </xf>
    <xf numFmtId="166" fontId="9" fillId="6" borderId="39" xfId="0" applyNumberFormat="1" applyFont="1" applyFill="1" applyBorder="1" applyAlignment="1">
      <alignment horizontal="center" vertical="center"/>
    </xf>
    <xf numFmtId="166" fontId="9" fillId="6" borderId="40" xfId="0" applyNumberFormat="1" applyFont="1" applyFill="1" applyBorder="1" applyAlignment="1">
      <alignment horizontal="center" vertical="center"/>
    </xf>
    <xf numFmtId="166" fontId="9" fillId="6" borderId="41" xfId="0" applyNumberFormat="1" applyFont="1" applyFill="1" applyBorder="1" applyAlignment="1">
      <alignment horizontal="center" vertical="center"/>
    </xf>
    <xf numFmtId="0" fontId="8" fillId="4" borderId="0" xfId="0" applyFont="1" applyFill="1" applyAlignment="1">
      <alignment vertical="center"/>
    </xf>
    <xf numFmtId="0" fontId="11" fillId="7" borderId="42" xfId="0" applyFont="1" applyFill="1" applyBorder="1" applyAlignment="1">
      <alignment vertical="top" wrapText="1"/>
    </xf>
    <xf numFmtId="0" fontId="11" fillId="7" borderId="43" xfId="0" applyFont="1" applyFill="1" applyBorder="1" applyAlignment="1">
      <alignment vertical="top" wrapText="1"/>
    </xf>
    <xf numFmtId="0" fontId="11" fillId="7" borderId="44" xfId="0" applyFont="1" applyFill="1" applyBorder="1" applyAlignment="1">
      <alignment vertical="top" wrapText="1"/>
    </xf>
    <xf numFmtId="0" fontId="11" fillId="7" borderId="45" xfId="0" applyFont="1" applyFill="1" applyBorder="1" applyAlignment="1">
      <alignment vertical="top" wrapText="1"/>
    </xf>
    <xf numFmtId="0" fontId="11" fillId="7" borderId="0" xfId="0" applyFont="1" applyFill="1" applyAlignment="1">
      <alignment vertical="top" wrapText="1"/>
    </xf>
    <xf numFmtId="0" fontId="11" fillId="7" borderId="46" xfId="0" applyFont="1" applyFill="1" applyBorder="1" applyAlignment="1">
      <alignment vertical="top" wrapText="1"/>
    </xf>
    <xf numFmtId="0" fontId="11" fillId="7" borderId="47" xfId="0" applyFont="1" applyFill="1" applyBorder="1" applyAlignment="1">
      <alignment vertical="top" wrapText="1"/>
    </xf>
    <xf numFmtId="0" fontId="11" fillId="7" borderId="48" xfId="0" applyFont="1" applyFill="1" applyBorder="1" applyAlignment="1">
      <alignment vertical="top" wrapText="1"/>
    </xf>
    <xf numFmtId="0" fontId="11" fillId="7" borderId="49" xfId="0" applyFont="1" applyFill="1" applyBorder="1" applyAlignment="1">
      <alignment vertical="top" wrapText="1"/>
    </xf>
    <xf numFmtId="0" fontId="11" fillId="8" borderId="42" xfId="0" applyFont="1" applyFill="1" applyBorder="1" applyAlignment="1">
      <alignment vertical="top" wrapText="1"/>
    </xf>
    <xf numFmtId="0" fontId="11" fillId="8" borderId="43" xfId="0" applyFont="1" applyFill="1" applyBorder="1" applyAlignment="1">
      <alignment vertical="top" wrapText="1"/>
    </xf>
    <xf numFmtId="0" fontId="11" fillId="8" borderId="44" xfId="0" applyFont="1" applyFill="1" applyBorder="1" applyAlignment="1">
      <alignment vertical="top" wrapText="1"/>
    </xf>
    <xf numFmtId="0" fontId="11" fillId="8" borderId="45" xfId="0" applyFont="1" applyFill="1" applyBorder="1" applyAlignment="1">
      <alignment vertical="top" wrapText="1"/>
    </xf>
    <xf numFmtId="0" fontId="11" fillId="8" borderId="0" xfId="0" applyFont="1" applyFill="1" applyAlignment="1">
      <alignment vertical="top" wrapText="1"/>
    </xf>
    <xf numFmtId="0" fontId="11" fillId="8" borderId="46" xfId="0" applyFont="1" applyFill="1" applyBorder="1" applyAlignment="1">
      <alignment vertical="top" wrapText="1"/>
    </xf>
    <xf numFmtId="0" fontId="11" fillId="8" borderId="47" xfId="0" applyFont="1" applyFill="1" applyBorder="1" applyAlignment="1">
      <alignment vertical="top" wrapText="1"/>
    </xf>
    <xf numFmtId="0" fontId="11" fillId="8" borderId="48" xfId="0" applyFont="1" applyFill="1" applyBorder="1" applyAlignment="1">
      <alignment vertical="top" wrapText="1"/>
    </xf>
    <xf numFmtId="0" fontId="11" fillId="8" borderId="49" xfId="0" applyFont="1" applyFill="1" applyBorder="1" applyAlignment="1">
      <alignment vertical="top" wrapText="1"/>
    </xf>
    <xf numFmtId="0" fontId="11" fillId="9" borderId="34" xfId="0" applyFont="1" applyFill="1" applyBorder="1" applyAlignment="1">
      <alignment vertical="top" wrapText="1"/>
    </xf>
    <xf numFmtId="0" fontId="11" fillId="9" borderId="35" xfId="0" applyFont="1" applyFill="1" applyBorder="1" applyAlignment="1">
      <alignment vertical="top" wrapText="1"/>
    </xf>
    <xf numFmtId="0" fontId="11" fillId="9" borderId="36" xfId="0" applyFont="1" applyFill="1" applyBorder="1" applyAlignment="1">
      <alignment vertical="top" wrapText="1"/>
    </xf>
    <xf numFmtId="0" fontId="11" fillId="9" borderId="37" xfId="0" applyFont="1" applyFill="1" applyBorder="1" applyAlignment="1">
      <alignment vertical="top" wrapText="1"/>
    </xf>
    <xf numFmtId="0" fontId="11" fillId="9" borderId="0" xfId="0" applyFont="1" applyFill="1" applyAlignment="1">
      <alignment vertical="top" wrapText="1"/>
    </xf>
    <xf numFmtId="0" fontId="11" fillId="9" borderId="38" xfId="0" applyFont="1" applyFill="1" applyBorder="1" applyAlignment="1">
      <alignment vertical="top" wrapText="1"/>
    </xf>
    <xf numFmtId="0" fontId="11" fillId="9" borderId="39" xfId="0" applyFont="1" applyFill="1" applyBorder="1" applyAlignment="1">
      <alignment vertical="top" wrapText="1"/>
    </xf>
    <xf numFmtId="0" fontId="11" fillId="9" borderId="40" xfId="0" applyFont="1" applyFill="1" applyBorder="1" applyAlignment="1">
      <alignment vertical="top" wrapText="1"/>
    </xf>
    <xf numFmtId="0" fontId="11" fillId="9" borderId="41" xfId="0" applyFont="1" applyFill="1" applyBorder="1" applyAlignment="1">
      <alignment vertical="top" wrapText="1"/>
    </xf>
    <xf numFmtId="1" fontId="9" fillId="5" borderId="26" xfId="0" applyNumberFormat="1" applyFont="1" applyFill="1" applyBorder="1" applyAlignment="1">
      <alignment horizontal="center" vertical="center"/>
    </xf>
    <xf numFmtId="1" fontId="9" fillId="5" borderId="27" xfId="0" applyNumberFormat="1" applyFont="1" applyFill="1" applyBorder="1" applyAlignment="1">
      <alignment horizontal="center" vertical="center"/>
    </xf>
    <xf numFmtId="1" fontId="9" fillId="5" borderId="28" xfId="0" applyNumberFormat="1" applyFont="1" applyFill="1" applyBorder="1" applyAlignment="1">
      <alignment horizontal="center" vertical="center"/>
    </xf>
    <xf numFmtId="1" fontId="9" fillId="5" borderId="29" xfId="0" applyNumberFormat="1" applyFont="1" applyFill="1" applyBorder="1" applyAlignment="1">
      <alignment horizontal="center" vertical="center"/>
    </xf>
    <xf numFmtId="1" fontId="9" fillId="5" borderId="0" xfId="0" applyNumberFormat="1" applyFont="1" applyFill="1" applyAlignment="1">
      <alignment horizontal="center" vertical="center"/>
    </xf>
    <xf numFmtId="1" fontId="9" fillId="5" borderId="30" xfId="0" applyNumberFormat="1" applyFont="1" applyFill="1" applyBorder="1" applyAlignment="1">
      <alignment horizontal="center" vertical="center"/>
    </xf>
    <xf numFmtId="1" fontId="9" fillId="5" borderId="31" xfId="0" applyNumberFormat="1" applyFont="1" applyFill="1" applyBorder="1" applyAlignment="1">
      <alignment horizontal="center" vertical="center"/>
    </xf>
    <xf numFmtId="1" fontId="9" fillId="5" borderId="32" xfId="0" applyNumberFormat="1" applyFont="1" applyFill="1" applyBorder="1" applyAlignment="1">
      <alignment horizontal="center" vertical="center"/>
    </xf>
    <xf numFmtId="1" fontId="9" fillId="5" borderId="33" xfId="0" applyNumberFormat="1" applyFont="1" applyFill="1" applyBorder="1" applyAlignment="1">
      <alignment horizontal="center" vertical="center"/>
    </xf>
    <xf numFmtId="3" fontId="9" fillId="6" borderId="34" xfId="0" applyNumberFormat="1" applyFont="1" applyFill="1" applyBorder="1" applyAlignment="1">
      <alignment horizontal="center" vertical="center"/>
    </xf>
    <xf numFmtId="3" fontId="9" fillId="6" borderId="35" xfId="0" applyNumberFormat="1" applyFont="1" applyFill="1" applyBorder="1" applyAlignment="1">
      <alignment horizontal="center" vertical="center"/>
    </xf>
    <xf numFmtId="3" fontId="9" fillId="6" borderId="36" xfId="0" applyNumberFormat="1" applyFont="1" applyFill="1" applyBorder="1" applyAlignment="1">
      <alignment horizontal="center" vertical="center"/>
    </xf>
    <xf numFmtId="3" fontId="9" fillId="6" borderId="37" xfId="0" applyNumberFormat="1" applyFont="1" applyFill="1" applyBorder="1" applyAlignment="1">
      <alignment horizontal="center" vertical="center"/>
    </xf>
    <xf numFmtId="3" fontId="9" fillId="6" borderId="0" xfId="0" applyNumberFormat="1" applyFont="1" applyFill="1" applyAlignment="1">
      <alignment horizontal="center" vertical="center"/>
    </xf>
    <xf numFmtId="3" fontId="9" fillId="6" borderId="38" xfId="0" applyNumberFormat="1" applyFont="1" applyFill="1" applyBorder="1" applyAlignment="1">
      <alignment horizontal="center" vertical="center"/>
    </xf>
    <xf numFmtId="3" fontId="9" fillId="6" borderId="39" xfId="0" applyNumberFormat="1" applyFont="1" applyFill="1" applyBorder="1" applyAlignment="1">
      <alignment horizontal="center" vertical="center"/>
    </xf>
    <xf numFmtId="3" fontId="9" fillId="6" borderId="40" xfId="0" applyNumberFormat="1" applyFont="1" applyFill="1" applyBorder="1" applyAlignment="1">
      <alignment horizontal="center" vertical="center"/>
    </xf>
    <xf numFmtId="3" fontId="9" fillId="6" borderId="41" xfId="0" applyNumberFormat="1" applyFont="1" applyFill="1" applyBorder="1" applyAlignment="1">
      <alignment horizontal="center" vertical="center"/>
    </xf>
    <xf numFmtId="9" fontId="9" fillId="4" borderId="18" xfId="0" applyNumberFormat="1" applyFont="1" applyFill="1" applyBorder="1" applyAlignment="1">
      <alignment horizontal="center" vertical="center"/>
    </xf>
    <xf numFmtId="9" fontId="9" fillId="4" borderId="19" xfId="0" applyNumberFormat="1" applyFont="1" applyFill="1" applyBorder="1" applyAlignment="1">
      <alignment horizontal="center" vertical="center"/>
    </xf>
    <xf numFmtId="9" fontId="9" fillId="4" borderId="20" xfId="0" applyNumberFormat="1" applyFont="1" applyFill="1" applyBorder="1" applyAlignment="1">
      <alignment horizontal="center" vertical="center"/>
    </xf>
    <xf numFmtId="9" fontId="9" fillId="4" borderId="21" xfId="0" applyNumberFormat="1" applyFont="1" applyFill="1" applyBorder="1" applyAlignment="1">
      <alignment horizontal="center" vertical="center"/>
    </xf>
    <xf numFmtId="9" fontId="9" fillId="4" borderId="0" xfId="0" applyNumberFormat="1" applyFont="1" applyFill="1" applyAlignment="1">
      <alignment horizontal="center" vertical="center"/>
    </xf>
    <xf numFmtId="9" fontId="9" fillId="4" borderId="22" xfId="0" applyNumberFormat="1" applyFont="1" applyFill="1" applyBorder="1" applyAlignment="1">
      <alignment horizontal="center" vertical="center"/>
    </xf>
    <xf numFmtId="9" fontId="9" fillId="4" borderId="23" xfId="0" applyNumberFormat="1" applyFont="1" applyFill="1" applyBorder="1" applyAlignment="1">
      <alignment horizontal="center" vertical="center"/>
    </xf>
    <xf numFmtId="9" fontId="9" fillId="4" borderId="24" xfId="0" applyNumberFormat="1" applyFont="1" applyFill="1" applyBorder="1" applyAlignment="1">
      <alignment horizontal="center" vertical="center"/>
    </xf>
    <xf numFmtId="9" fontId="9" fillId="4" borderId="25" xfId="0" applyNumberFormat="1" applyFont="1" applyFill="1" applyBorder="1" applyAlignment="1">
      <alignment horizontal="center" vertical="center"/>
    </xf>
    <xf numFmtId="166" fontId="9" fillId="4" borderId="18" xfId="0" applyNumberFormat="1" applyFont="1" applyFill="1" applyBorder="1" applyAlignment="1">
      <alignment horizontal="center" vertical="center"/>
    </xf>
    <xf numFmtId="166" fontId="9" fillId="4" borderId="19" xfId="0" applyNumberFormat="1" applyFont="1" applyFill="1" applyBorder="1" applyAlignment="1">
      <alignment horizontal="center" vertical="center"/>
    </xf>
    <xf numFmtId="166" fontId="9" fillId="4" borderId="20" xfId="0" applyNumberFormat="1" applyFont="1" applyFill="1" applyBorder="1" applyAlignment="1">
      <alignment horizontal="center" vertical="center"/>
    </xf>
    <xf numFmtId="166" fontId="9" fillId="4" borderId="21" xfId="0" applyNumberFormat="1" applyFont="1" applyFill="1" applyBorder="1" applyAlignment="1">
      <alignment horizontal="center" vertical="center"/>
    </xf>
    <xf numFmtId="166" fontId="9" fillId="4" borderId="0" xfId="0" applyNumberFormat="1" applyFont="1" applyFill="1" applyAlignment="1">
      <alignment horizontal="center" vertical="center"/>
    </xf>
    <xf numFmtId="166" fontId="9" fillId="4" borderId="22" xfId="0" applyNumberFormat="1" applyFont="1" applyFill="1" applyBorder="1" applyAlignment="1">
      <alignment horizontal="center" vertical="center"/>
    </xf>
    <xf numFmtId="166" fontId="9" fillId="4" borderId="23" xfId="0" applyNumberFormat="1" applyFont="1" applyFill="1" applyBorder="1" applyAlignment="1">
      <alignment horizontal="center" vertical="center"/>
    </xf>
    <xf numFmtId="166" fontId="9" fillId="4" borderId="24" xfId="0" applyNumberFormat="1" applyFont="1" applyFill="1" applyBorder="1" applyAlignment="1">
      <alignment horizontal="center" vertical="center"/>
    </xf>
    <xf numFmtId="166" fontId="9" fillId="4" borderId="25" xfId="0" applyNumberFormat="1" applyFont="1" applyFill="1" applyBorder="1" applyAlignment="1">
      <alignment horizontal="center" vertical="center"/>
    </xf>
    <xf numFmtId="165" fontId="9" fillId="5" borderId="26" xfId="0" applyNumberFormat="1" applyFont="1" applyFill="1" applyBorder="1" applyAlignment="1">
      <alignment horizontal="center" vertical="center"/>
    </xf>
    <xf numFmtId="165" fontId="9" fillId="5" borderId="27" xfId="0" applyNumberFormat="1" applyFont="1" applyFill="1" applyBorder="1" applyAlignment="1">
      <alignment horizontal="center" vertical="center"/>
    </xf>
    <xf numFmtId="165" fontId="9" fillId="5" borderId="28" xfId="0" applyNumberFormat="1" applyFont="1" applyFill="1" applyBorder="1" applyAlignment="1">
      <alignment horizontal="center" vertical="center"/>
    </xf>
    <xf numFmtId="165" fontId="9" fillId="5" borderId="29" xfId="0" applyNumberFormat="1" applyFont="1" applyFill="1" applyBorder="1" applyAlignment="1">
      <alignment horizontal="center" vertical="center"/>
    </xf>
    <xf numFmtId="165" fontId="9" fillId="5" borderId="0" xfId="0" applyNumberFormat="1" applyFont="1" applyFill="1" applyAlignment="1">
      <alignment horizontal="center" vertical="center"/>
    </xf>
    <xf numFmtId="165" fontId="9" fillId="5" borderId="30" xfId="0" applyNumberFormat="1" applyFont="1" applyFill="1" applyBorder="1" applyAlignment="1">
      <alignment horizontal="center" vertical="center"/>
    </xf>
    <xf numFmtId="165" fontId="9" fillId="5" borderId="31" xfId="0" applyNumberFormat="1" applyFont="1" applyFill="1" applyBorder="1" applyAlignment="1">
      <alignment horizontal="center" vertical="center"/>
    </xf>
    <xf numFmtId="165" fontId="9" fillId="5" borderId="32" xfId="0" applyNumberFormat="1" applyFont="1" applyFill="1" applyBorder="1" applyAlignment="1">
      <alignment horizontal="center" vertical="center"/>
    </xf>
    <xf numFmtId="165" fontId="9" fillId="5" borderId="33" xfId="0" applyNumberFormat="1" applyFont="1" applyFill="1" applyBorder="1" applyAlignment="1">
      <alignment horizontal="center" vertical="center"/>
    </xf>
    <xf numFmtId="0" fontId="1" fillId="2" borderId="1" xfId="0" applyFont="1" applyFill="1" applyBorder="1" applyAlignment="1">
      <alignment vertical="center" wrapText="1"/>
    </xf>
    <xf numFmtId="0" fontId="1" fillId="2" borderId="3" xfId="0" applyFont="1" applyFill="1" applyBorder="1" applyAlignment="1">
      <alignment vertical="center" wrapText="1"/>
    </xf>
    <xf numFmtId="0" fontId="1" fillId="2" borderId="2" xfId="0" applyFont="1" applyFill="1" applyBorder="1" applyAlignment="1">
      <alignment vertical="center" wrapText="1"/>
    </xf>
    <xf numFmtId="0" fontId="12" fillId="10" borderId="50" xfId="0" applyFont="1" applyFill="1" applyBorder="1" applyAlignment="1">
      <alignment vertical="center" wrapText="1"/>
    </xf>
    <xf numFmtId="0" fontId="12" fillId="10" borderId="51" xfId="0" applyFont="1" applyFill="1" applyBorder="1" applyAlignment="1">
      <alignment vertical="center" wrapText="1"/>
    </xf>
    <xf numFmtId="0" fontId="12" fillId="10" borderId="52" xfId="0" applyFont="1" applyFill="1" applyBorder="1" applyAlignment="1">
      <alignment vertical="center" wrapText="1"/>
    </xf>
    <xf numFmtId="0" fontId="12" fillId="11" borderId="50" xfId="0" applyFont="1" applyFill="1" applyBorder="1" applyAlignment="1">
      <alignment vertical="center" wrapText="1"/>
    </xf>
    <xf numFmtId="0" fontId="12" fillId="11" borderId="51" xfId="0" applyFont="1" applyFill="1" applyBorder="1" applyAlignment="1">
      <alignment vertical="center" wrapText="1"/>
    </xf>
    <xf numFmtId="0" fontId="12" fillId="11" borderId="52" xfId="0" applyFont="1" applyFill="1" applyBorder="1" applyAlignment="1">
      <alignment vertical="center" wrapText="1"/>
    </xf>
    <xf numFmtId="0" fontId="13" fillId="10" borderId="50" xfId="0" applyFont="1" applyFill="1" applyBorder="1" applyAlignment="1">
      <alignment horizontal="left" vertical="center"/>
    </xf>
    <xf numFmtId="0" fontId="13" fillId="10" borderId="51" xfId="0" applyFont="1" applyFill="1" applyBorder="1" applyAlignment="1">
      <alignment horizontal="left" vertical="center"/>
    </xf>
    <xf numFmtId="0" fontId="10" fillId="10" borderId="50" xfId="0" applyFont="1" applyFill="1" applyBorder="1" applyAlignment="1">
      <alignment horizontal="center" vertical="center"/>
    </xf>
    <xf numFmtId="0" fontId="10" fillId="10" borderId="51" xfId="0" applyFont="1" applyFill="1" applyBorder="1" applyAlignment="1">
      <alignment horizontal="center" vertical="center"/>
    </xf>
    <xf numFmtId="0" fontId="13" fillId="11" borderId="50" xfId="0" applyFont="1" applyFill="1" applyBorder="1" applyAlignment="1">
      <alignment horizontal="left" vertical="center"/>
    </xf>
    <xf numFmtId="0" fontId="13" fillId="11" borderId="51" xfId="0" applyFont="1" applyFill="1" applyBorder="1" applyAlignment="1">
      <alignment horizontal="left" vertical="center"/>
    </xf>
    <xf numFmtId="0" fontId="10" fillId="11" borderId="50" xfId="0" applyFont="1" applyFill="1" applyBorder="1" applyAlignment="1">
      <alignment horizontal="center" vertical="center"/>
    </xf>
    <xf numFmtId="0" fontId="10" fillId="11" borderId="51" xfId="0" applyFont="1" applyFill="1" applyBorder="1" applyAlignment="1">
      <alignment horizontal="center" vertical="center"/>
    </xf>
    <xf numFmtId="166" fontId="9" fillId="5" borderId="26" xfId="0" applyNumberFormat="1" applyFont="1" applyFill="1" applyBorder="1" applyAlignment="1">
      <alignment horizontal="center" vertical="center"/>
    </xf>
    <xf numFmtId="166" fontId="9" fillId="5" borderId="27" xfId="0" applyNumberFormat="1" applyFont="1" applyFill="1" applyBorder="1" applyAlignment="1">
      <alignment horizontal="center" vertical="center"/>
    </xf>
    <xf numFmtId="166" fontId="9" fillId="5" borderId="28" xfId="0" applyNumberFormat="1" applyFont="1" applyFill="1" applyBorder="1" applyAlignment="1">
      <alignment horizontal="center" vertical="center"/>
    </xf>
    <xf numFmtId="166" fontId="9" fillId="5" borderId="29" xfId="0" applyNumberFormat="1" applyFont="1" applyFill="1" applyBorder="1" applyAlignment="1">
      <alignment horizontal="center" vertical="center"/>
    </xf>
    <xf numFmtId="166" fontId="9" fillId="5" borderId="0" xfId="0" applyNumberFormat="1" applyFont="1" applyFill="1" applyAlignment="1">
      <alignment horizontal="center" vertical="center"/>
    </xf>
    <xf numFmtId="166" fontId="9" fillId="5" borderId="30" xfId="0" applyNumberFormat="1" applyFont="1" applyFill="1" applyBorder="1" applyAlignment="1">
      <alignment horizontal="center" vertical="center"/>
    </xf>
    <xf numFmtId="166" fontId="9" fillId="5" borderId="31" xfId="0" applyNumberFormat="1" applyFont="1" applyFill="1" applyBorder="1" applyAlignment="1">
      <alignment horizontal="center" vertical="center"/>
    </xf>
    <xf numFmtId="166" fontId="9" fillId="5" borderId="32" xfId="0" applyNumberFormat="1" applyFont="1" applyFill="1" applyBorder="1" applyAlignment="1">
      <alignment horizontal="center" vertical="center"/>
    </xf>
    <xf numFmtId="166" fontId="9" fillId="5" borderId="33" xfId="0" applyNumberFormat="1" applyFont="1" applyFill="1" applyBorder="1" applyAlignment="1">
      <alignment horizontal="center" vertical="center"/>
    </xf>
    <xf numFmtId="166" fontId="9" fillId="2" borderId="10" xfId="0" applyNumberFormat="1" applyFont="1" applyFill="1" applyBorder="1" applyAlignment="1">
      <alignment horizontal="center" vertical="center"/>
    </xf>
    <xf numFmtId="166" fontId="9" fillId="2" borderId="11" xfId="0" applyNumberFormat="1" applyFont="1" applyFill="1" applyBorder="1" applyAlignment="1">
      <alignment horizontal="center" vertical="center"/>
    </xf>
    <xf numFmtId="166" fontId="9" fillId="2" borderId="12" xfId="0" applyNumberFormat="1" applyFont="1" applyFill="1" applyBorder="1" applyAlignment="1">
      <alignment horizontal="center" vertical="center"/>
    </xf>
    <xf numFmtId="166" fontId="9" fillId="2" borderId="13" xfId="0" applyNumberFormat="1" applyFont="1" applyFill="1" applyBorder="1" applyAlignment="1">
      <alignment horizontal="center" vertical="center"/>
    </xf>
    <xf numFmtId="166" fontId="9" fillId="2" borderId="0" xfId="0" applyNumberFormat="1" applyFont="1" applyFill="1" applyAlignment="1">
      <alignment horizontal="center" vertical="center"/>
    </xf>
    <xf numFmtId="166" fontId="9" fillId="2" borderId="14" xfId="0" applyNumberFormat="1" applyFont="1" applyFill="1" applyBorder="1" applyAlignment="1">
      <alignment horizontal="center" vertical="center"/>
    </xf>
    <xf numFmtId="166" fontId="9" fillId="2" borderId="15" xfId="0" applyNumberFormat="1" applyFont="1" applyFill="1" applyBorder="1" applyAlignment="1">
      <alignment horizontal="center" vertical="center"/>
    </xf>
    <xf numFmtId="166" fontId="9" fillId="2" borderId="16" xfId="0" applyNumberFormat="1" applyFont="1" applyFill="1" applyBorder="1" applyAlignment="1">
      <alignment horizontal="center" vertical="center"/>
    </xf>
    <xf numFmtId="166" fontId="9" fillId="2" borderId="17" xfId="0" applyNumberFormat="1" applyFont="1" applyFill="1" applyBorder="1" applyAlignment="1">
      <alignment horizontal="center" vertical="center"/>
    </xf>
    <xf numFmtId="165" fontId="9" fillId="4" borderId="18" xfId="0" applyNumberFormat="1" applyFont="1" applyFill="1" applyBorder="1" applyAlignment="1">
      <alignment horizontal="center" vertical="center"/>
    </xf>
    <xf numFmtId="165" fontId="9" fillId="4" borderId="19" xfId="0" applyNumberFormat="1" applyFont="1" applyFill="1" applyBorder="1" applyAlignment="1">
      <alignment horizontal="center" vertical="center"/>
    </xf>
    <xf numFmtId="165" fontId="9" fillId="4" borderId="20" xfId="0" applyNumberFormat="1" applyFont="1" applyFill="1" applyBorder="1" applyAlignment="1">
      <alignment horizontal="center" vertical="center"/>
    </xf>
    <xf numFmtId="165" fontId="9" fillId="4" borderId="21" xfId="0" applyNumberFormat="1" applyFont="1" applyFill="1" applyBorder="1" applyAlignment="1">
      <alignment horizontal="center" vertical="center"/>
    </xf>
    <xf numFmtId="165" fontId="9" fillId="4" borderId="0" xfId="0" applyNumberFormat="1" applyFont="1" applyFill="1" applyAlignment="1">
      <alignment horizontal="center" vertical="center"/>
    </xf>
    <xf numFmtId="165" fontId="9" fillId="4" borderId="22" xfId="0" applyNumberFormat="1" applyFont="1" applyFill="1" applyBorder="1" applyAlignment="1">
      <alignment horizontal="center" vertical="center"/>
    </xf>
    <xf numFmtId="165" fontId="9" fillId="4" borderId="23" xfId="0" applyNumberFormat="1" applyFont="1" applyFill="1" applyBorder="1" applyAlignment="1">
      <alignment horizontal="center" vertical="center"/>
    </xf>
    <xf numFmtId="165" fontId="9" fillId="4" borderId="24" xfId="0" applyNumberFormat="1" applyFont="1" applyFill="1" applyBorder="1" applyAlignment="1">
      <alignment horizontal="center" vertical="center"/>
    </xf>
    <xf numFmtId="165" fontId="9" fillId="4" borderId="25" xfId="0" applyNumberFormat="1" applyFont="1" applyFill="1" applyBorder="1" applyAlignment="1">
      <alignment horizontal="center" vertical="center"/>
    </xf>
    <xf numFmtId="165" fontId="9" fillId="6" borderId="34" xfId="0" applyNumberFormat="1" applyFont="1" applyFill="1" applyBorder="1" applyAlignment="1">
      <alignment horizontal="center" vertical="center"/>
    </xf>
    <xf numFmtId="165" fontId="9" fillId="6" borderId="36" xfId="0" applyNumberFormat="1" applyFont="1" applyFill="1" applyBorder="1" applyAlignment="1">
      <alignment horizontal="center" vertical="center"/>
    </xf>
    <xf numFmtId="165" fontId="9" fillId="6" borderId="37" xfId="0" applyNumberFormat="1" applyFont="1" applyFill="1" applyBorder="1" applyAlignment="1">
      <alignment horizontal="center" vertical="center"/>
    </xf>
    <xf numFmtId="165" fontId="9" fillId="6" borderId="38" xfId="0" applyNumberFormat="1" applyFont="1" applyFill="1" applyBorder="1" applyAlignment="1">
      <alignment horizontal="center" vertical="center"/>
    </xf>
    <xf numFmtId="165" fontId="9" fillId="6" borderId="39" xfId="0" applyNumberFormat="1" applyFont="1" applyFill="1" applyBorder="1" applyAlignment="1">
      <alignment horizontal="center" vertical="center"/>
    </xf>
    <xf numFmtId="165" fontId="9" fillId="6" borderId="41" xfId="0" applyNumberFormat="1" applyFont="1" applyFill="1" applyBorder="1" applyAlignment="1">
      <alignment horizontal="center" vertical="center"/>
    </xf>
    <xf numFmtId="0" fontId="11" fillId="13" borderId="42" xfId="0" applyFont="1" applyFill="1" applyBorder="1" applyAlignment="1">
      <alignment vertical="top" wrapText="1"/>
    </xf>
    <xf numFmtId="0" fontId="11" fillId="13" borderId="43" xfId="0" applyFont="1" applyFill="1" applyBorder="1" applyAlignment="1">
      <alignment vertical="top" wrapText="1"/>
    </xf>
    <xf numFmtId="0" fontId="11" fillId="13" borderId="44" xfId="0" applyFont="1" applyFill="1" applyBorder="1" applyAlignment="1">
      <alignment vertical="top" wrapText="1"/>
    </xf>
    <xf numFmtId="0" fontId="11" fillId="13" borderId="45" xfId="0" applyFont="1" applyFill="1" applyBorder="1" applyAlignment="1">
      <alignment vertical="top" wrapText="1"/>
    </xf>
    <xf numFmtId="0" fontId="11" fillId="13" borderId="0" xfId="0" applyFont="1" applyFill="1" applyAlignment="1">
      <alignment vertical="top" wrapText="1"/>
    </xf>
    <xf numFmtId="0" fontId="11" fillId="13" borderId="46" xfId="0" applyFont="1" applyFill="1" applyBorder="1" applyAlignment="1">
      <alignment vertical="top" wrapText="1"/>
    </xf>
    <xf numFmtId="0" fontId="11" fillId="13" borderId="47" xfId="0" applyFont="1" applyFill="1" applyBorder="1" applyAlignment="1">
      <alignment vertical="top" wrapText="1"/>
    </xf>
    <xf numFmtId="0" fontId="11" fillId="13" borderId="48" xfId="0" applyFont="1" applyFill="1" applyBorder="1" applyAlignment="1">
      <alignment vertical="top" wrapText="1"/>
    </xf>
    <xf numFmtId="0" fontId="11" fillId="13" borderId="49" xfId="0" applyFont="1" applyFill="1" applyBorder="1" applyAlignment="1">
      <alignment vertical="top" wrapText="1"/>
    </xf>
  </cellXfs>
  <cellStyles count="1">
    <cellStyle name="Normal" xfId="0" builtinId="0"/>
  </cellStyles>
  <dxfs count="18">
    <dxf>
      <font>
        <b/>
        <color rgb="FF1A5D1A"/>
      </font>
      <fill>
        <patternFill patternType="solid">
          <bgColor rgb="FFD9F2D9"/>
        </patternFill>
      </fill>
    </dxf>
    <dxf>
      <font>
        <b/>
        <color rgb="FF1A5D1A"/>
      </font>
      <fill>
        <patternFill patternType="solid">
          <bgColor rgb="FFD9F2D9"/>
        </patternFill>
      </fill>
    </dxf>
    <dxf>
      <font>
        <b/>
        <color rgb="FFC0392B"/>
      </font>
      <fill>
        <patternFill patternType="solid">
          <bgColor rgb="FFFDECEC"/>
        </patternFill>
      </fill>
    </dxf>
    <dxf>
      <font>
        <color rgb="FF8B5A00"/>
      </font>
      <fill>
        <patternFill patternType="solid">
          <bgColor rgb="FFFFF4D6"/>
        </patternFill>
      </fill>
    </dxf>
    <dxf>
      <font>
        <color rgb="FFC0392B"/>
      </font>
      <fill>
        <patternFill patternType="solid">
          <bgColor rgb="FFFDECEC"/>
        </patternFill>
      </fill>
    </dxf>
    <dxf>
      <font>
        <color rgb="FF8B5A00"/>
      </font>
      <fill>
        <patternFill patternType="solid">
          <bgColor rgb="FFFFF4D6"/>
        </patternFill>
      </fill>
    </dxf>
    <dxf>
      <font>
        <b/>
        <color rgb="FFC0392B"/>
      </font>
      <fill>
        <patternFill patternType="solid">
          <bgColor rgb="FFFDECEC"/>
        </patternFill>
      </fill>
    </dxf>
    <dxf>
      <font>
        <b/>
        <color rgb="FFC0392B"/>
      </font>
      <fill>
        <patternFill patternType="solid">
          <bgColor rgb="FFFDECEC"/>
        </patternFill>
      </fill>
    </dxf>
    <dxf>
      <font>
        <b/>
        <color rgb="FFC0392B"/>
      </font>
      <fill>
        <patternFill patternType="solid">
          <bgColor rgb="FFFDECEC"/>
        </patternFill>
      </fill>
    </dxf>
    <dxf>
      <font>
        <b/>
        <color rgb="FF1A5D1A"/>
      </font>
      <fill>
        <patternFill patternType="solid">
          <bgColor rgb="FFD9F2D9"/>
        </patternFill>
      </fill>
    </dxf>
    <dxf>
      <font>
        <b/>
        <color rgb="FFC0392B"/>
      </font>
      <fill>
        <patternFill patternType="solid">
          <bgColor rgb="FFFDECEC"/>
        </patternFill>
      </fill>
    </dxf>
    <dxf>
      <font>
        <b/>
        <color rgb="FFC0392B"/>
      </font>
      <fill>
        <patternFill patternType="solid">
          <bgColor rgb="FFFDECEC"/>
        </patternFill>
      </fill>
    </dxf>
    <dxf>
      <font>
        <b/>
        <color rgb="FF1A5D1A"/>
      </font>
      <fill>
        <patternFill patternType="solid">
          <bgColor rgb="FFD9F2D9"/>
        </patternFill>
      </fill>
    </dxf>
    <dxf>
      <font>
        <b/>
        <color rgb="FFC0392B"/>
      </font>
      <fill>
        <patternFill patternType="solid">
          <bgColor rgb="FFFDECEC"/>
        </patternFill>
      </fill>
    </dxf>
    <dxf>
      <font>
        <b/>
        <color rgb="FF1A5D1A"/>
      </font>
      <fill>
        <patternFill patternType="solid">
          <bgColor rgb="FFD9F2D9"/>
        </patternFill>
      </fill>
    </dxf>
    <dxf>
      <font>
        <b/>
        <color rgb="FF8B5A00"/>
      </font>
      <fill>
        <patternFill patternType="solid">
          <bgColor rgb="FFFFF4D6"/>
        </patternFill>
      </fill>
    </dxf>
    <dxf>
      <font>
        <b/>
        <color rgb="FFC0392B"/>
      </font>
      <fill>
        <patternFill patternType="solid">
          <bgColor rgb="FFFDECEC"/>
        </patternFill>
      </fill>
    </dxf>
    <dxf>
      <font>
        <b/>
        <color rgb="FF1A5D1A"/>
      </font>
      <fill>
        <patternFill patternType="solid">
          <bgColor rgb="FFD9F2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Top 15 : Cameroun et Sénégal dominent nettement</a:t>
            </a:r>
          </a:p>
        </c:rich>
      </c:tx>
      <c:overlay val="0"/>
    </c:title>
    <c:autoTitleDeleted val="0"/>
    <c:plotArea>
      <c:layout/>
      <c:barChart>
        <c:barDir val="col"/>
        <c:grouping val="clustered"/>
        <c:varyColors val="0"/>
        <c:ser>
          <c:idx val="0"/>
          <c:order val="0"/>
          <c:tx>
            <c:v>Articles nationaux</c:v>
          </c:tx>
          <c:invertIfNegative val="1"/>
          <c:cat>
            <c:strRef>
              <c:f>'Tableau de bord'!$A$12:$A$26</c:f>
              <c:strCache>
                <c:ptCount val="15"/>
                <c:pt idx="0">
                  <c:v>Cameroun</c:v>
                </c:pt>
                <c:pt idx="1">
                  <c:v>Sénégal</c:v>
                </c:pt>
                <c:pt idx="2">
                  <c:v>Côte d’Ivoire</c:v>
                </c:pt>
                <c:pt idx="3">
                  <c:v>Kenya</c:v>
                </c:pt>
                <c:pt idx="4">
                  <c:v>Burkina Faso</c:v>
                </c:pt>
                <c:pt idx="5">
                  <c:v>Afrique du Sud</c:v>
                </c:pt>
                <c:pt idx="6">
                  <c:v>Nigeria</c:v>
                </c:pt>
                <c:pt idx="7">
                  <c:v>Tchad</c:v>
                </c:pt>
                <c:pt idx="8">
                  <c:v>RDC</c:v>
                </c:pt>
                <c:pt idx="9">
                  <c:v>Maroc</c:v>
                </c:pt>
                <c:pt idx="10">
                  <c:v>Togo</c:v>
                </c:pt>
                <c:pt idx="11">
                  <c:v>Tanzanie</c:v>
                </c:pt>
                <c:pt idx="12">
                  <c:v>Niger</c:v>
                </c:pt>
                <c:pt idx="13">
                  <c:v>Ouganda</c:v>
                </c:pt>
                <c:pt idx="14">
                  <c:v>Rwanda</c:v>
                </c:pt>
              </c:strCache>
            </c:strRef>
          </c:cat>
          <c:val>
            <c:numRef>
              <c:f>'Tableau de bord'!$B$12:$B$26</c:f>
              <c:numCache>
                <c:formatCode>General</c:formatCode>
                <c:ptCount val="15"/>
                <c:pt idx="0">
                  <c:v>112</c:v>
                </c:pt>
                <c:pt idx="1">
                  <c:v>74</c:v>
                </c:pt>
                <c:pt idx="2">
                  <c:v>46</c:v>
                </c:pt>
                <c:pt idx="3">
                  <c:v>39</c:v>
                </c:pt>
                <c:pt idx="4">
                  <c:v>24</c:v>
                </c:pt>
                <c:pt idx="5">
                  <c:v>23</c:v>
                </c:pt>
                <c:pt idx="6">
                  <c:v>23</c:v>
                </c:pt>
                <c:pt idx="7">
                  <c:v>20</c:v>
                </c:pt>
                <c:pt idx="8">
                  <c:v>16</c:v>
                </c:pt>
                <c:pt idx="9">
                  <c:v>15</c:v>
                </c:pt>
                <c:pt idx="10">
                  <c:v>12</c:v>
                </c:pt>
                <c:pt idx="11">
                  <c:v>11</c:v>
                </c:pt>
                <c:pt idx="12">
                  <c:v>10</c:v>
                </c:pt>
                <c:pt idx="13">
                  <c:v>10</c:v>
                </c:pt>
                <c:pt idx="14">
                  <c:v>10</c:v>
                </c:pt>
              </c:numCache>
            </c:numRef>
          </c:val>
          <c:extLst>
            <c:ext xmlns:c16="http://schemas.microsoft.com/office/drawing/2014/chart" uri="{C3380CC4-5D6E-409C-BE32-E72D297353CC}">
              <c16:uniqueId val="{00000000-AE7B-4D4E-9487-FCC1928CA4C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KE"/>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Couverture nationale par région</a:t>
            </a:r>
          </a:p>
        </c:rich>
      </c:tx>
      <c:overlay val="0"/>
    </c:title>
    <c:autoTitleDeleted val="0"/>
    <c:plotArea>
      <c:layout/>
      <c:barChart>
        <c:barDir val="col"/>
        <c:grouping val="clustered"/>
        <c:varyColors val="0"/>
        <c:ser>
          <c:idx val="0"/>
          <c:order val="0"/>
          <c:tx>
            <c:v>Articles</c:v>
          </c:tx>
          <c:invertIfNegative val="1"/>
          <c:cat>
            <c:strRef>
              <c:f>'Tableau de bord'!$N$12:$N$16</c:f>
              <c:strCache>
                <c:ptCount val="5"/>
                <c:pt idx="0">
                  <c:v>Afrique centrale</c:v>
                </c:pt>
                <c:pt idx="1">
                  <c:v>Afrique de l'Ouest</c:v>
                </c:pt>
                <c:pt idx="2">
                  <c:v>Afrique de l'Est</c:v>
                </c:pt>
                <c:pt idx="3">
                  <c:v>Afrique australe</c:v>
                </c:pt>
                <c:pt idx="4">
                  <c:v>Afrique du Nord</c:v>
                </c:pt>
              </c:strCache>
            </c:strRef>
          </c:cat>
          <c:val>
            <c:numRef>
              <c:f>'Tableau de bord'!$O$12:$O$16</c:f>
              <c:numCache>
                <c:formatCode>General</c:formatCode>
                <c:ptCount val="5"/>
                <c:pt idx="0">
                  <c:v>163</c:v>
                </c:pt>
                <c:pt idx="1">
                  <c:v>214</c:v>
                </c:pt>
                <c:pt idx="2">
                  <c:v>96</c:v>
                </c:pt>
                <c:pt idx="3">
                  <c:v>41</c:v>
                </c:pt>
                <c:pt idx="4">
                  <c:v>37</c:v>
                </c:pt>
              </c:numCache>
            </c:numRef>
          </c:val>
          <c:extLst>
            <c:ext xmlns:c16="http://schemas.microsoft.com/office/drawing/2014/chart" uri="{C3380CC4-5D6E-409C-BE32-E72D297353CC}">
              <c16:uniqueId val="{00000000-B3C6-409F-B1F1-26BFDC48B2B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KE"/>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Une production très concentrée sur un auteur</a:t>
            </a:r>
          </a:p>
        </c:rich>
      </c:tx>
      <c:overlay val="0"/>
    </c:title>
    <c:autoTitleDeleted val="0"/>
    <c:plotArea>
      <c:layout/>
      <c:barChart>
        <c:barDir val="col"/>
        <c:grouping val="clustered"/>
        <c:varyColors val="0"/>
        <c:ser>
          <c:idx val="0"/>
          <c:order val="0"/>
          <c:tx>
            <c:v>Articles</c:v>
          </c:tx>
          <c:invertIfNegative val="1"/>
          <c:cat>
            <c:strRef>
              <c:f>'Vue journalistique'!$A$12:$A$16</c:f>
              <c:strCache>
                <c:ptCount val="5"/>
                <c:pt idx="0">
                  <c:v>Malick Kane</c:v>
                </c:pt>
                <c:pt idx="1">
                  <c:v>Flora J. Ingah</c:v>
                </c:pt>
                <c:pt idx="2">
                  <c:v>Mac Juliette Johngwe</c:v>
                </c:pt>
                <c:pt idx="3">
                  <c:v>Simon Yaya</c:v>
                </c:pt>
                <c:pt idx="4">
                  <c:v>Absan Bibou</c:v>
                </c:pt>
              </c:strCache>
            </c:strRef>
          </c:cat>
          <c:val>
            <c:numRef>
              <c:f>'Vue journalistique'!$B$12:$B$16</c:f>
              <c:numCache>
                <c:formatCode>#,##0</c:formatCode>
                <c:ptCount val="5"/>
                <c:pt idx="0">
                  <c:v>798</c:v>
                </c:pt>
                <c:pt idx="1">
                  <c:v>87</c:v>
                </c:pt>
                <c:pt idx="2">
                  <c:v>85</c:v>
                </c:pt>
                <c:pt idx="3">
                  <c:v>67</c:v>
                </c:pt>
                <c:pt idx="4">
                  <c:v>7</c:v>
                </c:pt>
              </c:numCache>
            </c:numRef>
          </c:val>
          <c:extLst>
            <c:ext xmlns:c16="http://schemas.microsoft.com/office/drawing/2014/chart" uri="{C3380CC4-5D6E-409C-BE32-E72D297353CC}">
              <c16:uniqueId val="{00000000-9DF3-4E02-A8A0-631F3E66DE8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KE"/>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Mix recommandé des formats</a:t>
            </a:r>
          </a:p>
        </c:rich>
      </c:tx>
      <c:overlay val="0"/>
    </c:title>
    <c:autoTitleDeleted val="0"/>
    <c:plotArea>
      <c:layout/>
      <c:barChart>
        <c:barDir val="col"/>
        <c:grouping val="clustered"/>
        <c:varyColors val="0"/>
        <c:ser>
          <c:idx val="0"/>
          <c:order val="0"/>
          <c:tx>
            <c:v>Part cible</c:v>
          </c:tx>
          <c:spPr>
            <a:solidFill>
              <a:srgbClr val="1A6A8B"/>
            </a:solidFill>
          </c:spPr>
          <c:invertIfNegative val="1"/>
          <c:cat>
            <c:strRef>
              <c:f>'Rubriques éditoriales'!$A$11:$A$20</c:f>
              <c:strCache>
                <c:ptCount val="10"/>
                <c:pt idx="0">
                  <c:v>Alerte sanitaire / Breaking news</c:v>
                </c:pt>
                <c:pt idx="1">
                  <c:v>Actualité nationale</c:v>
                </c:pt>
                <c:pt idx="2">
                  <c:v>Analyse / décryptage</c:v>
                </c:pt>
                <c:pt idx="3">
                  <c:v>Reportage terrain</c:v>
                </c:pt>
                <c:pt idx="4">
                  <c:v>Entretien / Q&amp;A</c:v>
                </c:pt>
                <c:pt idx="5">
                  <c:v>Guide pratique / fiche technique</c:v>
                </c:pt>
                <c:pt idx="6">
                  <c:v>Data story / cartographie</c:v>
                </c:pt>
                <c:pt idx="7">
                  <c:v>Dossier thématique</c:v>
                </c:pt>
                <c:pt idx="8">
                  <c:v>Opportunités / appels</c:v>
                </c:pt>
                <c:pt idx="9">
                  <c:v>Fact-check / correction</c:v>
                </c:pt>
              </c:strCache>
            </c:strRef>
          </c:cat>
          <c:val>
            <c:numRef>
              <c:f>'Rubriques éditoriales'!$C$11:$C$20</c:f>
              <c:numCache>
                <c:formatCode>0%</c:formatCode>
                <c:ptCount val="10"/>
                <c:pt idx="0">
                  <c:v>0.12</c:v>
                </c:pt>
                <c:pt idx="1">
                  <c:v>0.23</c:v>
                </c:pt>
                <c:pt idx="2">
                  <c:v>0.15</c:v>
                </c:pt>
                <c:pt idx="3">
                  <c:v>0.1</c:v>
                </c:pt>
                <c:pt idx="4">
                  <c:v>0.08</c:v>
                </c:pt>
                <c:pt idx="5">
                  <c:v>0.1</c:v>
                </c:pt>
                <c:pt idx="6">
                  <c:v>7.0000000000000007E-2</c:v>
                </c:pt>
                <c:pt idx="7">
                  <c:v>0.05</c:v>
                </c:pt>
                <c:pt idx="8">
                  <c:v>0.05</c:v>
                </c:pt>
                <c:pt idx="9">
                  <c:v>0.05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E7FD-4453-8932-980A65FA808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00"/>
            </a:pPr>
            <a:endParaRPr lang="en-KE"/>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Afrique centrale et de l’Ouest concentrent l’essentiel de la couverture</a:t>
            </a:r>
          </a:p>
        </c:rich>
      </c:tx>
      <c:overlay val="0"/>
    </c:title>
    <c:autoTitleDeleted val="0"/>
    <c:plotArea>
      <c:layout/>
      <c:barChart>
        <c:barDir val="col"/>
        <c:grouping val="clustered"/>
        <c:varyColors val="0"/>
        <c:ser>
          <c:idx val="0"/>
          <c:order val="0"/>
          <c:tx>
            <c:v>Articles nationaux</c:v>
          </c:tx>
          <c:spPr>
            <a:solidFill>
              <a:srgbClr val="1A6A8B"/>
            </a:solidFill>
          </c:spPr>
          <c:invertIfNegative val="1"/>
          <c:cat>
            <c:strRef>
              <c:f>'Analyse régions'!$A$5:$A$9</c:f>
              <c:strCache>
                <c:ptCount val="5"/>
                <c:pt idx="0">
                  <c:v>Afrique centrale</c:v>
                </c:pt>
                <c:pt idx="1">
                  <c:v>Afrique de l'Ouest</c:v>
                </c:pt>
                <c:pt idx="2">
                  <c:v>Afrique de l'Est</c:v>
                </c:pt>
                <c:pt idx="3">
                  <c:v>Afrique australe</c:v>
                </c:pt>
                <c:pt idx="4">
                  <c:v>Afrique du Nord</c:v>
                </c:pt>
              </c:strCache>
            </c:strRef>
          </c:cat>
          <c:val>
            <c:numRef>
              <c:f>'Analyse régions'!$C$5:$C$9</c:f>
              <c:numCache>
                <c:formatCode>#,##0</c:formatCode>
                <c:ptCount val="5"/>
                <c:pt idx="0">
                  <c:v>163</c:v>
                </c:pt>
                <c:pt idx="1">
                  <c:v>214</c:v>
                </c:pt>
                <c:pt idx="2">
                  <c:v>96</c:v>
                </c:pt>
                <c:pt idx="3">
                  <c:v>41</c:v>
                </c:pt>
                <c:pt idx="4">
                  <c:v>37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52A2-40FC-B3C5-DB452AFB298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KE"/>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La production s’accélère depuis 2022</a:t>
            </a:r>
          </a:p>
        </c:rich>
      </c:tx>
      <c:overlay val="0"/>
    </c:title>
    <c:autoTitleDeleted val="0"/>
    <c:plotArea>
      <c:layout/>
      <c:lineChart>
        <c:grouping val="standard"/>
        <c:varyColors val="0"/>
        <c:ser>
          <c:idx val="0"/>
          <c:order val="0"/>
          <c:tx>
            <c:v>Articles</c:v>
          </c:tx>
          <c:marker>
            <c:symbol val="none"/>
          </c:marker>
          <c:cat>
            <c:numRef>
              <c:f>'Thèmes et années'!$E$6:$E$13</c:f>
              <c:numCache>
                <c:formatCode>General</c:formatCode>
                <c:ptCount val="8"/>
                <c:pt idx="0">
                  <c:v>2019</c:v>
                </c:pt>
                <c:pt idx="1">
                  <c:v>2020</c:v>
                </c:pt>
                <c:pt idx="2">
                  <c:v>2021</c:v>
                </c:pt>
                <c:pt idx="3">
                  <c:v>2022</c:v>
                </c:pt>
                <c:pt idx="4">
                  <c:v>2023</c:v>
                </c:pt>
                <c:pt idx="5">
                  <c:v>2024</c:v>
                </c:pt>
                <c:pt idx="6">
                  <c:v>2025</c:v>
                </c:pt>
                <c:pt idx="7">
                  <c:v>2026</c:v>
                </c:pt>
              </c:numCache>
            </c:numRef>
          </c:cat>
          <c:val>
            <c:numRef>
              <c:f>'Thèmes et années'!$F$6:$F$13</c:f>
              <c:numCache>
                <c:formatCode>General</c:formatCode>
                <c:ptCount val="8"/>
                <c:pt idx="0">
                  <c:v>8</c:v>
                </c:pt>
                <c:pt idx="1">
                  <c:v>7</c:v>
                </c:pt>
                <c:pt idx="2">
                  <c:v>11</c:v>
                </c:pt>
                <c:pt idx="3">
                  <c:v>70</c:v>
                </c:pt>
                <c:pt idx="4">
                  <c:v>138</c:v>
                </c:pt>
                <c:pt idx="5">
                  <c:v>267</c:v>
                </c:pt>
                <c:pt idx="6">
                  <c:v>242</c:v>
                </c:pt>
                <c:pt idx="7">
                  <c:v>301</c:v>
                </c:pt>
              </c:numCache>
            </c:numRef>
          </c:val>
          <c:smooth val="0"/>
          <c:extLst>
            <c:ext xmlns:c16="http://schemas.microsoft.com/office/drawing/2014/chart" uri="{C3380CC4-5D6E-409C-BE32-E72D297353CC}">
              <c16:uniqueId val="{00000000-ABF3-4680-B214-5CE2ACCA24B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Articles publiés par auteur</a:t>
            </a:r>
          </a:p>
        </c:rich>
      </c:tx>
      <c:overlay val="0"/>
    </c:title>
    <c:autoTitleDeleted val="0"/>
    <c:plotArea>
      <c:layout/>
      <c:barChart>
        <c:barDir val="col"/>
        <c:grouping val="clustered"/>
        <c:varyColors val="0"/>
        <c:ser>
          <c:idx val="0"/>
          <c:order val="0"/>
          <c:tx>
            <c:v>Articles</c:v>
          </c:tx>
          <c:invertIfNegative val="1"/>
          <c:cat>
            <c:strRef>
              <c:f>Auteurs!$A$5:$A$9</c:f>
              <c:strCache>
                <c:ptCount val="5"/>
                <c:pt idx="0">
                  <c:v>Malick Kane</c:v>
                </c:pt>
                <c:pt idx="1">
                  <c:v>Flora J. Ingah</c:v>
                </c:pt>
                <c:pt idx="2">
                  <c:v>Mac Juliette Johngwe</c:v>
                </c:pt>
                <c:pt idx="3">
                  <c:v>Simon Yaya</c:v>
                </c:pt>
                <c:pt idx="4">
                  <c:v>Absan Bibou</c:v>
                </c:pt>
              </c:strCache>
            </c:strRef>
          </c:cat>
          <c:val>
            <c:numRef>
              <c:f>Auteurs!$B$5:$B$9</c:f>
              <c:numCache>
                <c:formatCode>General</c:formatCode>
                <c:ptCount val="5"/>
                <c:pt idx="0">
                  <c:v>798</c:v>
                </c:pt>
                <c:pt idx="1">
                  <c:v>87</c:v>
                </c:pt>
                <c:pt idx="2">
                  <c:v>85</c:v>
                </c:pt>
                <c:pt idx="3">
                  <c:v>67</c:v>
                </c:pt>
                <c:pt idx="4">
                  <c:v>7</c:v>
                </c:pt>
              </c:numCache>
            </c:numRef>
          </c:val>
          <c:extLst>
            <c:ext xmlns:c16="http://schemas.microsoft.com/office/drawing/2014/chart" uri="{C3380CC4-5D6E-409C-BE32-E72D297353CC}">
              <c16:uniqueId val="{00000000-9F0A-4071-B9CB-A79343A9744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Les articles de 2026 portent près de la moitié des vues</a:t>
            </a:r>
          </a:p>
        </c:rich>
      </c:tx>
      <c:overlay val="0"/>
    </c:title>
    <c:autoTitleDeleted val="0"/>
    <c:plotArea>
      <c:layout/>
      <c:barChart>
        <c:barDir val="col"/>
        <c:grouping val="clustered"/>
        <c:varyColors val="0"/>
        <c:ser>
          <c:idx val="0"/>
          <c:order val="0"/>
          <c:tx>
            <c:v>Vues</c:v>
          </c:tx>
          <c:spPr>
            <a:solidFill>
              <a:srgbClr val="1A6A8B"/>
            </a:solidFill>
          </c:spPr>
          <c:invertIfNegative val="1"/>
          <c:cat>
            <c:numRef>
              <c:f>'Audience et impact'!$A$12:$A$19</c:f>
              <c:numCache>
                <c:formatCode>General</c:formatCode>
                <c:ptCount val="8"/>
                <c:pt idx="0">
                  <c:v>2019</c:v>
                </c:pt>
                <c:pt idx="1">
                  <c:v>2020</c:v>
                </c:pt>
                <c:pt idx="2">
                  <c:v>2021</c:v>
                </c:pt>
                <c:pt idx="3">
                  <c:v>2022</c:v>
                </c:pt>
                <c:pt idx="4">
                  <c:v>2023</c:v>
                </c:pt>
                <c:pt idx="5">
                  <c:v>2024</c:v>
                </c:pt>
                <c:pt idx="6">
                  <c:v>2025</c:v>
                </c:pt>
                <c:pt idx="7">
                  <c:v>2026</c:v>
                </c:pt>
              </c:numCache>
            </c:numRef>
          </c:cat>
          <c:val>
            <c:numRef>
              <c:f>'Audience et impact'!$C$12:$C$19</c:f>
              <c:numCache>
                <c:formatCode>#,##0</c:formatCode>
                <c:ptCount val="8"/>
                <c:pt idx="0">
                  <c:v>115</c:v>
                </c:pt>
                <c:pt idx="1">
                  <c:v>74</c:v>
                </c:pt>
                <c:pt idx="2">
                  <c:v>90</c:v>
                </c:pt>
                <c:pt idx="3">
                  <c:v>951</c:v>
                </c:pt>
                <c:pt idx="4">
                  <c:v>1845</c:v>
                </c:pt>
                <c:pt idx="5">
                  <c:v>3831</c:v>
                </c:pt>
                <c:pt idx="6">
                  <c:v>4877</c:v>
                </c:pt>
                <c:pt idx="7">
                  <c:v>11003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BF79-4133-9C2D-2E77A71298F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Vues cumulées par macrothème</a:t>
            </a:r>
          </a:p>
        </c:rich>
      </c:tx>
      <c:overlay val="0"/>
    </c:title>
    <c:autoTitleDeleted val="0"/>
    <c:plotArea>
      <c:layout/>
      <c:barChart>
        <c:barDir val="col"/>
        <c:grouping val="clustered"/>
        <c:varyColors val="0"/>
        <c:ser>
          <c:idx val="0"/>
          <c:order val="0"/>
          <c:tx>
            <c:v>Vues</c:v>
          </c:tx>
          <c:spPr>
            <a:solidFill>
              <a:srgbClr val="1A6A8B"/>
            </a:solidFill>
          </c:spPr>
          <c:invertIfNegative val="1"/>
          <c:cat>
            <c:strRef>
              <c:f>'Audience et impact'!$A$25:$A$32</c:f>
              <c:strCache>
                <c:ptCount val="8"/>
                <c:pt idx="0">
                  <c:v>Actualités et analyses transversales</c:v>
                </c:pt>
                <c:pt idx="1">
                  <c:v>One Health, zoonoses et santé publique</c:v>
                </c:pt>
                <c:pt idx="2">
                  <c:v>Santé animale et maladies</c:v>
                </c:pt>
                <c:pt idx="3">
                  <c:v>Élevage et productions animales</c:v>
                </c:pt>
                <c:pt idx="4">
                  <c:v>Ressources, recherche et opportunités</c:v>
                </c:pt>
                <c:pt idx="5">
                  <c:v>Pêches et aquaculture</c:v>
                </c:pt>
                <c:pt idx="6">
                  <c:v>Profession et services vétérinaires</c:v>
                </c:pt>
                <c:pt idx="7">
                  <c:v>Faune et conservation</c:v>
                </c:pt>
              </c:strCache>
            </c:strRef>
          </c:cat>
          <c:val>
            <c:numRef>
              <c:f>'Audience et impact'!$C$25:$C$32</c:f>
              <c:numCache>
                <c:formatCode>#,##0</c:formatCode>
                <c:ptCount val="8"/>
                <c:pt idx="0">
                  <c:v>6830</c:v>
                </c:pt>
                <c:pt idx="1">
                  <c:v>4381</c:v>
                </c:pt>
                <c:pt idx="2">
                  <c:v>3626</c:v>
                </c:pt>
                <c:pt idx="3">
                  <c:v>2368</c:v>
                </c:pt>
                <c:pt idx="4">
                  <c:v>1914</c:v>
                </c:pt>
                <c:pt idx="5">
                  <c:v>1799</c:v>
                </c:pt>
                <c:pt idx="6">
                  <c:v>1507</c:v>
                </c:pt>
                <c:pt idx="7">
                  <c:v>361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25C0-4D5A-84E6-4739FD68077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00"/>
            </a:pPr>
            <a:endParaRPr lang="en-KE"/>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Les principaux champs de traçabilité restent absents</a:t>
            </a:r>
          </a:p>
        </c:rich>
      </c:tx>
      <c:overlay val="0"/>
    </c:title>
    <c:autoTitleDeleted val="0"/>
    <c:plotArea>
      <c:layout/>
      <c:barChart>
        <c:barDir val="col"/>
        <c:grouping val="clustered"/>
        <c:varyColors val="0"/>
        <c:ser>
          <c:idx val="0"/>
          <c:order val="0"/>
          <c:tx>
            <c:v>Taux de conformité</c:v>
          </c:tx>
          <c:spPr>
            <a:solidFill>
              <a:srgbClr val="1A6A8B"/>
            </a:solidFill>
          </c:spPr>
          <c:invertIfNegative val="1"/>
          <c:cat>
            <c:strRef>
              <c:f>'Qualité éditoriale'!$A$12:$A$21</c:f>
              <c:strCache>
                <c:ptCount val="10"/>
                <c:pt idx="0">
                  <c:v>Sources journalistiques renseignées</c:v>
                </c:pt>
                <c:pt idx="1">
                  <c:v>Relecture ou vérification tracée</c:v>
                </c:pt>
                <c:pt idx="2">
                  <c:v>Crédit ou source de l’image</c:v>
                </c:pt>
                <c:pt idx="3">
                  <c:v>Pays ou région renseigné</c:v>
                </c:pt>
                <c:pt idx="4">
                  <c:v>Méta-titre SEO renseigné</c:v>
                </c:pt>
                <c:pt idx="5">
                  <c:v>Méta-description SEO renseignée</c:v>
                </c:pt>
                <c:pt idx="6">
                  <c:v>Résumé de 120 à 220 caractères</c:v>
                </c:pt>
                <c:pt idx="7">
                  <c:v>Titre de 45 à 80 caractères</c:v>
                </c:pt>
                <c:pt idx="8">
                  <c:v>Article d’au moins 500 mots</c:v>
                </c:pt>
                <c:pt idx="9">
                  <c:v>Image principale renseignée</c:v>
                </c:pt>
              </c:strCache>
            </c:strRef>
          </c:cat>
          <c:val>
            <c:numRef>
              <c:f>'Qualité éditoriale'!$C$12:$C$21</c:f>
              <c:numCache>
                <c:formatCode>0.0%</c:formatCode>
                <c:ptCount val="10"/>
                <c:pt idx="0">
                  <c:v>0</c:v>
                </c:pt>
                <c:pt idx="1">
                  <c:v>0</c:v>
                </c:pt>
                <c:pt idx="2">
                  <c:v>1.9157088122605363E-3</c:v>
                </c:pt>
                <c:pt idx="3">
                  <c:v>6.6091954022988508E-2</c:v>
                </c:pt>
                <c:pt idx="4">
                  <c:v>8.9080459770114945E-2</c:v>
                </c:pt>
                <c:pt idx="5">
                  <c:v>9.9616858237547887E-2</c:v>
                </c:pt>
                <c:pt idx="6">
                  <c:v>0.13026819923371646</c:v>
                </c:pt>
                <c:pt idx="7">
                  <c:v>0.34674329501915707</c:v>
                </c:pt>
                <c:pt idx="8">
                  <c:v>0.45210727969348657</c:v>
                </c:pt>
                <c:pt idx="9">
                  <c:v>0.99712643678160917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1CC-4506-A16F-8603D3B75DB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00"/>
            </a:pPr>
            <a:endParaRPr lang="en-KE"/>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Accélération nette en juillet et août 2026</a:t>
            </a:r>
          </a:p>
        </c:rich>
      </c:tx>
      <c:overlay val="0"/>
    </c:title>
    <c:autoTitleDeleted val="0"/>
    <c:plotArea>
      <c:layout/>
      <c:lineChart>
        <c:grouping val="standard"/>
        <c:varyColors val="0"/>
        <c:ser>
          <c:idx val="0"/>
          <c:order val="0"/>
          <c:tx>
            <c:v>Articles</c:v>
          </c:tx>
          <c:marker>
            <c:symbol val="none"/>
          </c:marker>
          <c:cat>
            <c:strRef>
              <c:f>'Rythme publication'!$A$6:$A$13</c:f>
              <c:strCache>
                <c:ptCount val="8"/>
                <c:pt idx="0">
                  <c:v>2026-01</c:v>
                </c:pt>
                <c:pt idx="1">
                  <c:v>2026-02</c:v>
                </c:pt>
                <c:pt idx="2">
                  <c:v>2026-03</c:v>
                </c:pt>
                <c:pt idx="3">
                  <c:v>2026-04</c:v>
                </c:pt>
                <c:pt idx="4">
                  <c:v>2026-05</c:v>
                </c:pt>
                <c:pt idx="5">
                  <c:v>2026-06</c:v>
                </c:pt>
                <c:pt idx="6">
                  <c:v>2026-07</c:v>
                </c:pt>
                <c:pt idx="7">
                  <c:v>2026-08</c:v>
                </c:pt>
              </c:strCache>
            </c:strRef>
          </c:cat>
          <c:val>
            <c:numRef>
              <c:f>'Rythme publication'!$B$6:$B$13</c:f>
              <c:numCache>
                <c:formatCode>General</c:formatCode>
                <c:ptCount val="8"/>
                <c:pt idx="0">
                  <c:v>33</c:v>
                </c:pt>
                <c:pt idx="1">
                  <c:v>20</c:v>
                </c:pt>
                <c:pt idx="2">
                  <c:v>11</c:v>
                </c:pt>
                <c:pt idx="3">
                  <c:v>21</c:v>
                </c:pt>
                <c:pt idx="4">
                  <c:v>42</c:v>
                </c:pt>
                <c:pt idx="5">
                  <c:v>21</c:v>
                </c:pt>
                <c:pt idx="6">
                  <c:v>71</c:v>
                </c:pt>
                <c:pt idx="7">
                  <c:v>82</c:v>
                </c:pt>
              </c:numCache>
            </c:numRef>
          </c:val>
          <c:smooth val="0"/>
          <c:extLst>
            <c:ext xmlns:c16="http://schemas.microsoft.com/office/drawing/2014/chart" uri="{C3380CC4-5D6E-409C-BE32-E72D297353CC}">
              <c16:uniqueId val="{00000000-BAB7-461F-81CE-1F7F819F6D3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Le week-end représente une part importante de la production</a:t>
            </a:r>
          </a:p>
        </c:rich>
      </c:tx>
      <c:overlay val="0"/>
    </c:title>
    <c:autoTitleDeleted val="0"/>
    <c:plotArea>
      <c:layout/>
      <c:barChart>
        <c:barDir val="col"/>
        <c:grouping val="clustered"/>
        <c:varyColors val="0"/>
        <c:ser>
          <c:idx val="0"/>
          <c:order val="0"/>
          <c:tx>
            <c:v>Articles</c:v>
          </c:tx>
          <c:invertIfNegative val="1"/>
          <c:cat>
            <c:strRef>
              <c:f>'Rythme publication'!$A$21:$A$27</c:f>
              <c:strCache>
                <c:ptCount val="7"/>
                <c:pt idx="0">
                  <c:v>Lundi</c:v>
                </c:pt>
                <c:pt idx="1">
                  <c:v>Mardi</c:v>
                </c:pt>
                <c:pt idx="2">
                  <c:v>Mercredi</c:v>
                </c:pt>
                <c:pt idx="3">
                  <c:v>Jeudi</c:v>
                </c:pt>
                <c:pt idx="4">
                  <c:v>Vendredi</c:v>
                </c:pt>
                <c:pt idx="5">
                  <c:v>Samedi</c:v>
                </c:pt>
                <c:pt idx="6">
                  <c:v>Dimanche</c:v>
                </c:pt>
              </c:strCache>
            </c:strRef>
          </c:cat>
          <c:val>
            <c:numRef>
              <c:f>'Rythme publication'!$B$21:$B$27</c:f>
              <c:numCache>
                <c:formatCode>General</c:formatCode>
                <c:ptCount val="7"/>
                <c:pt idx="0">
                  <c:v>138</c:v>
                </c:pt>
                <c:pt idx="1">
                  <c:v>147</c:v>
                </c:pt>
                <c:pt idx="2">
                  <c:v>122</c:v>
                </c:pt>
                <c:pt idx="3">
                  <c:v>107</c:v>
                </c:pt>
                <c:pt idx="4">
                  <c:v>162</c:v>
                </c:pt>
                <c:pt idx="5">
                  <c:v>202</c:v>
                </c:pt>
                <c:pt idx="6">
                  <c:v>166</c:v>
                </c:pt>
              </c:numCache>
            </c:numRef>
          </c:val>
          <c:extLst>
            <c:ext xmlns:c16="http://schemas.microsoft.com/office/drawing/2014/chart" uri="{C3380CC4-5D6E-409C-BE32-E72D297353CC}">
              <c16:uniqueId val="{00000000-9F12-4062-8B37-5E854BD4BBB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0</xdr:colOff>
      <xdr:row>10</xdr:row>
      <xdr:rowOff>0</xdr:rowOff>
    </xdr:from>
    <xdr:to>
      <xdr:col>12</xdr:col>
      <xdr:colOff>0</xdr:colOff>
      <xdr:row>29</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17</xdr:row>
      <xdr:rowOff>0</xdr:rowOff>
    </xdr:from>
    <xdr:to>
      <xdr:col>20</xdr:col>
      <xdr:colOff>0</xdr:colOff>
      <xdr:row>29</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10</xdr:row>
      <xdr:rowOff>0</xdr:rowOff>
    </xdr:from>
    <xdr:to>
      <xdr:col>13</xdr:col>
      <xdr:colOff>0</xdr:colOff>
      <xdr:row>25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9</xdr:row>
      <xdr:rowOff>0</xdr:rowOff>
    </xdr:from>
    <xdr:to>
      <xdr:col>18</xdr:col>
      <xdr:colOff>0</xdr:colOff>
      <xdr:row>25</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0</xdr:rowOff>
    </xdr:from>
    <xdr:to>
      <xdr:col>8</xdr:col>
      <xdr:colOff>0</xdr:colOff>
      <xdr:row>29</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15</xdr:row>
      <xdr:rowOff>0</xdr:rowOff>
    </xdr:from>
    <xdr:to>
      <xdr:col>11</xdr:col>
      <xdr:colOff>0</xdr:colOff>
      <xdr:row>31</xdr:row>
      <xdr:rowOff>0</xdr:rowOff>
    </xdr:to>
    <xdr:graphicFrame macro="">
      <xdr:nvGraphicFramePr>
        <xdr:cNvPr id="2" name="Chart">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11</xdr:row>
      <xdr:rowOff>0</xdr:rowOff>
    </xdr:from>
    <xdr:to>
      <xdr:col>16</xdr:col>
      <xdr:colOff>0</xdr:colOff>
      <xdr:row>25</xdr:row>
      <xdr:rowOff>0</xdr:rowOff>
    </xdr:to>
    <xdr:graphicFrame macro="">
      <xdr:nvGraphicFramePr>
        <xdr:cNvPr id="2" nam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9</xdr:row>
      <xdr:rowOff>0</xdr:rowOff>
    </xdr:from>
    <xdr:to>
      <xdr:col>16</xdr:col>
      <xdr:colOff>0</xdr:colOff>
      <xdr:row>24</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24</xdr:row>
      <xdr:rowOff>0</xdr:rowOff>
    </xdr:from>
    <xdr:to>
      <xdr:col>16</xdr:col>
      <xdr:colOff>0</xdr:colOff>
      <xdr:row>41</xdr:row>
      <xdr:rowOff>0</xdr:rowOff>
    </xdr:to>
    <xdr:graphicFrame macro="">
      <xdr:nvGraphicFramePr>
        <xdr:cNvPr id="3" nam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9</xdr:row>
      <xdr:rowOff>0</xdr:rowOff>
    </xdr:from>
    <xdr:to>
      <xdr:col>14</xdr:col>
      <xdr:colOff>0</xdr:colOff>
      <xdr:row>27</xdr:row>
      <xdr:rowOff>0</xdr:rowOff>
    </xdr:to>
    <xdr:graphicFrame macro="">
      <xdr:nvGraphicFramePr>
        <xdr:cNvPr id="2" name="Chart">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3</xdr:row>
      <xdr:rowOff>0</xdr:rowOff>
    </xdr:from>
    <xdr:to>
      <xdr:col>14</xdr:col>
      <xdr:colOff>0</xdr:colOff>
      <xdr:row>17</xdr:row>
      <xdr:rowOff>0</xdr:rowOff>
    </xdr:to>
    <xdr:graphicFrame macro="">
      <xdr:nvGraphicFramePr>
        <xdr:cNvPr id="2" name="Chart">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0</xdr:rowOff>
    </xdr:from>
    <xdr:to>
      <xdr:col>14</xdr:col>
      <xdr:colOff>0</xdr:colOff>
      <xdr:row>32</xdr:row>
      <xdr:rowOff>0</xdr:rowOff>
    </xdr:to>
    <xdr:graphicFrame macro="">
      <xdr:nvGraphicFramePr>
        <xdr:cNvPr id="3" name="Chart">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PlanMiseEnOeuvre" displayName="PlanMiseEnOeuvre" ref="A10:O34" totalsRowShown="0">
  <tableColumns count="15">
    <tableColumn id="1" xr3:uid="{00000000-0010-0000-0000-000001000000}" name="N°"/>
    <tableColumn id="2" xr3:uid="{00000000-0010-0000-0000-000002000000}" name="Phase"/>
    <tableColumn id="3" xr3:uid="{00000000-0010-0000-0000-000003000000}" name="Axe"/>
    <tableColumn id="4" xr3:uid="{00000000-0010-0000-0000-000004000000}" name="Action détaillée"/>
    <tableColumn id="5" xr3:uid="{00000000-0010-0000-0000-000005000000}" name="Priorité"/>
    <tableColumn id="6" xr3:uid="{00000000-0010-0000-0000-000006000000}" name="Responsable proposé"/>
    <tableColumn id="7" xr3:uid="{00000000-0010-0000-0000-000007000000}" name="Début"/>
    <tableColumn id="8" xr3:uid="{00000000-0010-0000-0000-000008000000}" name="Échéance"/>
    <tableColumn id="9" xr3:uid="{00000000-0010-0000-0000-000009000000}" name="Durée (j)"/>
    <tableColumn id="10" xr3:uid="{00000000-0010-0000-0000-00000A000000}" name="Livrable attendu"/>
    <tableColumn id="11" xr3:uid="{00000000-0010-0000-0000-00000B000000}" name="Indicateur de succès"/>
    <tableColumn id="12" xr3:uid="{00000000-0010-0000-0000-00000C000000}" name="Cible"/>
    <tableColumn id="13" xr3:uid="{00000000-0010-0000-0000-00000D000000}" name="Dépendances"/>
    <tableColumn id="14" xr3:uid="{00000000-0010-0000-0000-00000E000000}" name="Revue / validation"/>
    <tableColumn id="15" xr3:uid="{00000000-0010-0000-0000-00000F000000}" name="Statut"/>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Calendrier90Jours" displayName="Calendrier90Jours" ref="A4:J18" totalsRowShown="0">
  <tableColumns count="10">
    <tableColumn id="1" xr3:uid="{00000000-0010-0000-0100-000001000000}" name="Semaine"/>
    <tableColumn id="2" xr3:uid="{00000000-0010-0000-0100-000002000000}" name="Début"/>
    <tableColumn id="3" xr3:uid="{00000000-0010-0000-0100-000003000000}" name="Fin"/>
    <tableColumn id="4" xr3:uid="{00000000-0010-0000-0100-000004000000}" name="Objectif principal"/>
    <tableColumn id="5" xr3:uid="{00000000-0010-0000-0100-000005000000}" name="Actions essentielles"/>
    <tableColumn id="6" xr3:uid="{00000000-0010-0000-0100-000006000000}" name="Responsable proposé"/>
    <tableColumn id="7" xr3:uid="{00000000-0010-0000-0100-000007000000}" name="Livrable"/>
    <tableColumn id="8" xr3:uid="{00000000-0010-0000-0100-000008000000}" name="Preuve / KPI"/>
    <tableColumn id="9" xr3:uid="{00000000-0010-0000-0100-000009000000}" name="Point de revue"/>
    <tableColumn id="10" xr3:uid="{00000000-0010-0000-0100-00000A000000}" name="Statut"/>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RecommandationsParAuteur" displayName="RecommandationsParAuteur" ref="A4:O9" totalsRowShown="0">
  <tableColumns count="15">
    <tableColumn id="1" xr3:uid="{00000000-0010-0000-0200-000001000000}" name="Auteur"/>
    <tableColumn id="2" xr3:uid="{00000000-0010-0000-0200-000002000000}" name="Articles"/>
    <tableColumn id="3" xr3:uid="{00000000-0010-0000-0200-000003000000}" name="90 derniers jours"/>
    <tableColumn id="4" xr3:uid="{00000000-0010-0000-0200-000004000000}" name="Vues/article"/>
    <tableColumn id="5" xr3:uid="{00000000-0010-0000-0200-000005000000}" name="Impact moyen"/>
    <tableColumn id="6" xr3:uid="{00000000-0010-0000-0200-000006000000}" name="Rôle éditorial proposé"/>
    <tableColumn id="7" xr3:uid="{00000000-0010-0000-0200-000007000000}" name="Forces observées"/>
    <tableColumn id="8" xr3:uid="{00000000-0010-0000-0200-000008000000}" name="Risques / écarts"/>
    <tableColumn id="9" xr3:uid="{00000000-0010-0000-0200-000009000000}" name="Rubriques prioritaires"/>
    <tableColumn id="10" xr3:uid="{00000000-0010-0000-0200-00000A000000}" name="Actions J+30"/>
    <tableColumn id="11" xr3:uid="{00000000-0010-0000-0200-00000B000000}" name="Objectif J+90"/>
    <tableColumn id="12" xr3:uid="{00000000-0010-0000-0200-00000C000000}" name="Objectif à 6 mois"/>
    <tableColumn id="13" xr3:uid="{00000000-0010-0000-0200-00000D000000}" name="Appui nécessaire"/>
    <tableColumn id="14" xr3:uid="{00000000-0010-0000-0200-00000E000000}" name="KPI individuel"/>
    <tableColumn id="15" xr3:uid="{00000000-0010-0000-0200-00000F000000}" name="Disponibilité"/>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MixFormatsJournalistiques" displayName="MixFormatsJournalistiques" ref="A10:J20" totalsRowShown="0">
  <tableColumns count="10">
    <tableColumn id="1" xr3:uid="{00000000-0010-0000-0300-000001000000}" name="Format / rubrique"/>
    <tableColumn id="2" xr3:uid="{00000000-0010-0000-0300-000002000000}" name="Objectif journalistique"/>
    <tableColumn id="3" xr3:uid="{00000000-0010-0000-0300-000003000000}" name="Part cible"/>
    <tableColumn id="4" xr3:uid="{00000000-0010-0000-0300-000004000000}" name="Fréquence indicative"/>
    <tableColumn id="5" xr3:uid="{00000000-0010-0000-0300-000005000000}" name="Longueur"/>
    <tableColumn id="6" xr3:uid="{00000000-0010-0000-0300-000006000000}" name="Sources minimales"/>
    <tableColumn id="7" xr3:uid="{00000000-0010-0000-0300-000007000000}" name="Éléments obligatoires"/>
    <tableColumn id="8" xr3:uid="{00000000-0010-0000-0300-000008000000}" name="Niveau de validation"/>
    <tableColumn id="9" xr3:uid="{00000000-0010-0000-0300-000009000000}" name="Canaux prioritaires"/>
    <tableColumn id="10" xr3:uid="{00000000-0010-0000-0300-00000A000000}" name="KPI principal"/>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CiblesThematiques" displayName="CiblesThematiques" ref="A25:H33" totalsRowShown="0">
  <tableColumns count="8">
    <tableColumn id="1" xr3:uid="{00000000-0010-0000-0400-000001000000}" name="Pilier"/>
    <tableColumn id="2" xr3:uid="{00000000-0010-0000-0400-000002000000}" name="Articles actuels"/>
    <tableColumn id="3" xr3:uid="{00000000-0010-0000-0400-000003000000}" name="Part actuelle"/>
    <tableColumn id="4" xr3:uid="{00000000-0010-0000-0400-000004000000}" name="Cible 6 mois"/>
    <tableColumn id="5" xr3:uid="{00000000-0010-0000-0400-000005000000}" name="Cible 12 mois"/>
    <tableColumn id="6" xr3:uid="{00000000-0010-0000-0400-000006000000}" name="Rythme minimum"/>
    <tableColumn id="7" xr3:uid="{00000000-0010-0000-0400-000007000000}" name="Angle à renforcer"/>
    <tableColumn id="8" xr3:uid="{00000000-0010-0000-0400-000008000000}" name="Responsable proposé"/>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WorkflowEditorial" displayName="WorkflowEditorial" ref="A5:H15" totalsRowShown="0">
  <tableColumns count="8">
    <tableColumn id="1" xr3:uid="{00000000-0010-0000-0500-000001000000}" name="Étape"/>
    <tableColumn id="2" xr3:uid="{00000000-0010-0000-0500-000002000000}" name="SLA indicatif"/>
    <tableColumn id="3" xr3:uid="{00000000-0010-0000-0500-000003000000}" name="Responsable (R)"/>
    <tableColumn id="4" xr3:uid="{00000000-0010-0000-0500-000004000000}" name="Approbateur (A)"/>
    <tableColumn id="5" xr3:uid="{00000000-0010-0000-0500-000005000000}" name="Consultés (C)"/>
    <tableColumn id="6" xr3:uid="{00000000-0010-0000-0500-000006000000}" name="Preuve obligatoire"/>
    <tableColumn id="7" xr3:uid="{00000000-0010-0000-0500-000007000000}" name="Critère Go / No-Go"/>
    <tableColumn id="8" xr3:uid="{00000000-0010-0000-0500-000008000000}" name="Action si échec"/>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ChecklistPublication" displayName="ChecklistPublication" ref="A19:G35" totalsRowShown="0">
  <tableColumns count="7">
    <tableColumn id="1" xr3:uid="{00000000-0010-0000-0600-000001000000}" name="N°"/>
    <tableColumn id="2" xr3:uid="{00000000-0010-0000-0600-000002000000}" name="Contrôle"/>
    <tableColumn id="3" xr3:uid="{00000000-0010-0000-0600-000003000000}" name="Pourquoi"/>
    <tableColumn id="4" xr3:uid="{00000000-0010-0000-0600-000004000000}" name="Preuve dans le CMS"/>
    <tableColumn id="5" xr3:uid="{00000000-0010-0000-0600-000005000000}" name="Bloquant"/>
    <tableColumn id="6" xr3:uid="{00000000-0010-0000-0600-000006000000}" name="Responsable"/>
    <tableColumn id="7" xr3:uid="{00000000-0010-0000-0600-000007000000}" name="Quand"/>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auKPIEditorial" displayName="TableauKPIEditorial" ref="A10:N30" totalsRowShown="0">
  <tableColumns count="14">
    <tableColumn id="1" xr3:uid="{00000000-0010-0000-0700-000001000000}" name="ID"/>
    <tableColumn id="2" xr3:uid="{00000000-0010-0000-0700-000002000000}" name="KPI"/>
    <tableColumn id="3" xr3:uid="{00000000-0010-0000-0700-000003000000}" name="Sens"/>
    <tableColumn id="4" xr3:uid="{00000000-0010-0000-0700-000004000000}" name="Référence"/>
    <tableColumn id="5" xr3:uid="{00000000-0010-0000-0700-000005000000}" name="Unité"/>
    <tableColumn id="6" xr3:uid="{00000000-0010-0000-0700-000006000000}" name="Cible J+30"/>
    <tableColumn id="7" xr3:uid="{00000000-0010-0000-0700-000007000000}" name="Cible J+90"/>
    <tableColumn id="8" xr3:uid="{00000000-0010-0000-0700-000008000000}" name="Cible 6 mois"/>
    <tableColumn id="9" xr3:uid="{00000000-0010-0000-0700-000009000000}" name="Cible 12 mois"/>
    <tableColumn id="10" xr3:uid="{00000000-0010-0000-0700-00000A000000}" name="Réalisé actuel"/>
    <tableColumn id="11" xr3:uid="{00000000-0010-0000-0700-00000B000000}" name="Écart vs J+90"/>
    <tableColumn id="12" xr3:uid="{00000000-0010-0000-0700-00000C000000}" name="Responsable"/>
    <tableColumn id="13" xr3:uid="{00000000-0010-0000-0700-00000D000000}" name="Source"/>
    <tableColumn id="14" xr3:uid="{00000000-0010-0000-0700-00000E000000}" name="Fréquence"/>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8000000}" name="ClassementPaysUA" displayName="ClassementPaysUA" ref="A4:T59" totalsRowShown="0">
  <tableColumns count="20">
    <tableColumn id="1" xr3:uid="{00000000-0010-0000-0800-000001000000}" name="Rang"/>
    <tableColumn id="2" xr3:uid="{00000000-0010-0000-0800-000002000000}" name="Pays"/>
    <tableColumn id="3" xr3:uid="{00000000-0010-0000-0800-000003000000}" name="Région UA"/>
    <tableColumn id="4" xr3:uid="{00000000-0010-0000-0800-000004000000}" name="Articles nationaux"/>
    <tableColumn id="5" xr3:uid="{00000000-0010-0000-0800-000005000000}" name="Confirmés"/>
    <tableColumn id="6" xr3:uid="{00000000-0010-0000-0800-000006000000}" name="Contextuels"/>
    <tableColumn id="7" xr3:uid="{00000000-0010-0000-0800-000007000000}" name="Mentions totales"/>
    <tableColumn id="8" xr3:uid="{00000000-0010-0000-0800-000008000000}" name="Part nationale"/>
    <tableColumn id="9" xr3:uid="{00000000-0010-0000-0800-000009000000}" name="Articles 2026"/>
    <tableColumn id="10" xr3:uid="{00000000-0010-0000-0800-00000A000000}" name="12 derniers mois"/>
    <tableColumn id="11" xr3:uid="{00000000-0010-0000-0800-00000B000000}" name="Première publication"/>
    <tableColumn id="12" xr3:uid="{00000000-0010-0000-0800-00000C000000}" name="Dernière publication"/>
    <tableColumn id="13" xr3:uid="{00000000-0010-0000-0800-00000D000000}" name="Jours sans article"/>
    <tableColumn id="14" xr3:uid="{00000000-0010-0000-0800-00000E000000}" name="Niveau de couverture"/>
    <tableColumn id="15" xr3:uid="{00000000-0010-0000-0800-00000F000000}" name="Priorité éditoriale"/>
    <tableColumn id="16" xr3:uid="{00000000-0010-0000-0800-000010000000}" name="Thème dominant"/>
    <tableColumn id="17" xr3:uid="{00000000-0010-0000-0800-000011000000}" name="Diversité thématique"/>
    <tableColumn id="18" xr3:uid="{00000000-0010-0000-0800-000012000000}" name="Vues cumulées"/>
    <tableColumn id="19" xr3:uid="{00000000-0010-0000-0800-000013000000}" name="Attr. élevée"/>
    <tableColumn id="20" xr3:uid="{00000000-0010-0000-0800-000014000000}" name="Attr. moyenne"/>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9000000}" name="CorpusArticles" displayName="CorpusArticles" ref="A1:R1045" totalsRowShown="0">
  <tableColumns count="18">
    <tableColumn id="1" xr3:uid="{00000000-0010-0000-0900-000001000000}" name="ID"/>
    <tableColumn id="2" xr3:uid="{00000000-0010-0000-0900-000002000000}" name="Date"/>
    <tableColumn id="3" xr3:uid="{00000000-0010-0000-0900-000003000000}" name="Année"/>
    <tableColumn id="4" xr3:uid="{00000000-0010-0000-0900-000004000000}" name="Titre"/>
    <tableColumn id="5" xr3:uid="{00000000-0010-0000-0900-000005000000}" name="URL"/>
    <tableColumn id="6" xr3:uid="{00000000-0010-0000-0900-000006000000}" name="Pays principal"/>
    <tableColumn id="7" xr3:uid="{00000000-0010-0000-0900-000007000000}" name="Autres pays UA"/>
    <tableColumn id="8" xr3:uid="{00000000-0010-0000-0900-000008000000}" name="Région UA"/>
    <tableColumn id="9" xr3:uid="{00000000-0010-0000-0900-000009000000}" name="Portée"/>
    <tableColumn id="10" xr3:uid="{00000000-0010-0000-0900-00000A000000}" name="Méthode d’attribution"/>
    <tableColumn id="11" xr3:uid="{00000000-0010-0000-0900-00000B000000}" name="Confiance"/>
    <tableColumn id="12" xr3:uid="{00000000-0010-0000-0900-00000C000000}" name="Catégorie"/>
    <tableColumn id="13" xr3:uid="{00000000-0010-0000-0900-00000D000000}" name="Macrothème"/>
    <tableColumn id="14" xr3:uid="{00000000-0010-0000-0900-00000E000000}" name="Langue détectée"/>
    <tableColumn id="15" xr3:uid="{00000000-0010-0000-0900-00000F000000}" name="Vues"/>
    <tableColumn id="16" xr3:uid="{00000000-0010-0000-0900-000010000000}" name="Auteur"/>
    <tableColumn id="17" xr3:uid="{00000000-0010-0000-0900-000011000000}" name="Champ pays source"/>
    <tableColumn id="18" xr3:uid="{00000000-0010-0000-0900-000012000000}" name="Slug"/>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nalyseAuteurs" displayName="AnalyseAuteurs" ref="A4:P9" totalsRowShown="0">
  <tableColumns count="16">
    <tableColumn id="1" xr3:uid="{00000000-0010-0000-0A00-000001000000}" name="Auteur"/>
    <tableColumn id="2" xr3:uid="{00000000-0010-0000-0A00-000002000000}" name="Articles"/>
    <tableColumn id="3" xr3:uid="{00000000-0010-0000-0A00-000003000000}" name="Part articles"/>
    <tableColumn id="4" xr3:uid="{00000000-0010-0000-0A00-000004000000}" name="Vues"/>
    <tableColumn id="5" xr3:uid="{00000000-0010-0000-0A00-000005000000}" name="Part vues"/>
    <tableColumn id="6" xr3:uid="{00000000-0010-0000-0A00-000006000000}" name="Vues/article"/>
    <tableColumn id="7" xr3:uid="{00000000-0010-0000-0A00-000007000000}" name="Médiane vues"/>
    <tableColumn id="8" xr3:uid="{00000000-0010-0000-0A00-000008000000}" name="Impact moyen"/>
    <tableColumn id="9" xr3:uid="{00000000-0010-0000-0A00-000009000000}" name="Articles fort impact"/>
    <tableColumn id="10" xr3:uid="{00000000-0010-0000-0A00-00000A000000}" name="Complétude moyenne"/>
    <tableColumn id="11" xr3:uid="{00000000-0010-0000-0A00-00000B000000}" name="Articles 2026"/>
    <tableColumn id="12" xr3:uid="{00000000-0010-0000-0A00-00000C000000}" name="90 derniers jours"/>
    <tableColumn id="13" xr3:uid="{00000000-0010-0000-0A00-00000D000000}" name="Part EN"/>
    <tableColumn id="14" xr3:uid="{00000000-0010-0000-0A00-00000E000000}" name="Pays couverts"/>
    <tableColumn id="15" xr3:uid="{00000000-0010-0000-0A00-00000F000000}" name="Thème dominant"/>
    <tableColumn id="16" xr3:uid="{00000000-0010-0000-0A00-000010000000}" name="Article le plus vu"/>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PerformanceArticles" displayName="PerformanceArticles" ref="A4:S1048" totalsRowShown="0">
  <tableColumns count="19">
    <tableColumn id="1" xr3:uid="{00000000-0010-0000-0B00-000001000000}" name="Rang impact"/>
    <tableColumn id="2" xr3:uid="{00000000-0010-0000-0B00-000002000000}" name="Rang vues"/>
    <tableColumn id="3" xr3:uid="{00000000-0010-0000-0B00-000003000000}" name="ID"/>
    <tableColumn id="4" xr3:uid="{00000000-0010-0000-0B00-000004000000}" name="Date"/>
    <tableColumn id="5" xr3:uid="{00000000-0010-0000-0B00-000005000000}" name="Titre"/>
    <tableColumn id="6" xr3:uid="{00000000-0010-0000-0B00-000006000000}" name="Auteur"/>
    <tableColumn id="7" xr3:uid="{00000000-0010-0000-0B00-000007000000}" name="Pays principal"/>
    <tableColumn id="8" xr3:uid="{00000000-0010-0000-0B00-000008000000}" name="Portée"/>
    <tableColumn id="9" xr3:uid="{00000000-0010-0000-0B00-000009000000}" name="Macrothème"/>
    <tableColumn id="10" xr3:uid="{00000000-0010-0000-0B00-00000A000000}" name="Langue"/>
    <tableColumn id="11" xr3:uid="{00000000-0010-0000-0B00-00000B000000}" name="Vues"/>
    <tableColumn id="12" xr3:uid="{00000000-0010-0000-0B00-00000C000000}" name="Âge (jours)"/>
    <tableColumn id="13" xr3:uid="{00000000-0010-0000-0B00-00000D000000}" name="Vues/jour"/>
    <tableColumn id="14" xr3:uid="{00000000-0010-0000-0B00-00000E000000}" name="Score impact"/>
    <tableColumn id="15" xr3:uid="{00000000-0010-0000-0B00-00000F000000}" name="Niveau impact"/>
    <tableColumn id="16" xr3:uid="{00000000-0010-0000-0B00-000010000000}" name="Mots"/>
    <tableColumn id="17" xr3:uid="{00000000-0010-0000-0B00-000011000000}" name="Complétude /100"/>
    <tableColumn id="18" xr3:uid="{00000000-0010-0000-0B00-000012000000}" name="Critères manquants"/>
    <tableColumn id="19" xr3:uid="{00000000-0010-0000-0B00-000013000000}" name="URL"/>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5"/>
  <sheetViews>
    <sheetView showGridLines="0" tabSelected="1" zoomScale="80" zoomScaleNormal="80" workbookViewId="0">
      <selection sqref="A1:T1"/>
    </sheetView>
  </sheetViews>
  <sheetFormatPr defaultRowHeight="14"/>
  <cols>
    <col min="1" max="1" width="15" customWidth="1"/>
    <col min="2" max="2" width="10.58203125" customWidth="1"/>
    <col min="3" max="4" width="2.75" customWidth="1"/>
    <col min="5" max="5" width="2.4140625" customWidth="1"/>
    <col min="6" max="7" width="11.08203125" customWidth="1"/>
    <col min="8" max="10" width="2.75" customWidth="1"/>
    <col min="11" max="11" width="10" customWidth="1"/>
    <col min="12" max="12" width="10.58203125" customWidth="1"/>
    <col min="13" max="13" width="2.4140625" customWidth="1"/>
    <col min="14" max="14" width="16.6640625" customWidth="1"/>
    <col min="15" max="15" width="10" customWidth="1"/>
    <col min="16" max="20" width="8.9140625" customWidth="1"/>
  </cols>
  <sheetData>
    <row r="1" spans="1:20" ht="23.5">
      <c r="A1" s="55" t="s">
        <v>0</v>
      </c>
      <c r="B1" s="55"/>
      <c r="C1" s="55"/>
      <c r="D1" s="55"/>
      <c r="E1" s="55"/>
      <c r="F1" s="55"/>
      <c r="G1" s="55"/>
      <c r="H1" s="55"/>
      <c r="I1" s="55"/>
      <c r="J1" s="55"/>
      <c r="K1" s="55"/>
      <c r="L1" s="55"/>
      <c r="M1" s="55"/>
      <c r="N1" s="55"/>
      <c r="O1" s="55"/>
      <c r="P1" s="55"/>
      <c r="Q1" s="55"/>
      <c r="R1" s="55"/>
      <c r="S1" s="55"/>
      <c r="T1" s="55"/>
    </row>
    <row r="2" spans="1:20">
      <c r="A2" s="56" t="s">
        <v>1</v>
      </c>
      <c r="B2" s="56"/>
      <c r="C2" s="56"/>
      <c r="D2" s="56"/>
      <c r="E2" s="56"/>
      <c r="F2" s="56"/>
      <c r="G2" s="56"/>
      <c r="H2" s="56"/>
      <c r="I2" s="56"/>
      <c r="J2" s="56"/>
      <c r="K2" s="56"/>
      <c r="L2" s="56"/>
      <c r="M2" s="56"/>
      <c r="N2" s="56"/>
      <c r="O2" s="56"/>
      <c r="P2" s="56"/>
      <c r="Q2" s="56"/>
      <c r="R2" s="56"/>
      <c r="S2" s="56"/>
      <c r="T2" s="56"/>
    </row>
    <row r="3" spans="1:20" ht="14.5">
      <c r="A3" s="9"/>
      <c r="B3" s="9"/>
      <c r="C3" s="9"/>
      <c r="D3" s="9"/>
      <c r="E3" s="9"/>
      <c r="F3" s="9"/>
      <c r="G3" s="9"/>
      <c r="H3" s="9"/>
      <c r="I3" s="9"/>
      <c r="J3" s="9"/>
      <c r="K3" s="9"/>
      <c r="L3" s="9"/>
      <c r="M3" s="9"/>
      <c r="N3" s="9"/>
      <c r="O3" s="9"/>
      <c r="P3" s="9"/>
      <c r="Q3" s="9"/>
      <c r="R3" s="9"/>
      <c r="S3" s="9"/>
      <c r="T3" s="9"/>
    </row>
    <row r="4" spans="1:20" ht="14.5">
      <c r="A4" s="57">
        <f>COUNTA(Corpus!$A$2:$A$1045)</f>
        <v>1044</v>
      </c>
      <c r="B4" s="58"/>
      <c r="C4" s="58"/>
      <c r="D4" s="59"/>
      <c r="E4" s="9"/>
      <c r="F4" s="67">
        <f>COUNTIF(Corpus!$I$2:$I$1045,"National")</f>
        <v>551</v>
      </c>
      <c r="G4" s="68"/>
      <c r="H4" s="68"/>
      <c r="I4" s="69"/>
      <c r="J4" s="9"/>
      <c r="K4" s="76">
        <f>COUNTIF('Classement 55'!$D$5:$D$59,"&gt;0")</f>
        <v>51</v>
      </c>
      <c r="L4" s="77"/>
      <c r="M4" s="77"/>
      <c r="N4" s="78"/>
      <c r="O4" s="9"/>
      <c r="P4" s="85">
        <f>COUNTIF('Classement 55'!$D$5:$D$59,0)</f>
        <v>4</v>
      </c>
      <c r="Q4" s="86"/>
      <c r="R4" s="86"/>
      <c r="S4" s="86"/>
      <c r="T4" s="87"/>
    </row>
    <row r="5" spans="1:20" ht="14.5">
      <c r="A5" s="60"/>
      <c r="B5" s="61"/>
      <c r="C5" s="61"/>
      <c r="D5" s="62"/>
      <c r="E5" s="9"/>
      <c r="F5" s="70"/>
      <c r="G5" s="71"/>
      <c r="H5" s="71"/>
      <c r="I5" s="72"/>
      <c r="J5" s="9"/>
      <c r="K5" s="79"/>
      <c r="L5" s="80"/>
      <c r="M5" s="80"/>
      <c r="N5" s="81"/>
      <c r="O5" s="9"/>
      <c r="P5" s="88"/>
      <c r="Q5" s="89"/>
      <c r="R5" s="89"/>
      <c r="S5" s="89"/>
      <c r="T5" s="90"/>
    </row>
    <row r="6" spans="1:20" ht="14.5">
      <c r="A6" s="60"/>
      <c r="B6" s="61"/>
      <c r="C6" s="61"/>
      <c r="D6" s="62"/>
      <c r="E6" s="9"/>
      <c r="F6" s="70"/>
      <c r="G6" s="71"/>
      <c r="H6" s="71"/>
      <c r="I6" s="72"/>
      <c r="J6" s="9"/>
      <c r="K6" s="79"/>
      <c r="L6" s="80"/>
      <c r="M6" s="80"/>
      <c r="N6" s="81"/>
      <c r="O6" s="9"/>
      <c r="P6" s="88"/>
      <c r="Q6" s="89"/>
      <c r="R6" s="89"/>
      <c r="S6" s="89"/>
      <c r="T6" s="90"/>
    </row>
    <row r="7" spans="1:20" ht="14.5">
      <c r="A7" s="63"/>
      <c r="B7" s="64"/>
      <c r="C7" s="64"/>
      <c r="D7" s="65"/>
      <c r="E7" s="9"/>
      <c r="F7" s="73"/>
      <c r="G7" s="74"/>
      <c r="H7" s="74"/>
      <c r="I7" s="75"/>
      <c r="J7" s="9"/>
      <c r="K7" s="82"/>
      <c r="L7" s="83"/>
      <c r="M7" s="83"/>
      <c r="N7" s="84"/>
      <c r="O7" s="9"/>
      <c r="P7" s="91"/>
      <c r="Q7" s="92"/>
      <c r="R7" s="92"/>
      <c r="S7" s="92"/>
      <c r="T7" s="93"/>
    </row>
    <row r="8" spans="1:20" ht="14.5">
      <c r="A8" s="66" t="s">
        <v>2</v>
      </c>
      <c r="B8" s="66"/>
      <c r="C8" s="66"/>
      <c r="D8" s="66"/>
      <c r="E8" s="9"/>
      <c r="F8" s="66" t="s">
        <v>3</v>
      </c>
      <c r="G8" s="66"/>
      <c r="H8" s="66"/>
      <c r="I8" s="66"/>
      <c r="J8" s="9"/>
      <c r="K8" s="66" t="s">
        <v>4</v>
      </c>
      <c r="L8" s="66"/>
      <c r="M8" s="66"/>
      <c r="N8" s="66"/>
      <c r="O8" s="9"/>
      <c r="P8" s="66" t="s">
        <v>5</v>
      </c>
      <c r="Q8" s="66"/>
      <c r="R8" s="66"/>
      <c r="S8" s="66"/>
      <c r="T8" s="66"/>
    </row>
    <row r="9" spans="1:20" ht="14.5">
      <c r="A9" s="9"/>
      <c r="B9" s="9"/>
      <c r="C9" s="9"/>
      <c r="D9" s="9"/>
      <c r="E9" s="9"/>
      <c r="F9" s="9"/>
      <c r="G9" s="9"/>
      <c r="H9" s="9"/>
      <c r="I9" s="9"/>
      <c r="J9" s="9"/>
      <c r="K9" s="9"/>
      <c r="L9" s="9"/>
      <c r="M9" s="9"/>
      <c r="N9" s="9"/>
      <c r="O9" s="9"/>
      <c r="P9" s="9"/>
      <c r="Q9" s="9"/>
      <c r="R9" s="9"/>
      <c r="S9" s="9"/>
      <c r="T9" s="9"/>
    </row>
    <row r="10" spans="1:20" ht="14.5">
      <c r="A10" s="9"/>
      <c r="B10" s="9"/>
      <c r="C10" s="9"/>
      <c r="D10" s="9"/>
      <c r="E10" s="9"/>
      <c r="F10" s="9"/>
      <c r="G10" s="9"/>
      <c r="H10" s="9"/>
      <c r="I10" s="9"/>
      <c r="J10" s="9"/>
      <c r="K10" s="9"/>
      <c r="L10" s="9"/>
      <c r="M10" s="9"/>
      <c r="N10" s="9"/>
      <c r="O10" s="9"/>
      <c r="P10" s="9"/>
      <c r="Q10" s="9"/>
      <c r="R10" s="9"/>
      <c r="S10" s="9"/>
      <c r="T10" s="9"/>
    </row>
    <row r="11" spans="1:20" ht="26">
      <c r="A11" s="4" t="s">
        <v>6</v>
      </c>
      <c r="B11" s="6" t="s">
        <v>3</v>
      </c>
      <c r="C11" s="9"/>
      <c r="D11" s="9"/>
      <c r="E11" s="9"/>
      <c r="F11" s="9"/>
      <c r="G11" s="9"/>
      <c r="H11" s="9"/>
      <c r="I11" s="9"/>
      <c r="J11" s="9"/>
      <c r="K11" s="9"/>
      <c r="L11" s="9"/>
      <c r="M11" s="9"/>
      <c r="N11" s="4" t="s">
        <v>7</v>
      </c>
      <c r="O11" s="6" t="s">
        <v>8</v>
      </c>
      <c r="P11" s="9"/>
      <c r="Q11" s="9"/>
      <c r="R11" s="9"/>
      <c r="S11" s="9"/>
      <c r="T11" s="9"/>
    </row>
    <row r="12" spans="1:20" ht="14.5">
      <c r="A12" s="9" t="str">
        <f>'Classement 55'!B5</f>
        <v>Cameroun</v>
      </c>
      <c r="B12" s="9">
        <f>'Classement 55'!D5</f>
        <v>112</v>
      </c>
      <c r="C12" s="9"/>
      <c r="D12" s="9"/>
      <c r="E12" s="9"/>
      <c r="F12" s="9"/>
      <c r="G12" s="9"/>
      <c r="H12" s="9"/>
      <c r="I12" s="9"/>
      <c r="J12" s="9"/>
      <c r="K12" s="9"/>
      <c r="L12" s="9"/>
      <c r="M12" s="9"/>
      <c r="N12" s="9" t="str">
        <f>'Analyse régions'!A5</f>
        <v>Afrique centrale</v>
      </c>
      <c r="O12" s="9">
        <f>'Analyse régions'!C5</f>
        <v>163</v>
      </c>
      <c r="P12" s="9"/>
      <c r="Q12" s="9"/>
      <c r="R12" s="9"/>
      <c r="S12" s="9"/>
      <c r="T12" s="9"/>
    </row>
    <row r="13" spans="1:20" ht="14.5">
      <c r="A13" s="9" t="str">
        <f>'Classement 55'!B6</f>
        <v>Sénégal</v>
      </c>
      <c r="B13" s="9">
        <f>'Classement 55'!D6</f>
        <v>74</v>
      </c>
      <c r="C13" s="9"/>
      <c r="D13" s="9"/>
      <c r="E13" s="9"/>
      <c r="F13" s="9"/>
      <c r="G13" s="9"/>
      <c r="H13" s="9"/>
      <c r="I13" s="9"/>
      <c r="J13" s="9"/>
      <c r="K13" s="9"/>
      <c r="L13" s="9"/>
      <c r="M13" s="9"/>
      <c r="N13" s="9" t="str">
        <f>'Analyse régions'!A6</f>
        <v>Afrique de l'Ouest</v>
      </c>
      <c r="O13" s="9">
        <f>'Analyse régions'!C6</f>
        <v>214</v>
      </c>
      <c r="P13" s="9"/>
      <c r="Q13" s="9"/>
      <c r="R13" s="9"/>
      <c r="S13" s="9"/>
      <c r="T13" s="9"/>
    </row>
    <row r="14" spans="1:20" ht="14.5">
      <c r="A14" s="9" t="str">
        <f>'Classement 55'!B7</f>
        <v>Côte d’Ivoire</v>
      </c>
      <c r="B14" s="9">
        <f>'Classement 55'!D7</f>
        <v>46</v>
      </c>
      <c r="C14" s="9"/>
      <c r="D14" s="9"/>
      <c r="E14" s="9"/>
      <c r="F14" s="9"/>
      <c r="G14" s="9"/>
      <c r="H14" s="9"/>
      <c r="I14" s="9"/>
      <c r="J14" s="9"/>
      <c r="K14" s="9"/>
      <c r="L14" s="9"/>
      <c r="M14" s="9"/>
      <c r="N14" s="9" t="str">
        <f>'Analyse régions'!A7</f>
        <v>Afrique de l'Est</v>
      </c>
      <c r="O14" s="9">
        <f>'Analyse régions'!C7</f>
        <v>96</v>
      </c>
      <c r="P14" s="9"/>
      <c r="Q14" s="9"/>
      <c r="R14" s="9"/>
      <c r="S14" s="9"/>
      <c r="T14" s="9"/>
    </row>
    <row r="15" spans="1:20" ht="14.5">
      <c r="A15" s="9" t="str">
        <f>'Classement 55'!B8</f>
        <v>Kenya</v>
      </c>
      <c r="B15" s="9">
        <f>'Classement 55'!D8</f>
        <v>39</v>
      </c>
      <c r="C15" s="9"/>
      <c r="D15" s="9"/>
      <c r="E15" s="9"/>
      <c r="F15" s="9"/>
      <c r="G15" s="9"/>
      <c r="H15" s="9"/>
      <c r="I15" s="9"/>
      <c r="J15" s="9"/>
      <c r="K15" s="9"/>
      <c r="L15" s="9"/>
      <c r="M15" s="9"/>
      <c r="N15" s="9" t="str">
        <f>'Analyse régions'!A8</f>
        <v>Afrique australe</v>
      </c>
      <c r="O15" s="9">
        <f>'Analyse régions'!C8</f>
        <v>41</v>
      </c>
      <c r="P15" s="9"/>
      <c r="Q15" s="9"/>
      <c r="R15" s="9"/>
      <c r="S15" s="9"/>
      <c r="T15" s="9"/>
    </row>
    <row r="16" spans="1:20" ht="14.5">
      <c r="A16" s="9" t="str">
        <f>'Classement 55'!B9</f>
        <v>Burkina Faso</v>
      </c>
      <c r="B16" s="9">
        <f>'Classement 55'!D9</f>
        <v>24</v>
      </c>
      <c r="C16" s="9"/>
      <c r="D16" s="9"/>
      <c r="E16" s="9"/>
      <c r="F16" s="9"/>
      <c r="G16" s="9"/>
      <c r="H16" s="9"/>
      <c r="I16" s="9"/>
      <c r="J16" s="9"/>
      <c r="K16" s="9"/>
      <c r="L16" s="9"/>
      <c r="M16" s="9"/>
      <c r="N16" s="9" t="str">
        <f>'Analyse régions'!A9</f>
        <v>Afrique du Nord</v>
      </c>
      <c r="O16" s="9">
        <f>'Analyse régions'!C9</f>
        <v>37</v>
      </c>
      <c r="P16" s="9"/>
      <c r="Q16" s="9"/>
      <c r="R16" s="9"/>
      <c r="S16" s="9"/>
      <c r="T16" s="9"/>
    </row>
    <row r="17" spans="1:20" ht="14.5">
      <c r="A17" s="9" t="str">
        <f>'Classement 55'!B10</f>
        <v>Afrique du Sud</v>
      </c>
      <c r="B17" s="9">
        <f>'Classement 55'!D10</f>
        <v>23</v>
      </c>
      <c r="C17" s="9"/>
      <c r="D17" s="9"/>
      <c r="E17" s="9"/>
      <c r="F17" s="9"/>
      <c r="G17" s="9"/>
      <c r="H17" s="9"/>
      <c r="I17" s="9"/>
      <c r="J17" s="9"/>
      <c r="K17" s="9"/>
      <c r="L17" s="9"/>
      <c r="M17" s="9"/>
      <c r="N17" s="9"/>
      <c r="O17" s="9"/>
      <c r="P17" s="9"/>
      <c r="Q17" s="9"/>
      <c r="R17" s="9"/>
      <c r="S17" s="9"/>
      <c r="T17" s="9"/>
    </row>
    <row r="18" spans="1:20" ht="14.5">
      <c r="A18" s="9" t="str">
        <f>'Classement 55'!B11</f>
        <v>Nigeria</v>
      </c>
      <c r="B18" s="9">
        <f>'Classement 55'!D11</f>
        <v>23</v>
      </c>
      <c r="C18" s="9"/>
      <c r="D18" s="9"/>
      <c r="E18" s="9"/>
      <c r="F18" s="9"/>
      <c r="G18" s="9"/>
      <c r="H18" s="9"/>
      <c r="I18" s="9"/>
      <c r="J18" s="9"/>
      <c r="K18" s="9"/>
      <c r="L18" s="9"/>
      <c r="M18" s="9"/>
      <c r="N18" s="9"/>
      <c r="O18" s="9"/>
      <c r="P18" s="9"/>
      <c r="Q18" s="9"/>
      <c r="R18" s="9"/>
      <c r="S18" s="9"/>
      <c r="T18" s="9"/>
    </row>
    <row r="19" spans="1:20" ht="14.5">
      <c r="A19" s="9" t="str">
        <f>'Classement 55'!B12</f>
        <v>Tchad</v>
      </c>
      <c r="B19" s="9">
        <f>'Classement 55'!D12</f>
        <v>20</v>
      </c>
      <c r="C19" s="9"/>
      <c r="D19" s="9"/>
      <c r="E19" s="9"/>
      <c r="F19" s="9"/>
      <c r="G19" s="9"/>
      <c r="H19" s="9"/>
      <c r="I19" s="9"/>
      <c r="J19" s="9"/>
      <c r="K19" s="9"/>
      <c r="L19" s="9"/>
      <c r="M19" s="9"/>
      <c r="N19" s="9"/>
      <c r="O19" s="9"/>
      <c r="P19" s="9"/>
      <c r="Q19" s="9"/>
      <c r="R19" s="9"/>
      <c r="S19" s="9"/>
      <c r="T19" s="9"/>
    </row>
    <row r="20" spans="1:20" ht="14.5">
      <c r="A20" s="9" t="str">
        <f>'Classement 55'!B13</f>
        <v>RDC</v>
      </c>
      <c r="B20" s="9">
        <f>'Classement 55'!D13</f>
        <v>16</v>
      </c>
      <c r="C20" s="9"/>
      <c r="D20" s="9"/>
      <c r="E20" s="9"/>
      <c r="F20" s="9"/>
      <c r="G20" s="9"/>
      <c r="H20" s="9"/>
      <c r="I20" s="9"/>
      <c r="J20" s="9"/>
      <c r="K20" s="9"/>
      <c r="L20" s="9"/>
      <c r="M20" s="9"/>
      <c r="N20" s="9"/>
      <c r="O20" s="9"/>
      <c r="P20" s="9"/>
      <c r="Q20" s="9"/>
      <c r="R20" s="9"/>
      <c r="S20" s="9"/>
      <c r="T20" s="9"/>
    </row>
    <row r="21" spans="1:20" ht="14.5">
      <c r="A21" s="9" t="str">
        <f>'Classement 55'!B14</f>
        <v>Maroc</v>
      </c>
      <c r="B21" s="9">
        <f>'Classement 55'!D14</f>
        <v>15</v>
      </c>
      <c r="C21" s="9"/>
      <c r="D21" s="9"/>
      <c r="E21" s="9"/>
      <c r="F21" s="9"/>
      <c r="G21" s="9"/>
      <c r="H21" s="9"/>
      <c r="I21" s="9"/>
      <c r="J21" s="9"/>
      <c r="K21" s="9"/>
      <c r="L21" s="9"/>
      <c r="M21" s="9"/>
      <c r="N21" s="9"/>
      <c r="O21" s="9"/>
      <c r="P21" s="9"/>
      <c r="Q21" s="9"/>
      <c r="R21" s="9"/>
      <c r="S21" s="9"/>
      <c r="T21" s="9"/>
    </row>
    <row r="22" spans="1:20" ht="14.5">
      <c r="A22" s="9" t="str">
        <f>'Classement 55'!B15</f>
        <v>Togo</v>
      </c>
      <c r="B22" s="9">
        <f>'Classement 55'!D15</f>
        <v>12</v>
      </c>
      <c r="C22" s="9"/>
      <c r="D22" s="9"/>
      <c r="E22" s="9"/>
      <c r="F22" s="9"/>
      <c r="G22" s="9"/>
      <c r="H22" s="9"/>
      <c r="I22" s="9"/>
      <c r="J22" s="9"/>
      <c r="K22" s="9"/>
      <c r="L22" s="9"/>
      <c r="M22" s="9"/>
      <c r="N22" s="9"/>
      <c r="O22" s="9"/>
      <c r="P22" s="9"/>
      <c r="Q22" s="9"/>
      <c r="R22" s="9"/>
      <c r="S22" s="9"/>
      <c r="T22" s="9"/>
    </row>
    <row r="23" spans="1:20" ht="14.5">
      <c r="A23" s="9" t="str">
        <f>'Classement 55'!B16</f>
        <v>Tanzanie</v>
      </c>
      <c r="B23" s="9">
        <f>'Classement 55'!D16</f>
        <v>11</v>
      </c>
      <c r="C23" s="9"/>
      <c r="D23" s="9"/>
      <c r="E23" s="9"/>
      <c r="F23" s="9"/>
      <c r="G23" s="9"/>
      <c r="H23" s="9"/>
      <c r="I23" s="9"/>
      <c r="J23" s="9"/>
      <c r="K23" s="9"/>
      <c r="L23" s="9"/>
      <c r="M23" s="9"/>
      <c r="N23" s="9"/>
      <c r="O23" s="9"/>
      <c r="P23" s="9"/>
      <c r="Q23" s="9"/>
      <c r="R23" s="9"/>
      <c r="S23" s="9"/>
      <c r="T23" s="9"/>
    </row>
    <row r="24" spans="1:20" ht="14.5">
      <c r="A24" s="9" t="str">
        <f>'Classement 55'!B17</f>
        <v>Niger</v>
      </c>
      <c r="B24" s="9">
        <f>'Classement 55'!D17</f>
        <v>10</v>
      </c>
      <c r="C24" s="9"/>
      <c r="D24" s="9"/>
      <c r="E24" s="9"/>
      <c r="F24" s="9"/>
      <c r="G24" s="9"/>
      <c r="H24" s="9"/>
      <c r="I24" s="9"/>
      <c r="J24" s="9"/>
      <c r="K24" s="9"/>
      <c r="L24" s="9"/>
      <c r="M24" s="9"/>
      <c r="N24" s="9"/>
      <c r="O24" s="9"/>
      <c r="P24" s="9"/>
      <c r="Q24" s="9"/>
      <c r="R24" s="9"/>
      <c r="S24" s="9"/>
      <c r="T24" s="9"/>
    </row>
    <row r="25" spans="1:20" ht="14.5">
      <c r="A25" s="9" t="str">
        <f>'Classement 55'!B18</f>
        <v>Ouganda</v>
      </c>
      <c r="B25" s="9">
        <f>'Classement 55'!D18</f>
        <v>10</v>
      </c>
      <c r="C25" s="9"/>
      <c r="D25" s="9"/>
      <c r="E25" s="9"/>
      <c r="F25" s="9"/>
      <c r="G25" s="9"/>
      <c r="H25" s="9"/>
      <c r="I25" s="9"/>
      <c r="J25" s="9"/>
      <c r="K25" s="9"/>
      <c r="L25" s="9"/>
      <c r="M25" s="9"/>
      <c r="N25" s="9"/>
      <c r="O25" s="9"/>
      <c r="P25" s="9"/>
      <c r="Q25" s="9"/>
      <c r="R25" s="9"/>
      <c r="S25" s="9"/>
      <c r="T25" s="9"/>
    </row>
    <row r="26" spans="1:20" ht="14.5">
      <c r="A26" s="9" t="str">
        <f>'Classement 55'!B19</f>
        <v>Rwanda</v>
      </c>
      <c r="B26" s="9">
        <f>'Classement 55'!D19</f>
        <v>10</v>
      </c>
      <c r="C26" s="9"/>
      <c r="D26" s="9"/>
      <c r="E26" s="9"/>
      <c r="F26" s="9"/>
      <c r="G26" s="9"/>
      <c r="H26" s="9"/>
      <c r="I26" s="9"/>
      <c r="J26" s="9"/>
      <c r="K26" s="9"/>
      <c r="L26" s="9"/>
      <c r="M26" s="9"/>
      <c r="N26" s="9"/>
      <c r="O26" s="9"/>
      <c r="P26" s="9"/>
      <c r="Q26" s="9"/>
      <c r="R26" s="9"/>
      <c r="S26" s="9"/>
      <c r="T26" s="9"/>
    </row>
    <row r="27" spans="1:20" ht="14.5">
      <c r="A27" s="9"/>
      <c r="B27" s="9"/>
      <c r="C27" s="9"/>
      <c r="D27" s="9"/>
      <c r="E27" s="9"/>
      <c r="F27" s="9"/>
      <c r="G27" s="9"/>
      <c r="H27" s="9"/>
      <c r="I27" s="9"/>
      <c r="J27" s="9"/>
      <c r="K27" s="9"/>
      <c r="L27" s="9"/>
      <c r="M27" s="9"/>
      <c r="N27" s="9"/>
      <c r="O27" s="9"/>
      <c r="P27" s="9"/>
      <c r="Q27" s="9"/>
      <c r="R27" s="9"/>
      <c r="S27" s="9"/>
      <c r="T27" s="9"/>
    </row>
    <row r="28" spans="1:20" ht="14.5">
      <c r="A28" s="9"/>
      <c r="B28" s="9"/>
      <c r="C28" s="9"/>
      <c r="D28" s="9"/>
      <c r="E28" s="9"/>
      <c r="F28" s="9"/>
      <c r="G28" s="9"/>
      <c r="H28" s="9"/>
      <c r="I28" s="9"/>
      <c r="J28" s="9"/>
      <c r="K28" s="9"/>
      <c r="L28" s="9"/>
      <c r="M28" s="9"/>
      <c r="N28" s="9"/>
      <c r="O28" s="9"/>
      <c r="P28" s="9"/>
      <c r="Q28" s="9"/>
      <c r="R28" s="9"/>
      <c r="S28" s="9"/>
      <c r="T28" s="9"/>
    </row>
    <row r="29" spans="1:20" ht="14.5">
      <c r="A29" s="9"/>
      <c r="B29" s="9"/>
      <c r="C29" s="9"/>
      <c r="D29" s="9"/>
      <c r="E29" s="9"/>
      <c r="F29" s="9"/>
      <c r="G29" s="9"/>
      <c r="H29" s="9"/>
      <c r="I29" s="9"/>
      <c r="J29" s="9"/>
      <c r="K29" s="9"/>
      <c r="L29" s="9"/>
      <c r="M29" s="9"/>
      <c r="N29" s="9"/>
      <c r="O29" s="9"/>
      <c r="P29" s="9"/>
      <c r="Q29" s="9"/>
      <c r="R29" s="9"/>
      <c r="S29" s="9"/>
      <c r="T29" s="9"/>
    </row>
    <row r="30" spans="1:20" ht="14.5">
      <c r="A30" s="9"/>
      <c r="B30" s="9"/>
      <c r="C30" s="9"/>
      <c r="D30" s="9"/>
      <c r="E30" s="9"/>
      <c r="F30" s="9"/>
      <c r="G30" s="9"/>
      <c r="H30" s="9"/>
      <c r="I30" s="9"/>
      <c r="J30" s="9"/>
      <c r="K30" s="9"/>
      <c r="L30" s="9"/>
      <c r="M30" s="9"/>
      <c r="N30" s="9"/>
      <c r="O30" s="9"/>
      <c r="P30" s="9"/>
      <c r="Q30" s="9"/>
      <c r="R30" s="9"/>
      <c r="S30" s="9"/>
      <c r="T30" s="9"/>
    </row>
    <row r="31" spans="1:20" ht="14.5">
      <c r="A31" s="9"/>
      <c r="B31" s="9"/>
      <c r="C31" s="9"/>
      <c r="D31" s="9"/>
      <c r="E31" s="9"/>
      <c r="F31" s="9"/>
      <c r="G31" s="9"/>
      <c r="H31" s="9"/>
      <c r="I31" s="9"/>
      <c r="J31" s="9"/>
      <c r="K31" s="9"/>
      <c r="L31" s="9"/>
      <c r="M31" s="9"/>
      <c r="N31" s="9"/>
      <c r="O31" s="9"/>
      <c r="P31" s="9"/>
      <c r="Q31" s="9"/>
      <c r="R31" s="9"/>
      <c r="S31" s="9"/>
      <c r="T31" s="9"/>
    </row>
    <row r="32" spans="1:20" ht="14.5">
      <c r="A32" s="94" t="s">
        <v>9</v>
      </c>
      <c r="B32" s="94" t="s">
        <v>9</v>
      </c>
      <c r="C32" s="94" t="s">
        <v>9</v>
      </c>
      <c r="D32" s="94" t="s">
        <v>9</v>
      </c>
      <c r="E32" s="94" t="s">
        <v>9</v>
      </c>
      <c r="F32" s="94" t="s">
        <v>9</v>
      </c>
      <c r="G32" s="94" t="s">
        <v>9</v>
      </c>
      <c r="H32" s="94" t="s">
        <v>9</v>
      </c>
      <c r="I32" s="94" t="s">
        <v>9</v>
      </c>
      <c r="J32" s="94" t="s">
        <v>9</v>
      </c>
      <c r="K32" s="94" t="s">
        <v>9</v>
      </c>
      <c r="L32" s="94" t="s">
        <v>9</v>
      </c>
      <c r="M32" s="94" t="s">
        <v>9</v>
      </c>
      <c r="N32" s="94" t="s">
        <v>9</v>
      </c>
      <c r="O32" s="94" t="s">
        <v>9</v>
      </c>
      <c r="P32" s="94" t="s">
        <v>9</v>
      </c>
      <c r="Q32" s="94" t="s">
        <v>9</v>
      </c>
      <c r="R32" s="94" t="s">
        <v>9</v>
      </c>
      <c r="S32" s="94" t="s">
        <v>9</v>
      </c>
      <c r="T32" s="94" t="s">
        <v>9</v>
      </c>
    </row>
    <row r="33" spans="1:20" ht="14.5">
      <c r="A33" s="9"/>
      <c r="B33" s="9"/>
      <c r="C33" s="9"/>
      <c r="D33" s="9"/>
      <c r="E33" s="9"/>
      <c r="F33" s="9"/>
      <c r="G33" s="9"/>
      <c r="H33" s="9"/>
      <c r="I33" s="9"/>
      <c r="J33" s="9"/>
      <c r="K33" s="9"/>
      <c r="L33" s="9"/>
      <c r="M33" s="9"/>
      <c r="N33" s="9"/>
      <c r="O33" s="9"/>
      <c r="P33" s="9"/>
      <c r="Q33" s="9"/>
      <c r="R33" s="9"/>
      <c r="S33" s="9"/>
      <c r="T33" s="9"/>
    </row>
    <row r="34" spans="1:20">
      <c r="A34" s="95" t="s">
        <v>10</v>
      </c>
      <c r="B34" s="96"/>
      <c r="C34" s="96"/>
      <c r="D34" s="96"/>
      <c r="E34" s="96"/>
      <c r="F34" s="96"/>
      <c r="G34" s="96"/>
      <c r="H34" s="96"/>
      <c r="I34" s="96"/>
      <c r="J34" s="96"/>
      <c r="K34" s="96"/>
      <c r="L34" s="96"/>
      <c r="M34" s="96"/>
      <c r="N34" s="96"/>
      <c r="O34" s="96"/>
      <c r="P34" s="96"/>
      <c r="Q34" s="96"/>
      <c r="R34" s="96"/>
      <c r="S34" s="96"/>
      <c r="T34" s="97"/>
    </row>
    <row r="35" spans="1:20">
      <c r="A35" s="98"/>
      <c r="B35" s="99"/>
      <c r="C35" s="99"/>
      <c r="D35" s="99"/>
      <c r="E35" s="99"/>
      <c r="F35" s="99"/>
      <c r="G35" s="99"/>
      <c r="H35" s="99"/>
      <c r="I35" s="99"/>
      <c r="J35" s="99"/>
      <c r="K35" s="99"/>
      <c r="L35" s="99"/>
      <c r="M35" s="99"/>
      <c r="N35" s="99"/>
      <c r="O35" s="99"/>
      <c r="P35" s="99"/>
      <c r="Q35" s="99"/>
      <c r="R35" s="99"/>
      <c r="S35" s="99"/>
      <c r="T35" s="100"/>
    </row>
    <row r="36" spans="1:20">
      <c r="A36" s="98"/>
      <c r="B36" s="99"/>
      <c r="C36" s="99"/>
      <c r="D36" s="99"/>
      <c r="E36" s="99"/>
      <c r="F36" s="99"/>
      <c r="G36" s="99"/>
      <c r="H36" s="99"/>
      <c r="I36" s="99"/>
      <c r="J36" s="99"/>
      <c r="K36" s="99"/>
      <c r="L36" s="99"/>
      <c r="M36" s="99"/>
      <c r="N36" s="99"/>
      <c r="O36" s="99"/>
      <c r="P36" s="99"/>
      <c r="Q36" s="99"/>
      <c r="R36" s="99"/>
      <c r="S36" s="99"/>
      <c r="T36" s="100"/>
    </row>
    <row r="37" spans="1:20">
      <c r="A37" s="98"/>
      <c r="B37" s="99"/>
      <c r="C37" s="99"/>
      <c r="D37" s="99"/>
      <c r="E37" s="99"/>
      <c r="F37" s="99"/>
      <c r="G37" s="99"/>
      <c r="H37" s="99"/>
      <c r="I37" s="99"/>
      <c r="J37" s="99"/>
      <c r="K37" s="99"/>
      <c r="L37" s="99"/>
      <c r="M37" s="99"/>
      <c r="N37" s="99"/>
      <c r="O37" s="99"/>
      <c r="P37" s="99"/>
      <c r="Q37" s="99"/>
      <c r="R37" s="99"/>
      <c r="S37" s="99"/>
      <c r="T37" s="100"/>
    </row>
    <row r="38" spans="1:20">
      <c r="A38" s="98"/>
      <c r="B38" s="99"/>
      <c r="C38" s="99"/>
      <c r="D38" s="99"/>
      <c r="E38" s="99"/>
      <c r="F38" s="99"/>
      <c r="G38" s="99"/>
      <c r="H38" s="99"/>
      <c r="I38" s="99"/>
      <c r="J38" s="99"/>
      <c r="K38" s="99"/>
      <c r="L38" s="99"/>
      <c r="M38" s="99"/>
      <c r="N38" s="99"/>
      <c r="O38" s="99"/>
      <c r="P38" s="99"/>
      <c r="Q38" s="99"/>
      <c r="R38" s="99"/>
      <c r="S38" s="99"/>
      <c r="T38" s="100"/>
    </row>
    <row r="39" spans="1:20">
      <c r="A39" s="101"/>
      <c r="B39" s="102"/>
      <c r="C39" s="102"/>
      <c r="D39" s="102"/>
      <c r="E39" s="102"/>
      <c r="F39" s="102"/>
      <c r="G39" s="102"/>
      <c r="H39" s="102"/>
      <c r="I39" s="102"/>
      <c r="J39" s="102"/>
      <c r="K39" s="102"/>
      <c r="L39" s="102"/>
      <c r="M39" s="102"/>
      <c r="N39" s="102"/>
      <c r="O39" s="102"/>
      <c r="P39" s="102"/>
      <c r="Q39" s="102"/>
      <c r="R39" s="102"/>
      <c r="S39" s="102"/>
      <c r="T39" s="103"/>
    </row>
    <row r="40" spans="1:20" ht="14.5">
      <c r="A40" s="9"/>
      <c r="B40" s="9"/>
      <c r="C40" s="9"/>
      <c r="D40" s="9"/>
      <c r="E40" s="9"/>
      <c r="F40" s="9"/>
      <c r="G40" s="9"/>
      <c r="H40" s="9"/>
      <c r="I40" s="9"/>
      <c r="J40" s="9"/>
      <c r="K40" s="9"/>
      <c r="L40" s="9"/>
      <c r="M40" s="9"/>
      <c r="N40" s="9"/>
      <c r="O40" s="9"/>
      <c r="P40" s="9"/>
      <c r="Q40" s="9"/>
      <c r="R40" s="9"/>
      <c r="S40" s="9"/>
      <c r="T40" s="9"/>
    </row>
    <row r="41" spans="1:20" ht="14.5">
      <c r="A41" s="9"/>
      <c r="B41" s="9"/>
      <c r="C41" s="9"/>
      <c r="D41" s="9"/>
      <c r="E41" s="9"/>
      <c r="F41" s="9"/>
      <c r="G41" s="9"/>
      <c r="H41" s="9"/>
      <c r="I41" s="9"/>
      <c r="J41" s="9"/>
      <c r="K41" s="9"/>
      <c r="L41" s="9"/>
      <c r="M41" s="9"/>
      <c r="N41" s="9"/>
      <c r="O41" s="9"/>
      <c r="P41" s="9"/>
      <c r="Q41" s="9"/>
      <c r="R41" s="9"/>
      <c r="S41" s="9"/>
      <c r="T41" s="9"/>
    </row>
    <row r="42" spans="1:20" ht="14.5">
      <c r="A42" s="94" t="s">
        <v>11</v>
      </c>
      <c r="B42" s="94" t="s">
        <v>11</v>
      </c>
      <c r="C42" s="94" t="s">
        <v>11</v>
      </c>
      <c r="D42" s="94" t="s">
        <v>11</v>
      </c>
      <c r="E42" s="94" t="s">
        <v>11</v>
      </c>
      <c r="F42" s="94" t="s">
        <v>11</v>
      </c>
      <c r="G42" s="94" t="s">
        <v>11</v>
      </c>
      <c r="H42" s="94" t="s">
        <v>11</v>
      </c>
      <c r="I42" s="94" t="s">
        <v>11</v>
      </c>
      <c r="J42" s="94" t="s">
        <v>11</v>
      </c>
      <c r="K42" s="9"/>
      <c r="L42" s="94" t="s">
        <v>12</v>
      </c>
      <c r="M42" s="94" t="s">
        <v>12</v>
      </c>
      <c r="N42" s="94" t="s">
        <v>12</v>
      </c>
      <c r="O42" s="94" t="s">
        <v>12</v>
      </c>
      <c r="P42" s="94" t="s">
        <v>12</v>
      </c>
      <c r="Q42" s="94" t="s">
        <v>12</v>
      </c>
      <c r="R42" s="94" t="s">
        <v>12</v>
      </c>
      <c r="S42" s="94" t="s">
        <v>12</v>
      </c>
      <c r="T42" s="94" t="s">
        <v>12</v>
      </c>
    </row>
    <row r="43" spans="1:20" ht="14.5">
      <c r="A43" s="4" t="s">
        <v>13</v>
      </c>
      <c r="B43" s="6" t="s">
        <v>14</v>
      </c>
      <c r="C43" s="9"/>
      <c r="D43" s="9"/>
      <c r="E43" s="9"/>
      <c r="F43" s="9"/>
      <c r="G43" s="9"/>
      <c r="H43" s="9"/>
      <c r="I43" s="9"/>
      <c r="J43" s="9"/>
      <c r="K43" s="9"/>
      <c r="L43" s="104" t="s">
        <v>15</v>
      </c>
      <c r="M43" s="105"/>
      <c r="N43" s="105"/>
      <c r="O43" s="105"/>
      <c r="P43" s="105"/>
      <c r="Q43" s="105"/>
      <c r="R43" s="105"/>
      <c r="S43" s="105"/>
      <c r="T43" s="106"/>
    </row>
    <row r="44" spans="1:20" ht="14.5">
      <c r="A44" s="9" t="s">
        <v>16</v>
      </c>
      <c r="B44" s="10">
        <v>0.33756805807622503</v>
      </c>
      <c r="C44" s="9"/>
      <c r="D44" s="9"/>
      <c r="E44" s="9"/>
      <c r="F44" s="9"/>
      <c r="G44" s="9"/>
      <c r="H44" s="9"/>
      <c r="I44" s="9"/>
      <c r="J44" s="9"/>
      <c r="K44" s="9"/>
      <c r="L44" s="107"/>
      <c r="M44" s="108"/>
      <c r="N44" s="108"/>
      <c r="O44" s="108"/>
      <c r="P44" s="108"/>
      <c r="Q44" s="108"/>
      <c r="R44" s="108"/>
      <c r="S44" s="108"/>
      <c r="T44" s="109"/>
    </row>
    <row r="45" spans="1:20" ht="14.5">
      <c r="A45" s="9" t="s">
        <v>17</v>
      </c>
      <c r="B45" s="10">
        <v>0.53539019963702361</v>
      </c>
      <c r="C45" s="9"/>
      <c r="D45" s="9"/>
      <c r="E45" s="9"/>
      <c r="F45" s="9"/>
      <c r="G45" s="9"/>
      <c r="H45" s="9"/>
      <c r="I45" s="9"/>
      <c r="J45" s="9"/>
      <c r="K45" s="9"/>
      <c r="L45" s="107"/>
      <c r="M45" s="108"/>
      <c r="N45" s="108"/>
      <c r="O45" s="108"/>
      <c r="P45" s="108"/>
      <c r="Q45" s="108"/>
      <c r="R45" s="108"/>
      <c r="S45" s="108"/>
      <c r="T45" s="109"/>
    </row>
    <row r="46" spans="1:20" ht="14.5">
      <c r="A46" s="9" t="s">
        <v>18</v>
      </c>
      <c r="B46" s="10">
        <v>0.71143375680580767</v>
      </c>
      <c r="C46" s="9"/>
      <c r="D46" s="9"/>
      <c r="E46" s="9"/>
      <c r="F46" s="9"/>
      <c r="G46" s="9"/>
      <c r="H46" s="9"/>
      <c r="I46" s="9"/>
      <c r="J46" s="9"/>
      <c r="K46" s="9"/>
      <c r="L46" s="107"/>
      <c r="M46" s="108"/>
      <c r="N46" s="108"/>
      <c r="O46" s="108"/>
      <c r="P46" s="108"/>
      <c r="Q46" s="108"/>
      <c r="R46" s="108"/>
      <c r="S46" s="108"/>
      <c r="T46" s="109"/>
    </row>
    <row r="47" spans="1:20" ht="14.5">
      <c r="A47" s="9" t="s">
        <v>19</v>
      </c>
      <c r="B47" s="10">
        <v>0.69341692789968667</v>
      </c>
      <c r="C47" s="9"/>
      <c r="D47" s="9"/>
      <c r="E47" s="9"/>
      <c r="F47" s="9"/>
      <c r="G47" s="9"/>
      <c r="H47" s="9"/>
      <c r="I47" s="9"/>
      <c r="J47" s="9"/>
      <c r="K47" s="9"/>
      <c r="L47" s="107"/>
      <c r="M47" s="108"/>
      <c r="N47" s="108"/>
      <c r="O47" s="108"/>
      <c r="P47" s="108"/>
      <c r="Q47" s="108"/>
      <c r="R47" s="108"/>
      <c r="S47" s="108"/>
      <c r="T47" s="109"/>
    </row>
    <row r="48" spans="1:20" ht="14.5">
      <c r="A48" s="9"/>
      <c r="B48" s="9"/>
      <c r="C48" s="9"/>
      <c r="D48" s="9"/>
      <c r="E48" s="9"/>
      <c r="F48" s="9"/>
      <c r="G48" s="9"/>
      <c r="H48" s="9"/>
      <c r="I48" s="9"/>
      <c r="J48" s="9"/>
      <c r="K48" s="9"/>
      <c r="L48" s="110"/>
      <c r="M48" s="111"/>
      <c r="N48" s="111"/>
      <c r="O48" s="111"/>
      <c r="P48" s="111"/>
      <c r="Q48" s="111"/>
      <c r="R48" s="111"/>
      <c r="S48" s="111"/>
      <c r="T48" s="112"/>
    </row>
    <row r="49" spans="1:20" ht="14.5">
      <c r="A49" s="9"/>
      <c r="B49" s="9"/>
      <c r="C49" s="9"/>
      <c r="D49" s="9"/>
      <c r="E49" s="9"/>
      <c r="F49" s="9"/>
      <c r="G49" s="9"/>
      <c r="H49" s="9"/>
      <c r="I49" s="9"/>
      <c r="J49" s="9"/>
      <c r="K49" s="9"/>
      <c r="L49" s="9"/>
      <c r="M49" s="9"/>
      <c r="N49" s="9"/>
      <c r="O49" s="9"/>
      <c r="P49" s="9"/>
      <c r="Q49" s="9"/>
      <c r="R49" s="9"/>
      <c r="S49" s="9"/>
      <c r="T49" s="9"/>
    </row>
    <row r="50" spans="1:20" ht="14.5">
      <c r="A50" s="9"/>
      <c r="B50" s="9"/>
      <c r="C50" s="9"/>
      <c r="D50" s="9"/>
      <c r="E50" s="9"/>
      <c r="F50" s="9"/>
      <c r="G50" s="9"/>
      <c r="H50" s="9"/>
      <c r="I50" s="9"/>
      <c r="J50" s="9"/>
      <c r="K50" s="9"/>
      <c r="L50" s="9"/>
      <c r="M50" s="9"/>
      <c r="N50" s="9"/>
      <c r="O50" s="9"/>
      <c r="P50" s="9"/>
      <c r="Q50" s="9"/>
      <c r="R50" s="9"/>
      <c r="S50" s="9"/>
      <c r="T50" s="9"/>
    </row>
    <row r="51" spans="1:20" ht="14.5">
      <c r="A51" s="9"/>
      <c r="B51" s="9"/>
      <c r="C51" s="9"/>
      <c r="D51" s="9"/>
      <c r="E51" s="9"/>
      <c r="F51" s="9"/>
      <c r="G51" s="9"/>
      <c r="H51" s="9"/>
      <c r="I51" s="9"/>
      <c r="J51" s="9"/>
      <c r="K51" s="9"/>
      <c r="L51" s="9"/>
      <c r="M51" s="9"/>
      <c r="N51" s="9"/>
      <c r="O51" s="9"/>
      <c r="P51" s="9"/>
      <c r="Q51" s="9"/>
      <c r="R51" s="9"/>
      <c r="S51" s="9"/>
      <c r="T51" s="9"/>
    </row>
    <row r="52" spans="1:20" ht="14.5">
      <c r="A52" s="9"/>
      <c r="B52" s="9"/>
      <c r="C52" s="9"/>
      <c r="D52" s="9"/>
      <c r="E52" s="9"/>
      <c r="F52" s="9"/>
      <c r="G52" s="9"/>
      <c r="H52" s="9"/>
      <c r="I52" s="9"/>
      <c r="J52" s="9"/>
      <c r="K52" s="9"/>
      <c r="L52" s="9"/>
      <c r="M52" s="9"/>
      <c r="N52" s="9"/>
      <c r="O52" s="9"/>
      <c r="P52" s="9"/>
      <c r="Q52" s="9"/>
      <c r="R52" s="9"/>
      <c r="S52" s="9"/>
      <c r="T52" s="9"/>
    </row>
    <row r="53" spans="1:20" ht="14.5">
      <c r="A53" s="9"/>
      <c r="B53" s="9"/>
      <c r="C53" s="9"/>
      <c r="D53" s="9"/>
      <c r="E53" s="9"/>
      <c r="F53" s="9"/>
      <c r="G53" s="9"/>
      <c r="H53" s="9"/>
      <c r="I53" s="9"/>
      <c r="J53" s="9"/>
      <c r="K53" s="9"/>
      <c r="L53" s="9"/>
      <c r="M53" s="9"/>
      <c r="N53" s="9"/>
      <c r="O53" s="9"/>
      <c r="P53" s="9"/>
      <c r="Q53" s="9"/>
      <c r="R53" s="9"/>
      <c r="S53" s="9"/>
      <c r="T53" s="9"/>
    </row>
    <row r="54" spans="1:20" ht="14.5">
      <c r="A54" s="9"/>
      <c r="B54" s="9"/>
      <c r="C54" s="9"/>
      <c r="D54" s="9"/>
      <c r="E54" s="9"/>
      <c r="F54" s="9"/>
      <c r="G54" s="9"/>
      <c r="H54" s="9"/>
      <c r="I54" s="9"/>
      <c r="J54" s="9"/>
      <c r="K54" s="9"/>
      <c r="L54" s="9"/>
      <c r="M54" s="9"/>
      <c r="N54" s="9"/>
      <c r="O54" s="9"/>
      <c r="P54" s="9"/>
      <c r="Q54" s="9"/>
      <c r="R54" s="9"/>
      <c r="S54" s="9"/>
      <c r="T54" s="9"/>
    </row>
    <row r="55" spans="1:20" ht="14.5">
      <c r="A55" s="9"/>
      <c r="B55" s="9"/>
      <c r="C55" s="9"/>
      <c r="D55" s="9"/>
      <c r="E55" s="9"/>
      <c r="F55" s="9"/>
      <c r="G55" s="9"/>
      <c r="H55" s="9"/>
      <c r="I55" s="9"/>
      <c r="J55" s="9"/>
      <c r="K55" s="9"/>
      <c r="L55" s="9"/>
      <c r="M55" s="9"/>
      <c r="N55" s="9"/>
      <c r="O55" s="9"/>
      <c r="P55" s="9"/>
      <c r="Q55" s="9"/>
      <c r="R55" s="9"/>
      <c r="S55" s="9"/>
      <c r="T55" s="9"/>
    </row>
  </sheetData>
  <mergeCells count="15">
    <mergeCell ref="A32:T32"/>
    <mergeCell ref="A34:T39"/>
    <mergeCell ref="A42:J42"/>
    <mergeCell ref="L42:T42"/>
    <mergeCell ref="L43:T48"/>
    <mergeCell ref="A1:T1"/>
    <mergeCell ref="A2:T2"/>
    <mergeCell ref="A4:D7"/>
    <mergeCell ref="A8:D8"/>
    <mergeCell ref="F4:I7"/>
    <mergeCell ref="F8:I8"/>
    <mergeCell ref="K4:N7"/>
    <mergeCell ref="K8:N8"/>
    <mergeCell ref="P4:T7"/>
    <mergeCell ref="P8:T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7"/>
  <sheetViews>
    <sheetView showGridLines="0" zoomScale="80" zoomScaleNormal="80" workbookViewId="0">
      <selection sqref="A1:T1"/>
    </sheetView>
  </sheetViews>
  <sheetFormatPr defaultRowHeight="14"/>
  <cols>
    <col min="1" max="1" width="16.6640625" customWidth="1"/>
    <col min="2" max="2" width="8.9140625" customWidth="1"/>
    <col min="3" max="3" width="10" customWidth="1"/>
    <col min="4" max="4" width="10.58203125" customWidth="1"/>
    <col min="5" max="5" width="2.25" customWidth="1"/>
    <col min="6" max="10" width="10.58203125" customWidth="1"/>
    <col min="11" max="11" width="2.75" customWidth="1"/>
    <col min="12" max="13" width="10.58203125" customWidth="1"/>
    <col min="14" max="14" width="6.08203125" customWidth="1"/>
    <col min="15" max="15" width="36.6640625" customWidth="1"/>
    <col min="16" max="16" width="13.33203125" customWidth="1"/>
    <col min="17" max="17" width="7.75" customWidth="1"/>
    <col min="18" max="18" width="8.9140625" customWidth="1"/>
    <col min="19" max="19" width="7.75" customWidth="1"/>
    <col min="20" max="20" width="10" customWidth="1"/>
  </cols>
  <sheetData>
    <row r="1" spans="1:20" ht="23">
      <c r="A1" s="113" t="s">
        <v>20</v>
      </c>
      <c r="B1" s="113"/>
      <c r="C1" s="113"/>
      <c r="D1" s="113"/>
      <c r="E1" s="113"/>
      <c r="F1" s="113"/>
      <c r="G1" s="113"/>
      <c r="H1" s="113"/>
      <c r="I1" s="113"/>
      <c r="J1" s="113"/>
      <c r="K1" s="113"/>
      <c r="L1" s="113"/>
      <c r="M1" s="113"/>
      <c r="N1" s="113"/>
      <c r="O1" s="113"/>
      <c r="P1" s="113"/>
      <c r="Q1" s="113"/>
      <c r="R1" s="113"/>
      <c r="S1" s="113"/>
      <c r="T1" s="113"/>
    </row>
    <row r="2" spans="1:20">
      <c r="A2" s="114" t="s">
        <v>21</v>
      </c>
      <c r="B2" s="114"/>
      <c r="C2" s="114"/>
      <c r="D2" s="114"/>
      <c r="E2" s="114"/>
      <c r="F2" s="114"/>
      <c r="G2" s="114"/>
      <c r="H2" s="114"/>
      <c r="I2" s="114"/>
      <c r="J2" s="114"/>
      <c r="K2" s="114"/>
      <c r="L2" s="114"/>
      <c r="M2" s="114"/>
      <c r="N2" s="114"/>
      <c r="O2" s="114"/>
      <c r="P2" s="114"/>
      <c r="Q2" s="114"/>
      <c r="R2" s="114"/>
      <c r="S2" s="114"/>
      <c r="T2" s="114"/>
    </row>
    <row r="3" spans="1:20">
      <c r="A3" s="11"/>
      <c r="B3" s="11"/>
      <c r="C3" s="11"/>
      <c r="D3" s="11"/>
      <c r="E3" s="11"/>
      <c r="F3" s="11"/>
      <c r="G3" s="11"/>
      <c r="H3" s="11"/>
      <c r="I3" s="11"/>
      <c r="J3" s="11"/>
      <c r="K3" s="11"/>
      <c r="L3" s="11"/>
      <c r="M3" s="11"/>
      <c r="N3" s="11"/>
      <c r="O3" s="11"/>
      <c r="P3" s="11"/>
      <c r="Q3" s="11"/>
      <c r="R3" s="11"/>
      <c r="S3" s="11"/>
      <c r="T3" s="11"/>
    </row>
    <row r="4" spans="1:20">
      <c r="A4" s="115">
        <v>1044</v>
      </c>
      <c r="B4" s="116"/>
      <c r="C4" s="116"/>
      <c r="D4" s="117"/>
      <c r="E4" s="11"/>
      <c r="F4" s="125">
        <v>22786</v>
      </c>
      <c r="G4" s="126"/>
      <c r="H4" s="126"/>
      <c r="I4" s="127"/>
      <c r="J4" s="11"/>
      <c r="K4" s="134">
        <v>5</v>
      </c>
      <c r="L4" s="135"/>
      <c r="M4" s="135"/>
      <c r="N4" s="136"/>
      <c r="O4" s="11"/>
      <c r="P4" s="143">
        <v>21.829501915708811</v>
      </c>
      <c r="Q4" s="144"/>
      <c r="R4" s="144"/>
      <c r="S4" s="144"/>
      <c r="T4" s="145"/>
    </row>
    <row r="5" spans="1:20">
      <c r="A5" s="118"/>
      <c r="B5" s="119"/>
      <c r="C5" s="119"/>
      <c r="D5" s="120"/>
      <c r="E5" s="11"/>
      <c r="F5" s="128"/>
      <c r="G5" s="129"/>
      <c r="H5" s="129"/>
      <c r="I5" s="130"/>
      <c r="J5" s="11"/>
      <c r="K5" s="137"/>
      <c r="L5" s="138"/>
      <c r="M5" s="138"/>
      <c r="N5" s="139"/>
      <c r="O5" s="11"/>
      <c r="P5" s="146"/>
      <c r="Q5" s="147"/>
      <c r="R5" s="147"/>
      <c r="S5" s="147"/>
      <c r="T5" s="148"/>
    </row>
    <row r="6" spans="1:20">
      <c r="A6" s="118"/>
      <c r="B6" s="119"/>
      <c r="C6" s="119"/>
      <c r="D6" s="120"/>
      <c r="E6" s="11"/>
      <c r="F6" s="128"/>
      <c r="G6" s="129"/>
      <c r="H6" s="129"/>
      <c r="I6" s="130"/>
      <c r="J6" s="11"/>
      <c r="K6" s="137"/>
      <c r="L6" s="138"/>
      <c r="M6" s="138"/>
      <c r="N6" s="139"/>
      <c r="O6" s="11"/>
      <c r="P6" s="146"/>
      <c r="Q6" s="147"/>
      <c r="R6" s="147"/>
      <c r="S6" s="147"/>
      <c r="T6" s="148"/>
    </row>
    <row r="7" spans="1:20">
      <c r="A7" s="121"/>
      <c r="B7" s="122"/>
      <c r="C7" s="122"/>
      <c r="D7" s="123"/>
      <c r="E7" s="11"/>
      <c r="F7" s="131"/>
      <c r="G7" s="132"/>
      <c r="H7" s="132"/>
      <c r="I7" s="133"/>
      <c r="J7" s="11"/>
      <c r="K7" s="140"/>
      <c r="L7" s="141"/>
      <c r="M7" s="141"/>
      <c r="N7" s="142"/>
      <c r="O7" s="11"/>
      <c r="P7" s="149"/>
      <c r="Q7" s="150"/>
      <c r="R7" s="150"/>
      <c r="S7" s="150"/>
      <c r="T7" s="151"/>
    </row>
    <row r="8" spans="1:20">
      <c r="A8" s="124" t="s">
        <v>22</v>
      </c>
      <c r="B8" s="124"/>
      <c r="C8" s="124"/>
      <c r="D8" s="124"/>
      <c r="E8" s="11"/>
      <c r="F8" s="124" t="s">
        <v>23</v>
      </c>
      <c r="G8" s="124"/>
      <c r="H8" s="124"/>
      <c r="I8" s="124"/>
      <c r="J8" s="11"/>
      <c r="K8" s="124" t="s">
        <v>24</v>
      </c>
      <c r="L8" s="124"/>
      <c r="M8" s="124"/>
      <c r="N8" s="124"/>
      <c r="O8" s="11"/>
      <c r="P8" s="124" t="s">
        <v>25</v>
      </c>
      <c r="Q8" s="124"/>
      <c r="R8" s="124"/>
      <c r="S8" s="124"/>
      <c r="T8" s="124"/>
    </row>
    <row r="9" spans="1:20">
      <c r="A9" s="11"/>
      <c r="B9" s="11"/>
      <c r="C9" s="11"/>
      <c r="D9" s="11"/>
      <c r="E9" s="11"/>
      <c r="F9" s="11"/>
      <c r="G9" s="11"/>
      <c r="H9" s="11"/>
      <c r="I9" s="11"/>
      <c r="J9" s="11"/>
      <c r="K9" s="11"/>
      <c r="L9" s="11"/>
      <c r="M9" s="11"/>
      <c r="N9" s="11"/>
      <c r="O9" s="11"/>
      <c r="P9" s="11"/>
      <c r="Q9" s="11"/>
      <c r="R9" s="11"/>
      <c r="S9" s="11"/>
      <c r="T9" s="11"/>
    </row>
    <row r="10" spans="1:20">
      <c r="A10" s="152" t="s">
        <v>26</v>
      </c>
      <c r="B10" s="152" t="s">
        <v>26</v>
      </c>
      <c r="C10" s="152" t="s">
        <v>26</v>
      </c>
      <c r="D10" s="152" t="s">
        <v>26</v>
      </c>
      <c r="E10" s="152" t="s">
        <v>26</v>
      </c>
      <c r="F10" s="152" t="s">
        <v>26</v>
      </c>
      <c r="G10" s="152" t="s">
        <v>26</v>
      </c>
      <c r="H10" s="152" t="s">
        <v>26</v>
      </c>
      <c r="I10" s="11"/>
      <c r="J10" s="11"/>
      <c r="K10" s="11"/>
      <c r="L10" s="11"/>
      <c r="M10" s="11"/>
      <c r="N10" s="152" t="s">
        <v>27</v>
      </c>
      <c r="O10" s="152" t="s">
        <v>27</v>
      </c>
      <c r="P10" s="152" t="s">
        <v>27</v>
      </c>
      <c r="Q10" s="152" t="s">
        <v>27</v>
      </c>
      <c r="R10" s="152" t="s">
        <v>27</v>
      </c>
      <c r="S10" s="152" t="s">
        <v>27</v>
      </c>
      <c r="T10" s="152" t="s">
        <v>27</v>
      </c>
    </row>
    <row r="11" spans="1:20">
      <c r="A11" s="1" t="s">
        <v>28</v>
      </c>
      <c r="B11" s="2" t="s">
        <v>8</v>
      </c>
      <c r="C11" s="2" t="s">
        <v>29</v>
      </c>
      <c r="D11" s="3" t="s">
        <v>30</v>
      </c>
      <c r="E11" s="11"/>
      <c r="F11" s="11"/>
      <c r="G11" s="11"/>
      <c r="H11" s="11"/>
      <c r="I11" s="11"/>
      <c r="J11" s="11"/>
      <c r="K11" s="11"/>
      <c r="L11" s="11"/>
      <c r="M11" s="11"/>
      <c r="N11" s="1" t="s">
        <v>31</v>
      </c>
      <c r="O11" s="2" t="s">
        <v>32</v>
      </c>
      <c r="P11" s="2" t="s">
        <v>28</v>
      </c>
      <c r="Q11" s="2" t="s">
        <v>29</v>
      </c>
      <c r="R11" s="2" t="s">
        <v>33</v>
      </c>
      <c r="S11" s="2" t="s">
        <v>34</v>
      </c>
      <c r="T11" s="3" t="s">
        <v>35</v>
      </c>
    </row>
    <row r="12" spans="1:20" ht="28">
      <c r="A12" s="11" t="str">
        <f>Auteurs!A5</f>
        <v>Malick Kane</v>
      </c>
      <c r="B12" s="12">
        <f>Auteurs!B5</f>
        <v>798</v>
      </c>
      <c r="C12" s="12">
        <f>Auteurs!D5</f>
        <v>17485</v>
      </c>
      <c r="D12" s="13">
        <f>Auteurs!F5</f>
        <v>21.911027568922307</v>
      </c>
      <c r="E12" s="11"/>
      <c r="F12" s="11"/>
      <c r="G12" s="11"/>
      <c r="H12" s="11"/>
      <c r="I12" s="11"/>
      <c r="J12" s="11"/>
      <c r="K12" s="11"/>
      <c r="L12" s="11"/>
      <c r="M12" s="11"/>
      <c r="N12" s="11">
        <v>1</v>
      </c>
      <c r="O12" s="14" t="s">
        <v>36</v>
      </c>
      <c r="P12" s="11" t="s">
        <v>37</v>
      </c>
      <c r="Q12" s="12">
        <v>181</v>
      </c>
      <c r="R12" s="13">
        <v>30.166666666666668</v>
      </c>
      <c r="S12" s="13">
        <v>99.9</v>
      </c>
      <c r="T12" s="11" t="s">
        <v>38</v>
      </c>
    </row>
    <row r="13" spans="1:20" ht="28">
      <c r="A13" s="11" t="str">
        <f>Auteurs!A6</f>
        <v>Flora J. Ingah</v>
      </c>
      <c r="B13" s="12">
        <f>Auteurs!B6</f>
        <v>87</v>
      </c>
      <c r="C13" s="12">
        <f>Auteurs!D6</f>
        <v>1758</v>
      </c>
      <c r="D13" s="13">
        <f>Auteurs!F6</f>
        <v>20.206896551724139</v>
      </c>
      <c r="E13" s="11"/>
      <c r="F13" s="11"/>
      <c r="G13" s="11"/>
      <c r="H13" s="11"/>
      <c r="I13" s="11"/>
      <c r="J13" s="11"/>
      <c r="K13" s="11"/>
      <c r="L13" s="11"/>
      <c r="M13" s="11"/>
      <c r="N13" s="11">
        <v>2</v>
      </c>
      <c r="O13" s="14" t="s">
        <v>39</v>
      </c>
      <c r="P13" s="11" t="s">
        <v>37</v>
      </c>
      <c r="Q13" s="12">
        <v>121</v>
      </c>
      <c r="R13" s="13">
        <v>24.2</v>
      </c>
      <c r="S13" s="13">
        <v>99.7</v>
      </c>
      <c r="T13" s="11" t="s">
        <v>38</v>
      </c>
    </row>
    <row r="14" spans="1:20" ht="28">
      <c r="A14" s="11" t="str">
        <f>Auteurs!A7</f>
        <v>Mac Juliette Johngwe</v>
      </c>
      <c r="B14" s="12">
        <f>Auteurs!B7</f>
        <v>85</v>
      </c>
      <c r="C14" s="12">
        <f>Auteurs!D7</f>
        <v>2074</v>
      </c>
      <c r="D14" s="13">
        <f>Auteurs!F7</f>
        <v>24.4</v>
      </c>
      <c r="E14" s="11"/>
      <c r="F14" s="11"/>
      <c r="G14" s="11"/>
      <c r="H14" s="11"/>
      <c r="I14" s="11"/>
      <c r="J14" s="11"/>
      <c r="K14" s="11"/>
      <c r="L14" s="11"/>
      <c r="M14" s="11"/>
      <c r="N14" s="11">
        <v>3</v>
      </c>
      <c r="O14" s="14" t="s">
        <v>40</v>
      </c>
      <c r="P14" s="11" t="s">
        <v>37</v>
      </c>
      <c r="Q14" s="12">
        <v>91</v>
      </c>
      <c r="R14" s="13">
        <v>15.166666666666666</v>
      </c>
      <c r="S14" s="13">
        <v>99.3</v>
      </c>
      <c r="T14" s="11" t="s">
        <v>38</v>
      </c>
    </row>
    <row r="15" spans="1:20" ht="28">
      <c r="A15" s="11" t="str">
        <f>Auteurs!A8</f>
        <v>Simon Yaya</v>
      </c>
      <c r="B15" s="12">
        <f>Auteurs!B8</f>
        <v>67</v>
      </c>
      <c r="C15" s="12">
        <f>Auteurs!D8</f>
        <v>1407</v>
      </c>
      <c r="D15" s="13">
        <f>Auteurs!F8</f>
        <v>21</v>
      </c>
      <c r="E15" s="11"/>
      <c r="F15" s="11"/>
      <c r="G15" s="11"/>
      <c r="H15" s="11"/>
      <c r="I15" s="11"/>
      <c r="J15" s="11"/>
      <c r="K15" s="11"/>
      <c r="L15" s="11"/>
      <c r="M15" s="11"/>
      <c r="N15" s="11">
        <v>4</v>
      </c>
      <c r="O15" s="14" t="s">
        <v>41</v>
      </c>
      <c r="P15" s="11" t="s">
        <v>37</v>
      </c>
      <c r="Q15" s="12">
        <v>226</v>
      </c>
      <c r="R15" s="13">
        <v>5.65</v>
      </c>
      <c r="S15" s="13">
        <v>99.2</v>
      </c>
      <c r="T15" s="11" t="s">
        <v>38</v>
      </c>
    </row>
    <row r="16" spans="1:20" ht="28">
      <c r="A16" s="11" t="str">
        <f>Auteurs!A9</f>
        <v>Absan Bibou</v>
      </c>
      <c r="B16" s="12">
        <f>Auteurs!B9</f>
        <v>7</v>
      </c>
      <c r="C16" s="12">
        <f>Auteurs!D9</f>
        <v>62</v>
      </c>
      <c r="D16" s="13">
        <f>Auteurs!F9</f>
        <v>8.8571428571428577</v>
      </c>
      <c r="E16" s="11"/>
      <c r="F16" s="11"/>
      <c r="G16" s="11"/>
      <c r="H16" s="11"/>
      <c r="I16" s="11"/>
      <c r="J16" s="11"/>
      <c r="K16" s="11"/>
      <c r="L16" s="11"/>
      <c r="M16" s="11"/>
      <c r="N16" s="11">
        <v>5</v>
      </c>
      <c r="O16" s="14" t="s">
        <v>42</v>
      </c>
      <c r="P16" s="11" t="s">
        <v>37</v>
      </c>
      <c r="Q16" s="12">
        <v>75</v>
      </c>
      <c r="R16" s="13">
        <v>15</v>
      </c>
      <c r="S16" s="13">
        <v>99</v>
      </c>
      <c r="T16" s="11" t="s">
        <v>38</v>
      </c>
    </row>
    <row r="17" spans="1:20" ht="28">
      <c r="A17" s="11"/>
      <c r="B17" s="11"/>
      <c r="C17" s="11"/>
      <c r="D17" s="11"/>
      <c r="E17" s="11"/>
      <c r="F17" s="11"/>
      <c r="G17" s="11"/>
      <c r="H17" s="11"/>
      <c r="I17" s="11"/>
      <c r="J17" s="11"/>
      <c r="K17" s="11"/>
      <c r="L17" s="11"/>
      <c r="M17" s="11"/>
      <c r="N17" s="11">
        <v>6</v>
      </c>
      <c r="O17" s="14" t="s">
        <v>43</v>
      </c>
      <c r="P17" s="11" t="s">
        <v>37</v>
      </c>
      <c r="Q17" s="12">
        <v>111</v>
      </c>
      <c r="R17" s="13">
        <v>3.5806451612903225</v>
      </c>
      <c r="S17" s="13">
        <v>98.3</v>
      </c>
      <c r="T17" s="11" t="s">
        <v>38</v>
      </c>
    </row>
    <row r="18" spans="1:20" ht="28">
      <c r="A18" s="11"/>
      <c r="B18" s="11"/>
      <c r="C18" s="11"/>
      <c r="D18" s="11"/>
      <c r="E18" s="11"/>
      <c r="F18" s="11"/>
      <c r="G18" s="11"/>
      <c r="H18" s="11"/>
      <c r="I18" s="11"/>
      <c r="J18" s="11"/>
      <c r="K18" s="11"/>
      <c r="L18" s="11"/>
      <c r="M18" s="11"/>
      <c r="N18" s="11">
        <v>7</v>
      </c>
      <c r="O18" s="14" t="s">
        <v>44</v>
      </c>
      <c r="P18" s="11" t="s">
        <v>37</v>
      </c>
      <c r="Q18" s="12">
        <v>145</v>
      </c>
      <c r="R18" s="13">
        <v>3.152173913043478</v>
      </c>
      <c r="S18" s="13">
        <v>98.2</v>
      </c>
      <c r="T18" s="11" t="s">
        <v>38</v>
      </c>
    </row>
    <row r="19" spans="1:20" ht="28">
      <c r="A19" s="11"/>
      <c r="B19" s="11"/>
      <c r="C19" s="11"/>
      <c r="D19" s="11"/>
      <c r="E19" s="11"/>
      <c r="F19" s="11"/>
      <c r="G19" s="11"/>
      <c r="H19" s="11"/>
      <c r="I19" s="11"/>
      <c r="J19" s="11"/>
      <c r="K19" s="11"/>
      <c r="L19" s="11"/>
      <c r="M19" s="11"/>
      <c r="N19" s="11">
        <v>8</v>
      </c>
      <c r="O19" s="14" t="s">
        <v>45</v>
      </c>
      <c r="P19" s="11" t="s">
        <v>37</v>
      </c>
      <c r="Q19" s="12">
        <v>89</v>
      </c>
      <c r="R19" s="13">
        <v>3.56</v>
      </c>
      <c r="S19" s="13">
        <v>98</v>
      </c>
      <c r="T19" s="11" t="s">
        <v>38</v>
      </c>
    </row>
    <row r="20" spans="1:20" ht="28">
      <c r="A20" s="11"/>
      <c r="B20" s="11"/>
      <c r="C20" s="11"/>
      <c r="D20" s="11"/>
      <c r="E20" s="11"/>
      <c r="F20" s="11"/>
      <c r="G20" s="11"/>
      <c r="H20" s="11"/>
      <c r="I20" s="11"/>
      <c r="J20" s="11"/>
      <c r="K20" s="11"/>
      <c r="L20" s="11"/>
      <c r="M20" s="11"/>
      <c r="N20" s="11">
        <v>9</v>
      </c>
      <c r="O20" s="14" t="s">
        <v>46</v>
      </c>
      <c r="P20" s="11" t="s">
        <v>37</v>
      </c>
      <c r="Q20" s="12">
        <v>78</v>
      </c>
      <c r="R20" s="13">
        <v>3.25</v>
      </c>
      <c r="S20" s="13">
        <v>97.8</v>
      </c>
      <c r="T20" s="11" t="s">
        <v>38</v>
      </c>
    </row>
    <row r="21" spans="1:20" ht="28">
      <c r="A21" s="11"/>
      <c r="B21" s="11"/>
      <c r="C21" s="11"/>
      <c r="D21" s="11"/>
      <c r="E21" s="11"/>
      <c r="F21" s="11"/>
      <c r="G21" s="11"/>
      <c r="H21" s="11"/>
      <c r="I21" s="11"/>
      <c r="J21" s="11"/>
      <c r="K21" s="11"/>
      <c r="L21" s="11"/>
      <c r="M21" s="11"/>
      <c r="N21" s="11">
        <v>10</v>
      </c>
      <c r="O21" s="14" t="s">
        <v>47</v>
      </c>
      <c r="P21" s="11" t="s">
        <v>37</v>
      </c>
      <c r="Q21" s="12">
        <v>66</v>
      </c>
      <c r="R21" s="13">
        <v>5.5</v>
      </c>
      <c r="S21" s="13">
        <v>97.7</v>
      </c>
      <c r="T21" s="11" t="s">
        <v>38</v>
      </c>
    </row>
    <row r="22" spans="1:20">
      <c r="A22" s="11"/>
      <c r="B22" s="11"/>
      <c r="C22" s="11"/>
      <c r="D22" s="11"/>
      <c r="E22" s="11"/>
      <c r="F22" s="11"/>
      <c r="G22" s="11"/>
      <c r="H22" s="11"/>
      <c r="I22" s="11"/>
      <c r="J22" s="11"/>
      <c r="K22" s="11"/>
      <c r="L22" s="11"/>
      <c r="M22" s="11"/>
      <c r="N22" s="11"/>
      <c r="O22" s="11"/>
      <c r="P22" s="11"/>
      <c r="Q22" s="11"/>
      <c r="R22" s="11"/>
      <c r="S22" s="11"/>
      <c r="T22" s="11"/>
    </row>
    <row r="23" spans="1:20">
      <c r="A23" s="11"/>
      <c r="B23" s="11"/>
      <c r="C23" s="11"/>
      <c r="D23" s="11"/>
      <c r="E23" s="11"/>
      <c r="F23" s="11"/>
      <c r="G23" s="11"/>
      <c r="H23" s="11"/>
      <c r="I23" s="11"/>
      <c r="J23" s="11"/>
      <c r="K23" s="11"/>
      <c r="L23" s="11"/>
      <c r="M23" s="11"/>
      <c r="N23" s="11"/>
      <c r="O23" s="11"/>
      <c r="P23" s="11"/>
      <c r="Q23" s="11"/>
      <c r="R23" s="11"/>
      <c r="S23" s="11"/>
      <c r="T23" s="11"/>
    </row>
    <row r="24" spans="1:20">
      <c r="A24" s="11"/>
      <c r="B24" s="11"/>
      <c r="C24" s="11"/>
      <c r="D24" s="11"/>
      <c r="E24" s="11"/>
      <c r="F24" s="11"/>
      <c r="G24" s="11"/>
      <c r="H24" s="11"/>
      <c r="I24" s="11"/>
      <c r="J24" s="11"/>
      <c r="K24" s="11"/>
      <c r="L24" s="11"/>
      <c r="M24" s="11"/>
      <c r="N24" s="11"/>
      <c r="O24" s="11"/>
      <c r="P24" s="11"/>
      <c r="Q24" s="11"/>
      <c r="R24" s="11"/>
      <c r="S24" s="11"/>
      <c r="T24" s="11"/>
    </row>
    <row r="25" spans="1:20">
      <c r="A25" s="11"/>
      <c r="B25" s="11"/>
      <c r="C25" s="11"/>
      <c r="D25" s="11"/>
      <c r="E25" s="11"/>
      <c r="F25" s="11"/>
      <c r="G25" s="11"/>
      <c r="H25" s="11"/>
      <c r="I25" s="11"/>
      <c r="J25" s="11"/>
      <c r="K25" s="11"/>
      <c r="L25" s="11"/>
      <c r="M25" s="11"/>
      <c r="N25" s="11"/>
      <c r="O25" s="11"/>
      <c r="P25" s="11"/>
      <c r="Q25" s="11"/>
      <c r="R25" s="11"/>
      <c r="S25" s="11"/>
      <c r="T25" s="11"/>
    </row>
    <row r="26" spans="1:20">
      <c r="A26" s="11"/>
      <c r="B26" s="11"/>
      <c r="C26" s="11"/>
      <c r="D26" s="11"/>
      <c r="E26" s="11"/>
      <c r="F26" s="11"/>
      <c r="G26" s="11"/>
      <c r="H26" s="11"/>
      <c r="I26" s="11"/>
      <c r="J26" s="11"/>
      <c r="K26" s="11"/>
      <c r="L26" s="11"/>
      <c r="M26" s="11"/>
      <c r="N26" s="11"/>
      <c r="O26" s="11"/>
      <c r="P26" s="11"/>
      <c r="Q26" s="11"/>
      <c r="R26" s="11"/>
      <c r="S26" s="11"/>
      <c r="T26" s="11"/>
    </row>
    <row r="27" spans="1:20">
      <c r="A27" s="11"/>
      <c r="B27" s="11"/>
      <c r="C27" s="11"/>
      <c r="D27" s="11"/>
      <c r="E27" s="11"/>
      <c r="F27" s="11"/>
      <c r="G27" s="11"/>
      <c r="H27" s="11"/>
      <c r="I27" s="11"/>
      <c r="J27" s="11"/>
      <c r="K27" s="11"/>
      <c r="L27" s="11"/>
      <c r="M27" s="11"/>
      <c r="N27" s="11"/>
      <c r="O27" s="11"/>
      <c r="P27" s="11"/>
      <c r="Q27" s="11"/>
      <c r="R27" s="11"/>
      <c r="S27" s="11"/>
      <c r="T27" s="11"/>
    </row>
    <row r="28" spans="1:20">
      <c r="A28" s="152" t="s">
        <v>48</v>
      </c>
      <c r="B28" s="152" t="s">
        <v>48</v>
      </c>
      <c r="C28" s="152" t="s">
        <v>48</v>
      </c>
      <c r="D28" s="152" t="s">
        <v>48</v>
      </c>
      <c r="E28" s="152" t="s">
        <v>48</v>
      </c>
      <c r="F28" s="152" t="s">
        <v>48</v>
      </c>
      <c r="G28" s="152" t="s">
        <v>48</v>
      </c>
      <c r="H28" s="152" t="s">
        <v>48</v>
      </c>
      <c r="I28" s="152" t="s">
        <v>48</v>
      </c>
      <c r="J28" s="152" t="s">
        <v>48</v>
      </c>
      <c r="K28" s="152" t="s">
        <v>48</v>
      </c>
      <c r="L28" s="152" t="s">
        <v>48</v>
      </c>
      <c r="M28" s="152" t="s">
        <v>48</v>
      </c>
      <c r="N28" s="152" t="s">
        <v>48</v>
      </c>
      <c r="O28" s="152" t="s">
        <v>48</v>
      </c>
      <c r="P28" s="152" t="s">
        <v>48</v>
      </c>
      <c r="Q28" s="152" t="s">
        <v>48</v>
      </c>
      <c r="R28" s="152" t="s">
        <v>48</v>
      </c>
      <c r="S28" s="152" t="s">
        <v>48</v>
      </c>
      <c r="T28" s="152" t="s">
        <v>48</v>
      </c>
    </row>
    <row r="29" spans="1:20">
      <c r="A29" s="153" t="s">
        <v>49</v>
      </c>
      <c r="B29" s="154"/>
      <c r="C29" s="154"/>
      <c r="D29" s="154"/>
      <c r="E29" s="154"/>
      <c r="F29" s="154"/>
      <c r="G29" s="154"/>
      <c r="H29" s="154"/>
      <c r="I29" s="154"/>
      <c r="J29" s="154"/>
      <c r="K29" s="154"/>
      <c r="L29" s="154"/>
      <c r="M29" s="154"/>
      <c r="N29" s="154"/>
      <c r="O29" s="154"/>
      <c r="P29" s="154"/>
      <c r="Q29" s="154"/>
      <c r="R29" s="154"/>
      <c r="S29" s="154"/>
      <c r="T29" s="155"/>
    </row>
    <row r="30" spans="1:20">
      <c r="A30" s="156"/>
      <c r="B30" s="157"/>
      <c r="C30" s="157"/>
      <c r="D30" s="157"/>
      <c r="E30" s="157"/>
      <c r="F30" s="157"/>
      <c r="G30" s="157"/>
      <c r="H30" s="157"/>
      <c r="I30" s="157"/>
      <c r="J30" s="157"/>
      <c r="K30" s="157"/>
      <c r="L30" s="157"/>
      <c r="M30" s="157"/>
      <c r="N30" s="157"/>
      <c r="O30" s="157"/>
      <c r="P30" s="157"/>
      <c r="Q30" s="157"/>
      <c r="R30" s="157"/>
      <c r="S30" s="157"/>
      <c r="T30" s="158"/>
    </row>
    <row r="31" spans="1:20">
      <c r="A31" s="156"/>
      <c r="B31" s="157"/>
      <c r="C31" s="157"/>
      <c r="D31" s="157"/>
      <c r="E31" s="157"/>
      <c r="F31" s="157"/>
      <c r="G31" s="157"/>
      <c r="H31" s="157"/>
      <c r="I31" s="157"/>
      <c r="J31" s="157"/>
      <c r="K31" s="157"/>
      <c r="L31" s="157"/>
      <c r="M31" s="157"/>
      <c r="N31" s="157"/>
      <c r="O31" s="157"/>
      <c r="P31" s="157"/>
      <c r="Q31" s="157"/>
      <c r="R31" s="157"/>
      <c r="S31" s="157"/>
      <c r="T31" s="158"/>
    </row>
    <row r="32" spans="1:20">
      <c r="A32" s="156"/>
      <c r="B32" s="157"/>
      <c r="C32" s="157"/>
      <c r="D32" s="157"/>
      <c r="E32" s="157"/>
      <c r="F32" s="157"/>
      <c r="G32" s="157"/>
      <c r="H32" s="157"/>
      <c r="I32" s="157"/>
      <c r="J32" s="157"/>
      <c r="K32" s="157"/>
      <c r="L32" s="157"/>
      <c r="M32" s="157"/>
      <c r="N32" s="157"/>
      <c r="O32" s="157"/>
      <c r="P32" s="157"/>
      <c r="Q32" s="157"/>
      <c r="R32" s="157"/>
      <c r="S32" s="157"/>
      <c r="T32" s="158"/>
    </row>
    <row r="33" spans="1:20">
      <c r="A33" s="156"/>
      <c r="B33" s="157"/>
      <c r="C33" s="157"/>
      <c r="D33" s="157"/>
      <c r="E33" s="157"/>
      <c r="F33" s="157"/>
      <c r="G33" s="157"/>
      <c r="H33" s="157"/>
      <c r="I33" s="157"/>
      <c r="J33" s="157"/>
      <c r="K33" s="157"/>
      <c r="L33" s="157"/>
      <c r="M33" s="157"/>
      <c r="N33" s="157"/>
      <c r="O33" s="157"/>
      <c r="P33" s="157"/>
      <c r="Q33" s="157"/>
      <c r="R33" s="157"/>
      <c r="S33" s="157"/>
      <c r="T33" s="158"/>
    </row>
    <row r="34" spans="1:20">
      <c r="A34" s="156"/>
      <c r="B34" s="157"/>
      <c r="C34" s="157"/>
      <c r="D34" s="157"/>
      <c r="E34" s="157"/>
      <c r="F34" s="157"/>
      <c r="G34" s="157"/>
      <c r="H34" s="157"/>
      <c r="I34" s="157"/>
      <c r="J34" s="157"/>
      <c r="K34" s="157"/>
      <c r="L34" s="157"/>
      <c r="M34" s="157"/>
      <c r="N34" s="157"/>
      <c r="O34" s="157"/>
      <c r="P34" s="157"/>
      <c r="Q34" s="157"/>
      <c r="R34" s="157"/>
      <c r="S34" s="157"/>
      <c r="T34" s="158"/>
    </row>
    <row r="35" spans="1:20">
      <c r="A35" s="159"/>
      <c r="B35" s="160"/>
      <c r="C35" s="160"/>
      <c r="D35" s="160"/>
      <c r="E35" s="160"/>
      <c r="F35" s="160"/>
      <c r="G35" s="160"/>
      <c r="H35" s="160"/>
      <c r="I35" s="160"/>
      <c r="J35" s="160"/>
      <c r="K35" s="160"/>
      <c r="L35" s="160"/>
      <c r="M35" s="160"/>
      <c r="N35" s="160"/>
      <c r="O35" s="160"/>
      <c r="P35" s="160"/>
      <c r="Q35" s="160"/>
      <c r="R35" s="160"/>
      <c r="S35" s="160"/>
      <c r="T35" s="161"/>
    </row>
    <row r="36" spans="1:20">
      <c r="A36" s="11"/>
      <c r="B36" s="11"/>
      <c r="C36" s="11"/>
      <c r="D36" s="11"/>
      <c r="E36" s="11"/>
      <c r="F36" s="11"/>
      <c r="G36" s="11"/>
      <c r="H36" s="11"/>
      <c r="I36" s="11"/>
      <c r="J36" s="11"/>
      <c r="K36" s="11"/>
      <c r="L36" s="11"/>
      <c r="M36" s="11"/>
      <c r="N36" s="11"/>
      <c r="O36" s="11"/>
      <c r="P36" s="11"/>
      <c r="Q36" s="11"/>
      <c r="R36" s="11"/>
      <c r="S36" s="11"/>
      <c r="T36" s="11"/>
    </row>
    <row r="37" spans="1:20">
      <c r="A37" s="11"/>
      <c r="B37" s="11"/>
      <c r="C37" s="11"/>
      <c r="D37" s="11"/>
      <c r="E37" s="11"/>
      <c r="F37" s="11"/>
      <c r="G37" s="11"/>
      <c r="H37" s="11"/>
      <c r="I37" s="11"/>
      <c r="J37" s="11"/>
      <c r="K37" s="11"/>
      <c r="L37" s="11"/>
      <c r="M37" s="11"/>
      <c r="N37" s="11"/>
      <c r="O37" s="11"/>
      <c r="P37" s="11"/>
      <c r="Q37" s="11"/>
      <c r="R37" s="11"/>
      <c r="S37" s="11"/>
      <c r="T37" s="11"/>
    </row>
    <row r="38" spans="1:20">
      <c r="A38" s="152" t="s">
        <v>50</v>
      </c>
      <c r="B38" s="152" t="s">
        <v>50</v>
      </c>
      <c r="C38" s="152" t="s">
        <v>50</v>
      </c>
      <c r="D38" s="152" t="s">
        <v>50</v>
      </c>
      <c r="E38" s="152" t="s">
        <v>50</v>
      </c>
      <c r="F38" s="152" t="s">
        <v>50</v>
      </c>
      <c r="G38" s="152" t="s">
        <v>50</v>
      </c>
      <c r="H38" s="152" t="s">
        <v>50</v>
      </c>
      <c r="I38" s="152" t="s">
        <v>50</v>
      </c>
      <c r="J38" s="152" t="s">
        <v>50</v>
      </c>
      <c r="K38" s="11"/>
      <c r="L38" s="152" t="s">
        <v>51</v>
      </c>
      <c r="M38" s="152" t="s">
        <v>51</v>
      </c>
      <c r="N38" s="152" t="s">
        <v>51</v>
      </c>
      <c r="O38" s="152" t="s">
        <v>51</v>
      </c>
      <c r="P38" s="152" t="s">
        <v>51</v>
      </c>
      <c r="Q38" s="152" t="s">
        <v>51</v>
      </c>
      <c r="R38" s="152" t="s">
        <v>51</v>
      </c>
      <c r="S38" s="152" t="s">
        <v>51</v>
      </c>
      <c r="T38" s="152" t="s">
        <v>51</v>
      </c>
    </row>
    <row r="39" spans="1:20">
      <c r="A39" s="162" t="s">
        <v>52</v>
      </c>
      <c r="B39" s="163"/>
      <c r="C39" s="163"/>
      <c r="D39" s="163"/>
      <c r="E39" s="163"/>
      <c r="F39" s="163"/>
      <c r="G39" s="163"/>
      <c r="H39" s="163"/>
      <c r="I39" s="163"/>
      <c r="J39" s="164"/>
      <c r="K39" s="11"/>
      <c r="L39" s="171" t="s">
        <v>53</v>
      </c>
      <c r="M39" s="172"/>
      <c r="N39" s="172"/>
      <c r="O39" s="172"/>
      <c r="P39" s="172"/>
      <c r="Q39" s="172"/>
      <c r="R39" s="172"/>
      <c r="S39" s="172"/>
      <c r="T39" s="173"/>
    </row>
    <row r="40" spans="1:20">
      <c r="A40" s="165"/>
      <c r="B40" s="166"/>
      <c r="C40" s="166"/>
      <c r="D40" s="166"/>
      <c r="E40" s="166"/>
      <c r="F40" s="166"/>
      <c r="G40" s="166"/>
      <c r="H40" s="166"/>
      <c r="I40" s="166"/>
      <c r="J40" s="167"/>
      <c r="K40" s="11"/>
      <c r="L40" s="174"/>
      <c r="M40" s="175"/>
      <c r="N40" s="175"/>
      <c r="O40" s="175"/>
      <c r="P40" s="175"/>
      <c r="Q40" s="175"/>
      <c r="R40" s="175"/>
      <c r="S40" s="175"/>
      <c r="T40" s="176"/>
    </row>
    <row r="41" spans="1:20">
      <c r="A41" s="165"/>
      <c r="B41" s="166"/>
      <c r="C41" s="166"/>
      <c r="D41" s="166"/>
      <c r="E41" s="166"/>
      <c r="F41" s="166"/>
      <c r="G41" s="166"/>
      <c r="H41" s="166"/>
      <c r="I41" s="166"/>
      <c r="J41" s="167"/>
      <c r="K41" s="11"/>
      <c r="L41" s="174"/>
      <c r="M41" s="175"/>
      <c r="N41" s="175"/>
      <c r="O41" s="175"/>
      <c r="P41" s="175"/>
      <c r="Q41" s="175"/>
      <c r="R41" s="175"/>
      <c r="S41" s="175"/>
      <c r="T41" s="176"/>
    </row>
    <row r="42" spans="1:20">
      <c r="A42" s="165"/>
      <c r="B42" s="166"/>
      <c r="C42" s="166"/>
      <c r="D42" s="166"/>
      <c r="E42" s="166"/>
      <c r="F42" s="166"/>
      <c r="G42" s="166"/>
      <c r="H42" s="166"/>
      <c r="I42" s="166"/>
      <c r="J42" s="167"/>
      <c r="K42" s="11"/>
      <c r="L42" s="174"/>
      <c r="M42" s="175"/>
      <c r="N42" s="175"/>
      <c r="O42" s="175"/>
      <c r="P42" s="175"/>
      <c r="Q42" s="175"/>
      <c r="R42" s="175"/>
      <c r="S42" s="175"/>
      <c r="T42" s="176"/>
    </row>
    <row r="43" spans="1:20">
      <c r="A43" s="165"/>
      <c r="B43" s="166"/>
      <c r="C43" s="166"/>
      <c r="D43" s="166"/>
      <c r="E43" s="166"/>
      <c r="F43" s="166"/>
      <c r="G43" s="166"/>
      <c r="H43" s="166"/>
      <c r="I43" s="166"/>
      <c r="J43" s="167"/>
      <c r="K43" s="11"/>
      <c r="L43" s="174"/>
      <c r="M43" s="175"/>
      <c r="N43" s="175"/>
      <c r="O43" s="175"/>
      <c r="P43" s="175"/>
      <c r="Q43" s="175"/>
      <c r="R43" s="175"/>
      <c r="S43" s="175"/>
      <c r="T43" s="176"/>
    </row>
    <row r="44" spans="1:20">
      <c r="A44" s="165"/>
      <c r="B44" s="166"/>
      <c r="C44" s="166"/>
      <c r="D44" s="166"/>
      <c r="E44" s="166"/>
      <c r="F44" s="166"/>
      <c r="G44" s="166"/>
      <c r="H44" s="166"/>
      <c r="I44" s="166"/>
      <c r="J44" s="167"/>
      <c r="K44" s="11"/>
      <c r="L44" s="174"/>
      <c r="M44" s="175"/>
      <c r="N44" s="175"/>
      <c r="O44" s="175"/>
      <c r="P44" s="175"/>
      <c r="Q44" s="175"/>
      <c r="R44" s="175"/>
      <c r="S44" s="175"/>
      <c r="T44" s="176"/>
    </row>
    <row r="45" spans="1:20">
      <c r="A45" s="165"/>
      <c r="B45" s="166"/>
      <c r="C45" s="166"/>
      <c r="D45" s="166"/>
      <c r="E45" s="166"/>
      <c r="F45" s="166"/>
      <c r="G45" s="166"/>
      <c r="H45" s="166"/>
      <c r="I45" s="166"/>
      <c r="J45" s="167"/>
      <c r="K45" s="11"/>
      <c r="L45" s="174"/>
      <c r="M45" s="175"/>
      <c r="N45" s="175"/>
      <c r="O45" s="175"/>
      <c r="P45" s="175"/>
      <c r="Q45" s="175"/>
      <c r="R45" s="175"/>
      <c r="S45" s="175"/>
      <c r="T45" s="176"/>
    </row>
    <row r="46" spans="1:20">
      <c r="A46" s="165"/>
      <c r="B46" s="166"/>
      <c r="C46" s="166"/>
      <c r="D46" s="166"/>
      <c r="E46" s="166"/>
      <c r="F46" s="166"/>
      <c r="G46" s="166"/>
      <c r="H46" s="166"/>
      <c r="I46" s="166"/>
      <c r="J46" s="167"/>
      <c r="K46" s="11"/>
      <c r="L46" s="174"/>
      <c r="M46" s="175"/>
      <c r="N46" s="175"/>
      <c r="O46" s="175"/>
      <c r="P46" s="175"/>
      <c r="Q46" s="175"/>
      <c r="R46" s="175"/>
      <c r="S46" s="175"/>
      <c r="T46" s="176"/>
    </row>
    <row r="47" spans="1:20">
      <c r="A47" s="168"/>
      <c r="B47" s="169"/>
      <c r="C47" s="169"/>
      <c r="D47" s="169"/>
      <c r="E47" s="169"/>
      <c r="F47" s="169"/>
      <c r="G47" s="169"/>
      <c r="H47" s="169"/>
      <c r="I47" s="169"/>
      <c r="J47" s="170"/>
      <c r="K47" s="11"/>
      <c r="L47" s="177"/>
      <c r="M47" s="178"/>
      <c r="N47" s="178"/>
      <c r="O47" s="178"/>
      <c r="P47" s="178"/>
      <c r="Q47" s="178"/>
      <c r="R47" s="178"/>
      <c r="S47" s="178"/>
      <c r="T47" s="179"/>
    </row>
  </sheetData>
  <mergeCells count="18">
    <mergeCell ref="A39:J47"/>
    <mergeCell ref="L38:T38"/>
    <mergeCell ref="L39:T47"/>
    <mergeCell ref="A10:H10"/>
    <mergeCell ref="N10:T10"/>
    <mergeCell ref="A28:T28"/>
    <mergeCell ref="A29:T35"/>
    <mergeCell ref="A38:J38"/>
    <mergeCell ref="A1:T1"/>
    <mergeCell ref="A2:T2"/>
    <mergeCell ref="A4:D7"/>
    <mergeCell ref="A8:D8"/>
    <mergeCell ref="F4:I7"/>
    <mergeCell ref="F8:I8"/>
    <mergeCell ref="K4:N7"/>
    <mergeCell ref="K8:N8"/>
    <mergeCell ref="P4:T7"/>
    <mergeCell ref="P8:T8"/>
  </mergeCells>
  <conditionalFormatting sqref="S12:S21">
    <cfRule type="dataBar" priority="1">
      <dataBar>
        <cfvo type="min"/>
        <cfvo type="max"/>
        <color rgb="FF7AC142"/>
      </dataBar>
    </cfRule>
    <cfRule type="dataBar" priority="3">
      <dataBar>
        <cfvo type="min"/>
        <cfvo type="max"/>
        <color rgb="FF7AC142"/>
      </dataBar>
      <extLst>
        <ext xmlns:x14="http://schemas.microsoft.com/office/spreadsheetml/2009/9/main" uri="{B025F937-C7B1-47D3-B67F-A62EFF666E3E}">
          <x14:id>{B1D47853-E82A-CB70-C50D-2FF6E81C00BC}</x14:id>
        </ext>
      </extLst>
    </cfRule>
  </conditionalFormatting>
  <conditionalFormatting sqref="T12:T21">
    <cfRule type="containsText" dxfId="17" priority="2" operator="containsText" text="Très fort"/>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1D47853-E82A-CB70-C50D-2FF6E81C00BC}">
            <x14:dataBar>
              <x14:cfvo type="min"/>
              <x14:cfvo type="max"/>
              <x14:negativeFillColor auto="1"/>
              <x14:axisColor auto="1"/>
            </x14:dataBar>
          </x14:cfRule>
          <xm:sqref>S12:S21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4"/>
  <sheetViews>
    <sheetView showGridLines="0" zoomScale="80" zoomScaleNormal="80" workbookViewId="0">
      <selection sqref="A1:O1"/>
    </sheetView>
  </sheetViews>
  <sheetFormatPr defaultRowHeight="14"/>
  <cols>
    <col min="1" max="1" width="5.58203125" customWidth="1"/>
    <col min="2" max="2" width="8.9140625" customWidth="1"/>
    <col min="3" max="3" width="13.9140625" customWidth="1"/>
    <col min="4" max="4" width="43.33203125" customWidth="1"/>
    <col min="5" max="5" width="7.25" customWidth="1"/>
    <col min="6" max="6" width="21.08203125" customWidth="1"/>
    <col min="7" max="7" width="11.83203125" customWidth="1"/>
    <col min="8" max="8" width="12.58203125" customWidth="1"/>
    <col min="9" max="9" width="8.33203125" customWidth="1"/>
    <col min="10" max="10" width="28.9140625" customWidth="1"/>
    <col min="11" max="11" width="24.4140625" customWidth="1"/>
    <col min="12" max="12" width="11.08203125" customWidth="1"/>
    <col min="13" max="13" width="24.4140625" customWidth="1"/>
    <col min="14" max="14" width="16.08203125" customWidth="1"/>
    <col min="15" max="15" width="10" customWidth="1"/>
  </cols>
  <sheetData>
    <row r="1" spans="1:15" ht="23">
      <c r="A1" s="113" t="s">
        <v>54</v>
      </c>
      <c r="B1" s="113"/>
      <c r="C1" s="113"/>
      <c r="D1" s="113"/>
      <c r="E1" s="113"/>
      <c r="F1" s="113"/>
      <c r="G1" s="113"/>
      <c r="H1" s="113"/>
      <c r="I1" s="113"/>
      <c r="J1" s="113"/>
      <c r="K1" s="113"/>
      <c r="L1" s="113"/>
      <c r="M1" s="113"/>
      <c r="N1" s="113"/>
      <c r="O1" s="113"/>
    </row>
    <row r="2" spans="1:15">
      <c r="A2" s="114" t="s">
        <v>55</v>
      </c>
      <c r="B2" s="114"/>
      <c r="C2" s="114"/>
      <c r="D2" s="114"/>
      <c r="E2" s="114"/>
      <c r="F2" s="114"/>
      <c r="G2" s="114"/>
      <c r="H2" s="114"/>
      <c r="I2" s="114"/>
      <c r="J2" s="114"/>
      <c r="K2" s="114"/>
      <c r="L2" s="114"/>
      <c r="M2" s="114"/>
      <c r="N2" s="114"/>
      <c r="O2" s="114"/>
    </row>
    <row r="3" spans="1:15">
      <c r="A3" s="11"/>
      <c r="B3" s="11"/>
      <c r="C3" s="11"/>
      <c r="D3" s="11"/>
      <c r="E3" s="11"/>
      <c r="F3" s="11"/>
      <c r="G3" s="11"/>
      <c r="H3" s="11"/>
      <c r="I3" s="11"/>
      <c r="J3" s="11"/>
      <c r="K3" s="11"/>
      <c r="L3" s="11"/>
      <c r="M3" s="11"/>
      <c r="N3" s="11"/>
      <c r="O3" s="11"/>
    </row>
    <row r="4" spans="1:15">
      <c r="A4" s="115">
        <v>24</v>
      </c>
      <c r="B4" s="116"/>
      <c r="C4" s="117"/>
      <c r="D4" s="11"/>
      <c r="E4" s="125">
        <v>10</v>
      </c>
      <c r="F4" s="126"/>
      <c r="G4" s="127"/>
      <c r="H4" s="11"/>
      <c r="I4" s="180">
        <v>12</v>
      </c>
      <c r="J4" s="181"/>
      <c r="K4" s="182"/>
      <c r="L4" s="11"/>
      <c r="M4" s="189">
        <v>4</v>
      </c>
      <c r="N4" s="190"/>
      <c r="O4" s="191"/>
    </row>
    <row r="5" spans="1:15">
      <c r="A5" s="118"/>
      <c r="B5" s="119"/>
      <c r="C5" s="120"/>
      <c r="D5" s="11"/>
      <c r="E5" s="128"/>
      <c r="F5" s="129"/>
      <c r="G5" s="130"/>
      <c r="H5" s="11"/>
      <c r="I5" s="183"/>
      <c r="J5" s="184"/>
      <c r="K5" s="185"/>
      <c r="L5" s="11"/>
      <c r="M5" s="192"/>
      <c r="N5" s="193"/>
      <c r="O5" s="194"/>
    </row>
    <row r="6" spans="1:15">
      <c r="A6" s="118"/>
      <c r="B6" s="119"/>
      <c r="C6" s="120"/>
      <c r="D6" s="11"/>
      <c r="E6" s="128"/>
      <c r="F6" s="129"/>
      <c r="G6" s="130"/>
      <c r="H6" s="11"/>
      <c r="I6" s="183"/>
      <c r="J6" s="184"/>
      <c r="K6" s="185"/>
      <c r="L6" s="11"/>
      <c r="M6" s="192"/>
      <c r="N6" s="193"/>
      <c r="O6" s="194"/>
    </row>
    <row r="7" spans="1:15">
      <c r="A7" s="121"/>
      <c r="B7" s="122"/>
      <c r="C7" s="123"/>
      <c r="D7" s="11"/>
      <c r="E7" s="131"/>
      <c r="F7" s="132"/>
      <c r="G7" s="133"/>
      <c r="H7" s="11"/>
      <c r="I7" s="186"/>
      <c r="J7" s="187"/>
      <c r="K7" s="188"/>
      <c r="L7" s="11"/>
      <c r="M7" s="195"/>
      <c r="N7" s="196"/>
      <c r="O7" s="197"/>
    </row>
    <row r="8" spans="1:15">
      <c r="A8" s="124" t="s">
        <v>56</v>
      </c>
      <c r="B8" s="124"/>
      <c r="C8" s="124"/>
      <c r="D8" s="11"/>
      <c r="E8" s="124" t="s">
        <v>57</v>
      </c>
      <c r="F8" s="124"/>
      <c r="G8" s="124"/>
      <c r="H8" s="11"/>
      <c r="I8" s="124" t="s">
        <v>58</v>
      </c>
      <c r="J8" s="124"/>
      <c r="K8" s="124"/>
      <c r="L8" s="11"/>
      <c r="M8" s="124" t="s">
        <v>59</v>
      </c>
      <c r="N8" s="124"/>
      <c r="O8" s="124"/>
    </row>
    <row r="9" spans="1:15">
      <c r="A9" s="11"/>
      <c r="B9" s="11"/>
      <c r="C9" s="11"/>
      <c r="D9" s="11"/>
      <c r="E9" s="11"/>
      <c r="F9" s="11"/>
      <c r="G9" s="11"/>
      <c r="H9" s="11"/>
      <c r="I9" s="11"/>
      <c r="J9" s="11"/>
      <c r="K9" s="11"/>
      <c r="L9" s="11"/>
      <c r="M9" s="11"/>
      <c r="N9" s="11"/>
      <c r="O9" s="11"/>
    </row>
    <row r="10" spans="1:15">
      <c r="A10" s="1" t="s">
        <v>60</v>
      </c>
      <c r="B10" s="2" t="s">
        <v>61</v>
      </c>
      <c r="C10" s="2" t="s">
        <v>62</v>
      </c>
      <c r="D10" s="2" t="s">
        <v>63</v>
      </c>
      <c r="E10" s="2" t="s">
        <v>64</v>
      </c>
      <c r="F10" s="2" t="s">
        <v>65</v>
      </c>
      <c r="G10" s="2" t="s">
        <v>66</v>
      </c>
      <c r="H10" s="2" t="s">
        <v>67</v>
      </c>
      <c r="I10" s="2" t="s">
        <v>68</v>
      </c>
      <c r="J10" s="2" t="s">
        <v>69</v>
      </c>
      <c r="K10" s="2" t="s">
        <v>70</v>
      </c>
      <c r="L10" s="2" t="s">
        <v>71</v>
      </c>
      <c r="M10" s="2" t="s">
        <v>72</v>
      </c>
      <c r="N10" s="2" t="s">
        <v>73</v>
      </c>
      <c r="O10" s="3" t="s">
        <v>74</v>
      </c>
    </row>
    <row r="11" spans="1:15" ht="46.5" customHeight="1">
      <c r="A11" s="11">
        <v>1</v>
      </c>
      <c r="B11" s="11" t="s">
        <v>75</v>
      </c>
      <c r="C11" s="11" t="s">
        <v>76</v>
      </c>
      <c r="D11" s="50" t="s">
        <v>77</v>
      </c>
      <c r="E11" s="50" t="s">
        <v>78</v>
      </c>
      <c r="F11" s="50" t="s">
        <v>79</v>
      </c>
      <c r="G11" s="51">
        <v>46260</v>
      </c>
      <c r="H11" s="51">
        <v>46266</v>
      </c>
      <c r="I11" s="52">
        <f t="shared" ref="I11:I34" si="0">H11-G11+1</f>
        <v>7</v>
      </c>
      <c r="J11" s="50" t="s">
        <v>80</v>
      </c>
      <c r="K11" s="50" t="s">
        <v>81</v>
      </c>
      <c r="L11" s="50" t="s">
        <v>82</v>
      </c>
      <c r="M11" s="50" t="s">
        <v>83</v>
      </c>
      <c r="N11" s="50" t="s">
        <v>84</v>
      </c>
      <c r="O11" s="50" t="s">
        <v>85</v>
      </c>
    </row>
    <row r="12" spans="1:15" ht="46.5" customHeight="1">
      <c r="A12" s="11">
        <v>2</v>
      </c>
      <c r="B12" s="11" t="s">
        <v>75</v>
      </c>
      <c r="C12" s="11" t="s">
        <v>76</v>
      </c>
      <c r="D12" s="50" t="s">
        <v>86</v>
      </c>
      <c r="E12" s="50" t="s">
        <v>78</v>
      </c>
      <c r="F12" s="50" t="s">
        <v>87</v>
      </c>
      <c r="G12" s="51">
        <v>46260</v>
      </c>
      <c r="H12" s="51">
        <v>46268</v>
      </c>
      <c r="I12" s="52">
        <f t="shared" si="0"/>
        <v>9</v>
      </c>
      <c r="J12" s="50" t="s">
        <v>88</v>
      </c>
      <c r="K12" s="50" t="s">
        <v>89</v>
      </c>
      <c r="L12" s="50" t="s">
        <v>82</v>
      </c>
      <c r="M12" s="50" t="s">
        <v>90</v>
      </c>
      <c r="N12" s="50" t="s">
        <v>91</v>
      </c>
      <c r="O12" s="50" t="s">
        <v>85</v>
      </c>
    </row>
    <row r="13" spans="1:15" ht="46.5" customHeight="1">
      <c r="A13" s="11">
        <v>3</v>
      </c>
      <c r="B13" s="11" t="s">
        <v>92</v>
      </c>
      <c r="C13" s="11" t="s">
        <v>93</v>
      </c>
      <c r="D13" s="50" t="s">
        <v>94</v>
      </c>
      <c r="E13" s="50" t="s">
        <v>78</v>
      </c>
      <c r="F13" s="50" t="s">
        <v>95</v>
      </c>
      <c r="G13" s="51">
        <v>46261</v>
      </c>
      <c r="H13" s="51">
        <v>46280</v>
      </c>
      <c r="I13" s="52">
        <f t="shared" si="0"/>
        <v>20</v>
      </c>
      <c r="J13" s="50" t="s">
        <v>96</v>
      </c>
      <c r="K13" s="50" t="s">
        <v>97</v>
      </c>
      <c r="L13" s="50" t="s">
        <v>82</v>
      </c>
      <c r="M13" s="50" t="s">
        <v>98</v>
      </c>
      <c r="N13" s="50" t="s">
        <v>87</v>
      </c>
      <c r="O13" s="50" t="s">
        <v>85</v>
      </c>
    </row>
    <row r="14" spans="1:15" ht="46.5" customHeight="1">
      <c r="A14" s="11">
        <v>4</v>
      </c>
      <c r="B14" s="11" t="s">
        <v>99</v>
      </c>
      <c r="C14" s="11" t="s">
        <v>100</v>
      </c>
      <c r="D14" s="50" t="s">
        <v>101</v>
      </c>
      <c r="E14" s="50" t="s">
        <v>78</v>
      </c>
      <c r="F14" s="50" t="s">
        <v>102</v>
      </c>
      <c r="G14" s="51">
        <v>46261</v>
      </c>
      <c r="H14" s="51">
        <v>46270</v>
      </c>
      <c r="I14" s="52">
        <f t="shared" si="0"/>
        <v>10</v>
      </c>
      <c r="J14" s="50" t="s">
        <v>103</v>
      </c>
      <c r="K14" s="50" t="s">
        <v>104</v>
      </c>
      <c r="L14" s="50" t="s">
        <v>82</v>
      </c>
      <c r="M14" s="50" t="s">
        <v>105</v>
      </c>
      <c r="N14" s="50" t="s">
        <v>87</v>
      </c>
      <c r="O14" s="50" t="s">
        <v>85</v>
      </c>
    </row>
    <row r="15" spans="1:15" ht="46.5" customHeight="1">
      <c r="A15" s="11">
        <v>5</v>
      </c>
      <c r="B15" s="11" t="s">
        <v>92</v>
      </c>
      <c r="C15" s="11" t="s">
        <v>106</v>
      </c>
      <c r="D15" s="50" t="s">
        <v>107</v>
      </c>
      <c r="E15" s="50" t="s">
        <v>78</v>
      </c>
      <c r="F15" s="50" t="s">
        <v>108</v>
      </c>
      <c r="G15" s="51">
        <v>46261</v>
      </c>
      <c r="H15" s="51">
        <v>46280</v>
      </c>
      <c r="I15" s="52">
        <f t="shared" si="0"/>
        <v>20</v>
      </c>
      <c r="J15" s="50" t="s">
        <v>109</v>
      </c>
      <c r="K15" s="50" t="s">
        <v>110</v>
      </c>
      <c r="L15" s="50" t="s">
        <v>111</v>
      </c>
      <c r="M15" s="50" t="s">
        <v>112</v>
      </c>
      <c r="N15" s="50" t="s">
        <v>84</v>
      </c>
      <c r="O15" s="50" t="s">
        <v>85</v>
      </c>
    </row>
    <row r="16" spans="1:15" ht="46.5" customHeight="1">
      <c r="A16" s="11">
        <v>6</v>
      </c>
      <c r="B16" s="11" t="s">
        <v>99</v>
      </c>
      <c r="C16" s="11" t="s">
        <v>113</v>
      </c>
      <c r="D16" s="50" t="s">
        <v>114</v>
      </c>
      <c r="E16" s="50" t="s">
        <v>78</v>
      </c>
      <c r="F16" s="50" t="s">
        <v>115</v>
      </c>
      <c r="G16" s="51">
        <v>46262</v>
      </c>
      <c r="H16" s="51">
        <v>46272</v>
      </c>
      <c r="I16" s="52">
        <f t="shared" si="0"/>
        <v>11</v>
      </c>
      <c r="J16" s="50" t="s">
        <v>116</v>
      </c>
      <c r="K16" s="50" t="s">
        <v>117</v>
      </c>
      <c r="L16" s="50" t="s">
        <v>118</v>
      </c>
      <c r="M16" s="50" t="s">
        <v>119</v>
      </c>
      <c r="N16" s="50" t="s">
        <v>87</v>
      </c>
      <c r="O16" s="50" t="s">
        <v>85</v>
      </c>
    </row>
    <row r="17" spans="1:15" ht="46.5" customHeight="1">
      <c r="A17" s="11">
        <v>7</v>
      </c>
      <c r="B17" s="11" t="s">
        <v>99</v>
      </c>
      <c r="C17" s="11" t="s">
        <v>120</v>
      </c>
      <c r="D17" s="50" t="s">
        <v>121</v>
      </c>
      <c r="E17" s="50" t="s">
        <v>78</v>
      </c>
      <c r="F17" s="50" t="s">
        <v>122</v>
      </c>
      <c r="G17" s="51">
        <v>46260</v>
      </c>
      <c r="H17" s="51">
        <v>46270</v>
      </c>
      <c r="I17" s="52">
        <f t="shared" si="0"/>
        <v>11</v>
      </c>
      <c r="J17" s="50" t="s">
        <v>123</v>
      </c>
      <c r="K17" s="50" t="s">
        <v>124</v>
      </c>
      <c r="L17" s="50" t="s">
        <v>82</v>
      </c>
      <c r="M17" s="50" t="s">
        <v>125</v>
      </c>
      <c r="N17" s="50" t="s">
        <v>91</v>
      </c>
      <c r="O17" s="50" t="s">
        <v>85</v>
      </c>
    </row>
    <row r="18" spans="1:15" ht="46.5" customHeight="1">
      <c r="A18" s="11">
        <v>8</v>
      </c>
      <c r="B18" s="11" t="s">
        <v>92</v>
      </c>
      <c r="C18" s="11" t="s">
        <v>126</v>
      </c>
      <c r="D18" s="50" t="s">
        <v>127</v>
      </c>
      <c r="E18" s="50" t="s">
        <v>78</v>
      </c>
      <c r="F18" s="50" t="s">
        <v>128</v>
      </c>
      <c r="G18" s="51">
        <v>46261</v>
      </c>
      <c r="H18" s="51">
        <v>46295</v>
      </c>
      <c r="I18" s="52">
        <f t="shared" si="0"/>
        <v>35</v>
      </c>
      <c r="J18" s="50" t="s">
        <v>129</v>
      </c>
      <c r="K18" s="50" t="s">
        <v>130</v>
      </c>
      <c r="L18" s="50" t="s">
        <v>131</v>
      </c>
      <c r="M18" s="50" t="s">
        <v>132</v>
      </c>
      <c r="N18" s="50" t="s">
        <v>91</v>
      </c>
      <c r="O18" s="50" t="s">
        <v>85</v>
      </c>
    </row>
    <row r="19" spans="1:15" ht="46.5" customHeight="1">
      <c r="A19" s="11">
        <v>9</v>
      </c>
      <c r="B19" s="11" t="s">
        <v>92</v>
      </c>
      <c r="C19" s="11" t="s">
        <v>133</v>
      </c>
      <c r="D19" s="50" t="s">
        <v>134</v>
      </c>
      <c r="E19" s="50" t="s">
        <v>78</v>
      </c>
      <c r="F19" s="50" t="s">
        <v>135</v>
      </c>
      <c r="G19" s="51">
        <v>46262</v>
      </c>
      <c r="H19" s="51">
        <v>46295</v>
      </c>
      <c r="I19" s="52">
        <f t="shared" si="0"/>
        <v>34</v>
      </c>
      <c r="J19" s="50" t="s">
        <v>136</v>
      </c>
      <c r="K19" s="50" t="s">
        <v>137</v>
      </c>
      <c r="L19" s="50" t="s">
        <v>138</v>
      </c>
      <c r="M19" s="50" t="s">
        <v>139</v>
      </c>
      <c r="N19" s="50" t="s">
        <v>87</v>
      </c>
      <c r="O19" s="50" t="s">
        <v>85</v>
      </c>
    </row>
    <row r="20" spans="1:15" ht="46.5" customHeight="1">
      <c r="A20" s="11">
        <v>10</v>
      </c>
      <c r="B20" s="11" t="s">
        <v>92</v>
      </c>
      <c r="C20" s="11" t="s">
        <v>140</v>
      </c>
      <c r="D20" s="50" t="s">
        <v>141</v>
      </c>
      <c r="E20" s="50" t="s">
        <v>78</v>
      </c>
      <c r="F20" s="50" t="s">
        <v>79</v>
      </c>
      <c r="G20" s="51">
        <v>46262</v>
      </c>
      <c r="H20" s="51">
        <v>46285</v>
      </c>
      <c r="I20" s="52">
        <f t="shared" si="0"/>
        <v>24</v>
      </c>
      <c r="J20" s="50" t="s">
        <v>142</v>
      </c>
      <c r="K20" s="50" t="s">
        <v>143</v>
      </c>
      <c r="L20" s="50" t="s">
        <v>82</v>
      </c>
      <c r="M20" s="50" t="s">
        <v>144</v>
      </c>
      <c r="N20" s="50" t="s">
        <v>84</v>
      </c>
      <c r="O20" s="50" t="s">
        <v>85</v>
      </c>
    </row>
    <row r="21" spans="1:15" ht="46.5" customHeight="1">
      <c r="A21" s="11">
        <v>11</v>
      </c>
      <c r="B21" s="11" t="s">
        <v>145</v>
      </c>
      <c r="C21" s="11" t="s">
        <v>146</v>
      </c>
      <c r="D21" s="50" t="s">
        <v>147</v>
      </c>
      <c r="E21" s="50" t="s">
        <v>148</v>
      </c>
      <c r="F21" s="50" t="s">
        <v>149</v>
      </c>
      <c r="G21" s="51">
        <v>46286</v>
      </c>
      <c r="H21" s="51">
        <v>46356</v>
      </c>
      <c r="I21" s="52">
        <f t="shared" si="0"/>
        <v>71</v>
      </c>
      <c r="J21" s="50" t="s">
        <v>150</v>
      </c>
      <c r="K21" s="50" t="s">
        <v>151</v>
      </c>
      <c r="L21" s="50" t="s">
        <v>152</v>
      </c>
      <c r="M21" s="50" t="s">
        <v>153</v>
      </c>
      <c r="N21" s="50" t="s">
        <v>87</v>
      </c>
      <c r="O21" s="50" t="s">
        <v>85</v>
      </c>
    </row>
    <row r="22" spans="1:15" ht="46.5" customHeight="1">
      <c r="A22" s="11">
        <v>12</v>
      </c>
      <c r="B22" s="11" t="s">
        <v>145</v>
      </c>
      <c r="C22" s="11" t="s">
        <v>154</v>
      </c>
      <c r="D22" s="50" t="s">
        <v>155</v>
      </c>
      <c r="E22" s="50" t="s">
        <v>148</v>
      </c>
      <c r="F22" s="50" t="s">
        <v>156</v>
      </c>
      <c r="G22" s="51">
        <v>46266</v>
      </c>
      <c r="H22" s="51">
        <v>46326</v>
      </c>
      <c r="I22" s="52">
        <f t="shared" si="0"/>
        <v>61</v>
      </c>
      <c r="J22" s="50" t="s">
        <v>157</v>
      </c>
      <c r="K22" s="50" t="s">
        <v>158</v>
      </c>
      <c r="L22" s="50" t="s">
        <v>159</v>
      </c>
      <c r="M22" s="50" t="s">
        <v>160</v>
      </c>
      <c r="N22" s="50" t="s">
        <v>84</v>
      </c>
      <c r="O22" s="50" t="s">
        <v>85</v>
      </c>
    </row>
    <row r="23" spans="1:15" ht="46.5" customHeight="1">
      <c r="A23" s="11">
        <v>13</v>
      </c>
      <c r="B23" s="11" t="s">
        <v>145</v>
      </c>
      <c r="C23" s="11" t="s">
        <v>100</v>
      </c>
      <c r="D23" s="50" t="s">
        <v>161</v>
      </c>
      <c r="E23" s="50" t="s">
        <v>148</v>
      </c>
      <c r="F23" s="50" t="s">
        <v>87</v>
      </c>
      <c r="G23" s="51">
        <v>46266</v>
      </c>
      <c r="H23" s="51">
        <v>46285</v>
      </c>
      <c r="I23" s="52">
        <f t="shared" si="0"/>
        <v>20</v>
      </c>
      <c r="J23" s="50" t="s">
        <v>162</v>
      </c>
      <c r="K23" s="50" t="s">
        <v>163</v>
      </c>
      <c r="L23" s="50" t="s">
        <v>159</v>
      </c>
      <c r="M23" s="50" t="s">
        <v>164</v>
      </c>
      <c r="N23" s="50" t="s">
        <v>87</v>
      </c>
      <c r="O23" s="50" t="s">
        <v>85</v>
      </c>
    </row>
    <row r="24" spans="1:15" ht="46.5" customHeight="1">
      <c r="A24" s="11">
        <v>14</v>
      </c>
      <c r="B24" s="11" t="s">
        <v>145</v>
      </c>
      <c r="C24" s="11" t="s">
        <v>165</v>
      </c>
      <c r="D24" s="50" t="s">
        <v>166</v>
      </c>
      <c r="E24" s="50" t="s">
        <v>148</v>
      </c>
      <c r="F24" s="50" t="s">
        <v>167</v>
      </c>
      <c r="G24" s="51">
        <v>46266</v>
      </c>
      <c r="H24" s="51">
        <v>46356</v>
      </c>
      <c r="I24" s="52">
        <f t="shared" si="0"/>
        <v>91</v>
      </c>
      <c r="J24" s="50" t="s">
        <v>168</v>
      </c>
      <c r="K24" s="50" t="s">
        <v>169</v>
      </c>
      <c r="L24" s="50" t="s">
        <v>170</v>
      </c>
      <c r="M24" s="50" t="s">
        <v>171</v>
      </c>
      <c r="N24" s="50" t="s">
        <v>91</v>
      </c>
      <c r="O24" s="50" t="s">
        <v>85</v>
      </c>
    </row>
    <row r="25" spans="1:15" ht="46.5" customHeight="1">
      <c r="A25" s="11">
        <v>15</v>
      </c>
      <c r="B25" s="11" t="s">
        <v>145</v>
      </c>
      <c r="C25" s="11" t="s">
        <v>113</v>
      </c>
      <c r="D25" s="50" t="s">
        <v>172</v>
      </c>
      <c r="E25" s="50" t="s">
        <v>148</v>
      </c>
      <c r="F25" s="50" t="s">
        <v>173</v>
      </c>
      <c r="G25" s="51">
        <v>46272</v>
      </c>
      <c r="H25" s="51">
        <v>46296</v>
      </c>
      <c r="I25" s="52">
        <f t="shared" si="0"/>
        <v>25</v>
      </c>
      <c r="J25" s="50" t="s">
        <v>174</v>
      </c>
      <c r="K25" s="50" t="s">
        <v>175</v>
      </c>
      <c r="L25" s="50" t="s">
        <v>82</v>
      </c>
      <c r="M25" s="50" t="s">
        <v>176</v>
      </c>
      <c r="N25" s="50" t="s">
        <v>87</v>
      </c>
      <c r="O25" s="50" t="s">
        <v>85</v>
      </c>
    </row>
    <row r="26" spans="1:15" ht="46.5" customHeight="1">
      <c r="A26" s="11">
        <v>16</v>
      </c>
      <c r="B26" s="11" t="s">
        <v>145</v>
      </c>
      <c r="C26" s="11" t="s">
        <v>177</v>
      </c>
      <c r="D26" s="50" t="s">
        <v>178</v>
      </c>
      <c r="E26" s="50" t="s">
        <v>148</v>
      </c>
      <c r="F26" s="50" t="s">
        <v>179</v>
      </c>
      <c r="G26" s="51">
        <v>46295</v>
      </c>
      <c r="H26" s="51">
        <v>46356</v>
      </c>
      <c r="I26" s="52">
        <f t="shared" si="0"/>
        <v>62</v>
      </c>
      <c r="J26" s="50" t="s">
        <v>180</v>
      </c>
      <c r="K26" s="50" t="s">
        <v>181</v>
      </c>
      <c r="L26" s="50" t="s">
        <v>82</v>
      </c>
      <c r="M26" s="50" t="s">
        <v>182</v>
      </c>
      <c r="N26" s="50" t="s">
        <v>91</v>
      </c>
      <c r="O26" s="50" t="s">
        <v>85</v>
      </c>
    </row>
    <row r="27" spans="1:15" ht="46.5" customHeight="1">
      <c r="A27" s="11">
        <v>17</v>
      </c>
      <c r="B27" s="11" t="s">
        <v>145</v>
      </c>
      <c r="C27" s="11" t="s">
        <v>183</v>
      </c>
      <c r="D27" s="50" t="s">
        <v>184</v>
      </c>
      <c r="E27" s="50" t="s">
        <v>148</v>
      </c>
      <c r="F27" s="50" t="s">
        <v>185</v>
      </c>
      <c r="G27" s="51">
        <v>46280</v>
      </c>
      <c r="H27" s="51">
        <v>46341</v>
      </c>
      <c r="I27" s="52">
        <f t="shared" si="0"/>
        <v>62</v>
      </c>
      <c r="J27" s="50" t="s">
        <v>186</v>
      </c>
      <c r="K27" s="50" t="s">
        <v>187</v>
      </c>
      <c r="L27" s="50" t="s">
        <v>188</v>
      </c>
      <c r="M27" s="50" t="s">
        <v>119</v>
      </c>
      <c r="N27" s="50" t="s">
        <v>84</v>
      </c>
      <c r="O27" s="50" t="s">
        <v>85</v>
      </c>
    </row>
    <row r="28" spans="1:15" ht="46.5" customHeight="1">
      <c r="A28" s="11">
        <v>18</v>
      </c>
      <c r="B28" s="11" t="s">
        <v>145</v>
      </c>
      <c r="C28" s="11" t="s">
        <v>189</v>
      </c>
      <c r="D28" s="50" t="s">
        <v>190</v>
      </c>
      <c r="E28" s="50" t="s">
        <v>148</v>
      </c>
      <c r="F28" s="50" t="s">
        <v>87</v>
      </c>
      <c r="G28" s="51">
        <v>46280</v>
      </c>
      <c r="H28" s="51">
        <v>46341</v>
      </c>
      <c r="I28" s="52">
        <f t="shared" si="0"/>
        <v>62</v>
      </c>
      <c r="J28" s="50" t="s">
        <v>191</v>
      </c>
      <c r="K28" s="50" t="s">
        <v>192</v>
      </c>
      <c r="L28" s="50" t="s">
        <v>193</v>
      </c>
      <c r="M28" s="50" t="s">
        <v>194</v>
      </c>
      <c r="N28" s="50" t="s">
        <v>91</v>
      </c>
      <c r="O28" s="50" t="s">
        <v>85</v>
      </c>
    </row>
    <row r="29" spans="1:15" ht="46.5" customHeight="1">
      <c r="A29" s="11">
        <v>19</v>
      </c>
      <c r="B29" s="11" t="s">
        <v>195</v>
      </c>
      <c r="C29" s="11" t="s">
        <v>126</v>
      </c>
      <c r="D29" s="50" t="s">
        <v>196</v>
      </c>
      <c r="E29" s="50" t="s">
        <v>197</v>
      </c>
      <c r="F29" s="50" t="s">
        <v>198</v>
      </c>
      <c r="G29" s="51">
        <v>46357</v>
      </c>
      <c r="H29" s="51">
        <v>46446</v>
      </c>
      <c r="I29" s="52">
        <f t="shared" si="0"/>
        <v>90</v>
      </c>
      <c r="J29" s="50" t="s">
        <v>199</v>
      </c>
      <c r="K29" s="50" t="s">
        <v>200</v>
      </c>
      <c r="L29" s="50" t="s">
        <v>201</v>
      </c>
      <c r="M29" s="50" t="s">
        <v>202</v>
      </c>
      <c r="N29" s="50" t="s">
        <v>91</v>
      </c>
      <c r="O29" s="50" t="s">
        <v>85</v>
      </c>
    </row>
    <row r="30" spans="1:15" ht="46.5" customHeight="1">
      <c r="A30" s="11">
        <v>20</v>
      </c>
      <c r="B30" s="11" t="s">
        <v>195</v>
      </c>
      <c r="C30" s="11" t="s">
        <v>203</v>
      </c>
      <c r="D30" s="50" t="s">
        <v>204</v>
      </c>
      <c r="E30" s="50" t="s">
        <v>197</v>
      </c>
      <c r="F30" s="50" t="s">
        <v>167</v>
      </c>
      <c r="G30" s="51">
        <v>46357</v>
      </c>
      <c r="H30" s="51">
        <v>46446</v>
      </c>
      <c r="I30" s="52">
        <f t="shared" si="0"/>
        <v>90</v>
      </c>
      <c r="J30" s="50" t="s">
        <v>205</v>
      </c>
      <c r="K30" s="50" t="s">
        <v>206</v>
      </c>
      <c r="L30" s="50" t="s">
        <v>207</v>
      </c>
      <c r="M30" s="50" t="s">
        <v>208</v>
      </c>
      <c r="N30" s="50" t="s">
        <v>91</v>
      </c>
      <c r="O30" s="50" t="s">
        <v>85</v>
      </c>
    </row>
    <row r="31" spans="1:15" ht="46.5" customHeight="1">
      <c r="A31" s="11">
        <v>21</v>
      </c>
      <c r="B31" s="11" t="s">
        <v>195</v>
      </c>
      <c r="C31" s="11" t="s">
        <v>106</v>
      </c>
      <c r="D31" s="50" t="s">
        <v>209</v>
      </c>
      <c r="E31" s="50" t="s">
        <v>197</v>
      </c>
      <c r="F31" s="50" t="s">
        <v>210</v>
      </c>
      <c r="G31" s="51">
        <v>46296</v>
      </c>
      <c r="H31" s="51">
        <v>46446</v>
      </c>
      <c r="I31" s="52">
        <f t="shared" si="0"/>
        <v>151</v>
      </c>
      <c r="J31" s="50" t="s">
        <v>211</v>
      </c>
      <c r="K31" s="50" t="s">
        <v>212</v>
      </c>
      <c r="L31" s="50" t="s">
        <v>213</v>
      </c>
      <c r="M31" s="50" t="s">
        <v>214</v>
      </c>
      <c r="N31" s="50" t="s">
        <v>84</v>
      </c>
      <c r="O31" s="50" t="s">
        <v>85</v>
      </c>
    </row>
    <row r="32" spans="1:15" ht="46.5" customHeight="1">
      <c r="A32" s="11">
        <v>22</v>
      </c>
      <c r="B32" s="11" t="s">
        <v>195</v>
      </c>
      <c r="C32" s="11" t="s">
        <v>146</v>
      </c>
      <c r="D32" s="50" t="s">
        <v>215</v>
      </c>
      <c r="E32" s="50" t="s">
        <v>197</v>
      </c>
      <c r="F32" s="50" t="s">
        <v>149</v>
      </c>
      <c r="G32" s="51">
        <v>46357</v>
      </c>
      <c r="H32" s="51">
        <v>46446</v>
      </c>
      <c r="I32" s="52">
        <f t="shared" si="0"/>
        <v>90</v>
      </c>
      <c r="J32" s="50" t="s">
        <v>216</v>
      </c>
      <c r="K32" s="50" t="s">
        <v>217</v>
      </c>
      <c r="L32" s="50" t="s">
        <v>218</v>
      </c>
      <c r="M32" s="50" t="s">
        <v>219</v>
      </c>
      <c r="N32" s="50" t="s">
        <v>91</v>
      </c>
      <c r="O32" s="50" t="s">
        <v>85</v>
      </c>
    </row>
    <row r="33" spans="1:15" ht="46.5" customHeight="1">
      <c r="A33" s="11">
        <v>23</v>
      </c>
      <c r="B33" s="11" t="s">
        <v>220</v>
      </c>
      <c r="C33" s="11" t="s">
        <v>221</v>
      </c>
      <c r="D33" s="50" t="s">
        <v>222</v>
      </c>
      <c r="E33" s="50" t="s">
        <v>223</v>
      </c>
      <c r="F33" s="50" t="s">
        <v>224</v>
      </c>
      <c r="G33" s="51">
        <v>46447</v>
      </c>
      <c r="H33" s="51">
        <v>46624</v>
      </c>
      <c r="I33" s="52">
        <f t="shared" si="0"/>
        <v>178</v>
      </c>
      <c r="J33" s="50" t="s">
        <v>225</v>
      </c>
      <c r="K33" s="50" t="s">
        <v>226</v>
      </c>
      <c r="L33" s="50" t="s">
        <v>227</v>
      </c>
      <c r="M33" s="50" t="s">
        <v>228</v>
      </c>
      <c r="N33" s="50" t="s">
        <v>84</v>
      </c>
      <c r="O33" s="50" t="s">
        <v>85</v>
      </c>
    </row>
    <row r="34" spans="1:15" ht="46.5" customHeight="1">
      <c r="A34" s="11">
        <v>24</v>
      </c>
      <c r="B34" s="11" t="s">
        <v>220</v>
      </c>
      <c r="C34" s="11" t="s">
        <v>229</v>
      </c>
      <c r="D34" s="50" t="s">
        <v>230</v>
      </c>
      <c r="E34" s="50" t="s">
        <v>223</v>
      </c>
      <c r="F34" s="50" t="s">
        <v>231</v>
      </c>
      <c r="G34" s="51">
        <v>46569</v>
      </c>
      <c r="H34" s="51">
        <v>46624</v>
      </c>
      <c r="I34" s="52">
        <f t="shared" si="0"/>
        <v>56</v>
      </c>
      <c r="J34" s="50" t="s">
        <v>232</v>
      </c>
      <c r="K34" s="50" t="s">
        <v>233</v>
      </c>
      <c r="L34" s="50" t="s">
        <v>234</v>
      </c>
      <c r="M34" s="50" t="s">
        <v>235</v>
      </c>
      <c r="N34" s="50" t="s">
        <v>84</v>
      </c>
      <c r="O34" s="50" t="s">
        <v>85</v>
      </c>
    </row>
  </sheetData>
  <mergeCells count="10">
    <mergeCell ref="A1:O1"/>
    <mergeCell ref="A2:O2"/>
    <mergeCell ref="A4:C7"/>
    <mergeCell ref="A8:C8"/>
    <mergeCell ref="E4:G7"/>
    <mergeCell ref="E8:G8"/>
    <mergeCell ref="I4:K7"/>
    <mergeCell ref="I8:K8"/>
    <mergeCell ref="M4:O7"/>
    <mergeCell ref="M8:O8"/>
  </mergeCells>
  <conditionalFormatting sqref="E11:E34">
    <cfRule type="containsText" dxfId="16" priority="1" operator="containsText" text="P0"/>
    <cfRule type="containsText" dxfId="15" priority="2" operator="containsText" text="P1"/>
  </conditionalFormatting>
  <conditionalFormatting sqref="O11:O34">
    <cfRule type="containsText" dxfId="14" priority="3" operator="containsText" text="Terminé"/>
    <cfRule type="containsText" dxfId="13" priority="4" operator="containsText" text="Bloqué"/>
  </conditionalFormatting>
  <dataValidations count="1">
    <dataValidation type="list" sqref="O11:O34" xr:uid="{00000000-0002-0000-0200-000000000000}">
      <formula1>"À lancer,En cours,Bloqué,Terminé"</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7"/>
  <sheetViews>
    <sheetView showGridLines="0" zoomScale="80" zoomScaleNormal="80" workbookViewId="0">
      <selection sqref="A1:J1"/>
    </sheetView>
  </sheetViews>
  <sheetFormatPr defaultRowHeight="14"/>
  <cols>
    <col min="1" max="1" width="7.25" customWidth="1"/>
    <col min="2" max="2" width="12.5" customWidth="1"/>
    <col min="3" max="3" width="13" customWidth="1"/>
    <col min="4" max="4" width="23.33203125" customWidth="1"/>
    <col min="5" max="5" width="46.6640625" customWidth="1"/>
    <col min="6" max="6" width="21.08203125" customWidth="1"/>
    <col min="7" max="8" width="24.4140625" customWidth="1"/>
    <col min="9" max="9" width="12.25" customWidth="1"/>
    <col min="10" max="10" width="10" customWidth="1"/>
  </cols>
  <sheetData>
    <row r="1" spans="1:10" ht="23">
      <c r="A1" s="113" t="s">
        <v>236</v>
      </c>
      <c r="B1" s="113"/>
      <c r="C1" s="113"/>
      <c r="D1" s="113"/>
      <c r="E1" s="113"/>
      <c r="F1" s="113"/>
      <c r="G1" s="113"/>
      <c r="H1" s="113"/>
      <c r="I1" s="113"/>
      <c r="J1" s="113"/>
    </row>
    <row r="2" spans="1:10">
      <c r="A2" s="114" t="s">
        <v>237</v>
      </c>
      <c r="B2" s="114"/>
      <c r="C2" s="114"/>
      <c r="D2" s="114"/>
      <c r="E2" s="114"/>
      <c r="F2" s="114"/>
      <c r="G2" s="114"/>
      <c r="H2" s="114"/>
      <c r="I2" s="114"/>
      <c r="J2" s="114"/>
    </row>
    <row r="3" spans="1:10">
      <c r="A3" s="11"/>
      <c r="B3" s="11"/>
      <c r="C3" s="11"/>
      <c r="D3" s="11"/>
      <c r="E3" s="11"/>
      <c r="F3" s="11"/>
      <c r="G3" s="11"/>
      <c r="H3" s="11"/>
      <c r="I3" s="11"/>
      <c r="J3" s="11"/>
    </row>
    <row r="4" spans="1:10" ht="26">
      <c r="A4" s="1" t="s">
        <v>238</v>
      </c>
      <c r="B4" s="2" t="s">
        <v>66</v>
      </c>
      <c r="C4" s="2" t="s">
        <v>239</v>
      </c>
      <c r="D4" s="2" t="s">
        <v>240</v>
      </c>
      <c r="E4" s="2" t="s">
        <v>241</v>
      </c>
      <c r="F4" s="2" t="s">
        <v>65</v>
      </c>
      <c r="G4" s="2" t="s">
        <v>242</v>
      </c>
      <c r="H4" s="2" t="s">
        <v>243</v>
      </c>
      <c r="I4" s="2" t="s">
        <v>244</v>
      </c>
      <c r="J4" s="3" t="s">
        <v>74</v>
      </c>
    </row>
    <row r="5" spans="1:10" ht="55.5" customHeight="1">
      <c r="A5" s="11" t="s">
        <v>245</v>
      </c>
      <c r="B5" s="16">
        <v>46260</v>
      </c>
      <c r="C5" s="16">
        <v>46264</v>
      </c>
      <c r="D5" s="50" t="s">
        <v>246</v>
      </c>
      <c r="E5" s="50" t="s">
        <v>247</v>
      </c>
      <c r="F5" s="50" t="s">
        <v>79</v>
      </c>
      <c r="G5" s="50" t="s">
        <v>248</v>
      </c>
      <c r="H5" s="50" t="s">
        <v>249</v>
      </c>
      <c r="I5" s="50" t="s">
        <v>250</v>
      </c>
      <c r="J5" s="50" t="s">
        <v>85</v>
      </c>
    </row>
    <row r="6" spans="1:10" ht="55.5" customHeight="1">
      <c r="A6" s="11" t="s">
        <v>251</v>
      </c>
      <c r="B6" s="16">
        <v>46265</v>
      </c>
      <c r="C6" s="16">
        <v>46271</v>
      </c>
      <c r="D6" s="50" t="s">
        <v>252</v>
      </c>
      <c r="E6" s="50" t="s">
        <v>253</v>
      </c>
      <c r="F6" s="50" t="s">
        <v>87</v>
      </c>
      <c r="G6" s="50" t="s">
        <v>254</v>
      </c>
      <c r="H6" s="50" t="s">
        <v>255</v>
      </c>
      <c r="I6" s="50" t="s">
        <v>256</v>
      </c>
      <c r="J6" s="50" t="s">
        <v>85</v>
      </c>
    </row>
    <row r="7" spans="1:10" ht="55.5" customHeight="1">
      <c r="A7" s="11" t="s">
        <v>257</v>
      </c>
      <c r="B7" s="16">
        <v>46272</v>
      </c>
      <c r="C7" s="16">
        <v>46278</v>
      </c>
      <c r="D7" s="50" t="s">
        <v>258</v>
      </c>
      <c r="E7" s="50" t="s">
        <v>259</v>
      </c>
      <c r="F7" s="50" t="s">
        <v>260</v>
      </c>
      <c r="G7" s="50" t="s">
        <v>261</v>
      </c>
      <c r="H7" s="50" t="s">
        <v>262</v>
      </c>
      <c r="I7" s="50" t="s">
        <v>263</v>
      </c>
      <c r="J7" s="50" t="s">
        <v>85</v>
      </c>
    </row>
    <row r="8" spans="1:10" ht="55.5" customHeight="1">
      <c r="A8" s="11" t="s">
        <v>264</v>
      </c>
      <c r="B8" s="16">
        <v>46279</v>
      </c>
      <c r="C8" s="16">
        <v>46285</v>
      </c>
      <c r="D8" s="50" t="s">
        <v>265</v>
      </c>
      <c r="E8" s="50" t="s">
        <v>266</v>
      </c>
      <c r="F8" s="50" t="s">
        <v>95</v>
      </c>
      <c r="G8" s="50" t="s">
        <v>267</v>
      </c>
      <c r="H8" s="50" t="s">
        <v>268</v>
      </c>
      <c r="I8" s="50" t="s">
        <v>269</v>
      </c>
      <c r="J8" s="50" t="s">
        <v>85</v>
      </c>
    </row>
    <row r="9" spans="1:10" ht="55.5" customHeight="1">
      <c r="A9" s="11" t="s">
        <v>270</v>
      </c>
      <c r="B9" s="16">
        <v>46286</v>
      </c>
      <c r="C9" s="16">
        <v>46292</v>
      </c>
      <c r="D9" s="50" t="s">
        <v>271</v>
      </c>
      <c r="E9" s="50" t="s">
        <v>272</v>
      </c>
      <c r="F9" s="50" t="s">
        <v>87</v>
      </c>
      <c r="G9" s="50" t="s">
        <v>273</v>
      </c>
      <c r="H9" s="50" t="s">
        <v>274</v>
      </c>
      <c r="I9" s="50" t="s">
        <v>275</v>
      </c>
      <c r="J9" s="50" t="s">
        <v>85</v>
      </c>
    </row>
    <row r="10" spans="1:10" ht="55.5" customHeight="1">
      <c r="A10" s="11" t="s">
        <v>276</v>
      </c>
      <c r="B10" s="16">
        <v>46293</v>
      </c>
      <c r="C10" s="16">
        <v>46299</v>
      </c>
      <c r="D10" s="50" t="s">
        <v>277</v>
      </c>
      <c r="E10" s="50" t="s">
        <v>278</v>
      </c>
      <c r="F10" s="50" t="s">
        <v>198</v>
      </c>
      <c r="G10" s="50" t="s">
        <v>279</v>
      </c>
      <c r="H10" s="50" t="s">
        <v>280</v>
      </c>
      <c r="I10" s="50" t="s">
        <v>281</v>
      </c>
      <c r="J10" s="50" t="s">
        <v>85</v>
      </c>
    </row>
    <row r="11" spans="1:10" ht="55.5" customHeight="1">
      <c r="A11" s="11" t="s">
        <v>282</v>
      </c>
      <c r="B11" s="16">
        <v>46300</v>
      </c>
      <c r="C11" s="16">
        <v>46306</v>
      </c>
      <c r="D11" s="50" t="s">
        <v>283</v>
      </c>
      <c r="E11" s="50" t="s">
        <v>284</v>
      </c>
      <c r="F11" s="50" t="s">
        <v>167</v>
      </c>
      <c r="G11" s="50" t="s">
        <v>285</v>
      </c>
      <c r="H11" s="50" t="s">
        <v>286</v>
      </c>
      <c r="I11" s="50" t="s">
        <v>287</v>
      </c>
      <c r="J11" s="50" t="s">
        <v>85</v>
      </c>
    </row>
    <row r="12" spans="1:10" ht="55.5" customHeight="1">
      <c r="A12" s="11" t="s">
        <v>288</v>
      </c>
      <c r="B12" s="16">
        <v>46307</v>
      </c>
      <c r="C12" s="16">
        <v>46313</v>
      </c>
      <c r="D12" s="50" t="s">
        <v>289</v>
      </c>
      <c r="E12" s="50" t="s">
        <v>290</v>
      </c>
      <c r="F12" s="50" t="s">
        <v>115</v>
      </c>
      <c r="G12" s="50" t="s">
        <v>291</v>
      </c>
      <c r="H12" s="50" t="s">
        <v>292</v>
      </c>
      <c r="I12" s="50" t="s">
        <v>293</v>
      </c>
      <c r="J12" s="50" t="s">
        <v>85</v>
      </c>
    </row>
    <row r="13" spans="1:10" ht="55.5" customHeight="1">
      <c r="A13" s="11" t="s">
        <v>294</v>
      </c>
      <c r="B13" s="16">
        <v>46314</v>
      </c>
      <c r="C13" s="16">
        <v>46320</v>
      </c>
      <c r="D13" s="50" t="s">
        <v>295</v>
      </c>
      <c r="E13" s="50" t="s">
        <v>296</v>
      </c>
      <c r="F13" s="50" t="s">
        <v>297</v>
      </c>
      <c r="G13" s="50" t="s">
        <v>298</v>
      </c>
      <c r="H13" s="50" t="s">
        <v>299</v>
      </c>
      <c r="I13" s="50" t="s">
        <v>300</v>
      </c>
      <c r="J13" s="50" t="s">
        <v>85</v>
      </c>
    </row>
    <row r="14" spans="1:10" ht="55.5" customHeight="1">
      <c r="A14" s="11" t="s">
        <v>301</v>
      </c>
      <c r="B14" s="16">
        <v>46321</v>
      </c>
      <c r="C14" s="16">
        <v>46327</v>
      </c>
      <c r="D14" s="50" t="s">
        <v>302</v>
      </c>
      <c r="E14" s="50" t="s">
        <v>303</v>
      </c>
      <c r="F14" s="50" t="s">
        <v>156</v>
      </c>
      <c r="G14" s="50" t="s">
        <v>304</v>
      </c>
      <c r="H14" s="50" t="s">
        <v>305</v>
      </c>
      <c r="I14" s="50" t="s">
        <v>306</v>
      </c>
      <c r="J14" s="50" t="s">
        <v>85</v>
      </c>
    </row>
    <row r="15" spans="1:10" ht="55.5" customHeight="1">
      <c r="A15" s="11" t="s">
        <v>307</v>
      </c>
      <c r="B15" s="16">
        <v>46328</v>
      </c>
      <c r="C15" s="16">
        <v>46334</v>
      </c>
      <c r="D15" s="50" t="s">
        <v>308</v>
      </c>
      <c r="E15" s="50" t="s">
        <v>309</v>
      </c>
      <c r="F15" s="50" t="s">
        <v>310</v>
      </c>
      <c r="G15" s="50" t="s">
        <v>311</v>
      </c>
      <c r="H15" s="50" t="s">
        <v>312</v>
      </c>
      <c r="I15" s="50" t="s">
        <v>313</v>
      </c>
      <c r="J15" s="50" t="s">
        <v>85</v>
      </c>
    </row>
    <row r="16" spans="1:10" ht="55.5" customHeight="1">
      <c r="A16" s="11" t="s">
        <v>314</v>
      </c>
      <c r="B16" s="16">
        <v>46335</v>
      </c>
      <c r="C16" s="16">
        <v>46341</v>
      </c>
      <c r="D16" s="50" t="s">
        <v>315</v>
      </c>
      <c r="E16" s="50" t="s">
        <v>316</v>
      </c>
      <c r="F16" s="50" t="s">
        <v>317</v>
      </c>
      <c r="G16" s="50" t="s">
        <v>318</v>
      </c>
      <c r="H16" s="50" t="s">
        <v>319</v>
      </c>
      <c r="I16" s="50" t="s">
        <v>320</v>
      </c>
      <c r="J16" s="50" t="s">
        <v>85</v>
      </c>
    </row>
    <row r="17" spans="1:10" ht="55.5" customHeight="1">
      <c r="A17" s="11" t="s">
        <v>321</v>
      </c>
      <c r="B17" s="16">
        <v>46342</v>
      </c>
      <c r="C17" s="16">
        <v>46348</v>
      </c>
      <c r="D17" s="50" t="s">
        <v>322</v>
      </c>
      <c r="E17" s="50" t="s">
        <v>323</v>
      </c>
      <c r="F17" s="50" t="s">
        <v>324</v>
      </c>
      <c r="G17" s="50" t="s">
        <v>325</v>
      </c>
      <c r="H17" s="50" t="s">
        <v>326</v>
      </c>
      <c r="I17" s="50" t="s">
        <v>327</v>
      </c>
      <c r="J17" s="50" t="s">
        <v>85</v>
      </c>
    </row>
    <row r="18" spans="1:10" ht="55.5" customHeight="1">
      <c r="A18" s="11" t="s">
        <v>328</v>
      </c>
      <c r="B18" s="16">
        <v>46349</v>
      </c>
      <c r="C18" s="16">
        <v>46356</v>
      </c>
      <c r="D18" s="50" t="s">
        <v>329</v>
      </c>
      <c r="E18" s="50" t="s">
        <v>330</v>
      </c>
      <c r="F18" s="50" t="s">
        <v>91</v>
      </c>
      <c r="G18" s="50" t="s">
        <v>331</v>
      </c>
      <c r="H18" s="50" t="s">
        <v>332</v>
      </c>
      <c r="I18" s="50" t="s">
        <v>333</v>
      </c>
      <c r="J18" s="50" t="s">
        <v>85</v>
      </c>
    </row>
    <row r="19" spans="1:10">
      <c r="A19" s="11"/>
      <c r="B19" s="11"/>
      <c r="C19" s="11"/>
      <c r="D19" s="11"/>
      <c r="E19" s="11"/>
      <c r="F19" s="11"/>
      <c r="G19" s="11"/>
      <c r="H19" s="11"/>
      <c r="I19" s="11"/>
      <c r="J19" s="11"/>
    </row>
    <row r="20" spans="1:10">
      <c r="A20" s="11"/>
      <c r="B20" s="11"/>
      <c r="C20" s="11"/>
      <c r="D20" s="11"/>
      <c r="E20" s="11"/>
      <c r="F20" s="11"/>
      <c r="G20" s="11"/>
      <c r="H20" s="11"/>
      <c r="I20" s="11"/>
      <c r="J20" s="11"/>
    </row>
    <row r="21" spans="1:10">
      <c r="A21" s="152" t="s">
        <v>334</v>
      </c>
      <c r="B21" s="152" t="s">
        <v>334</v>
      </c>
      <c r="C21" s="152" t="s">
        <v>334</v>
      </c>
      <c r="D21" s="152" t="s">
        <v>334</v>
      </c>
      <c r="E21" s="152" t="s">
        <v>334</v>
      </c>
      <c r="F21" s="152" t="s">
        <v>334</v>
      </c>
      <c r="G21" s="152" t="s">
        <v>334</v>
      </c>
      <c r="H21" s="152" t="s">
        <v>334</v>
      </c>
      <c r="I21" s="152" t="s">
        <v>334</v>
      </c>
      <c r="J21" s="152" t="s">
        <v>334</v>
      </c>
    </row>
    <row r="22" spans="1:10">
      <c r="A22" s="153" t="s">
        <v>335</v>
      </c>
      <c r="B22" s="154"/>
      <c r="C22" s="154"/>
      <c r="D22" s="154"/>
      <c r="E22" s="154"/>
      <c r="F22" s="154"/>
      <c r="G22" s="154"/>
      <c r="H22" s="154"/>
      <c r="I22" s="154"/>
      <c r="J22" s="155"/>
    </row>
    <row r="23" spans="1:10">
      <c r="A23" s="156"/>
      <c r="B23" s="157"/>
      <c r="C23" s="157"/>
      <c r="D23" s="157"/>
      <c r="E23" s="157"/>
      <c r="F23" s="157"/>
      <c r="G23" s="157"/>
      <c r="H23" s="157"/>
      <c r="I23" s="157"/>
      <c r="J23" s="158"/>
    </row>
    <row r="24" spans="1:10">
      <c r="A24" s="156"/>
      <c r="B24" s="157"/>
      <c r="C24" s="157"/>
      <c r="D24" s="157"/>
      <c r="E24" s="157"/>
      <c r="F24" s="157"/>
      <c r="G24" s="157"/>
      <c r="H24" s="157"/>
      <c r="I24" s="157"/>
      <c r="J24" s="158"/>
    </row>
    <row r="25" spans="1:10">
      <c r="A25" s="156"/>
      <c r="B25" s="157"/>
      <c r="C25" s="157"/>
      <c r="D25" s="157"/>
      <c r="E25" s="157"/>
      <c r="F25" s="157"/>
      <c r="G25" s="157"/>
      <c r="H25" s="157"/>
      <c r="I25" s="157"/>
      <c r="J25" s="158"/>
    </row>
    <row r="26" spans="1:10">
      <c r="A26" s="156"/>
      <c r="B26" s="157"/>
      <c r="C26" s="157"/>
      <c r="D26" s="157"/>
      <c r="E26" s="157"/>
      <c r="F26" s="157"/>
      <c r="G26" s="157"/>
      <c r="H26" s="157"/>
      <c r="I26" s="157"/>
      <c r="J26" s="158"/>
    </row>
    <row r="27" spans="1:10">
      <c r="A27" s="159"/>
      <c r="B27" s="160"/>
      <c r="C27" s="160"/>
      <c r="D27" s="160"/>
      <c r="E27" s="160"/>
      <c r="F27" s="160"/>
      <c r="G27" s="160"/>
      <c r="H27" s="160"/>
      <c r="I27" s="160"/>
      <c r="J27" s="161"/>
    </row>
  </sheetData>
  <mergeCells count="4">
    <mergeCell ref="A1:J1"/>
    <mergeCell ref="A2:J2"/>
    <mergeCell ref="A21:J21"/>
    <mergeCell ref="A22:J27"/>
  </mergeCells>
  <conditionalFormatting sqref="J5:J18">
    <cfRule type="containsText" dxfId="12" priority="1" operator="containsText" text="Terminé"/>
    <cfRule type="containsText" dxfId="11" priority="2" operator="containsText" text="Bloqué"/>
  </conditionalFormatting>
  <dataValidations count="1">
    <dataValidation type="list" sqref="J5:J18" xr:uid="{00000000-0002-0000-0300-000000000000}">
      <formula1>"À lancer,En cours,Bloqué,Terminé"</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0"/>
  <sheetViews>
    <sheetView showGridLines="0" zoomScale="80" zoomScaleNormal="80" workbookViewId="0">
      <selection sqref="A1:O1"/>
    </sheetView>
  </sheetViews>
  <sheetFormatPr defaultRowHeight="14"/>
  <cols>
    <col min="1" max="1" width="17.25" customWidth="1"/>
    <col min="2" max="2" width="8.33203125" customWidth="1"/>
    <col min="3" max="3" width="14.33203125" customWidth="1"/>
    <col min="4" max="4" width="13.1640625" customWidth="1"/>
    <col min="5" max="5" width="13.25" customWidth="1"/>
    <col min="6" max="6" width="24.4140625" customWidth="1"/>
    <col min="7" max="8" width="31.08203125" customWidth="1"/>
    <col min="9" max="9" width="25.58203125" customWidth="1"/>
    <col min="10" max="10" width="33.33203125" customWidth="1"/>
    <col min="11" max="12" width="31.08203125" customWidth="1"/>
    <col min="13" max="13" width="25.58203125" customWidth="1"/>
    <col min="14" max="14" width="24.4140625" customWidth="1"/>
    <col min="15" max="15" width="18.33203125" customWidth="1"/>
  </cols>
  <sheetData>
    <row r="1" spans="1:15" ht="23">
      <c r="A1" s="113" t="s">
        <v>336</v>
      </c>
      <c r="B1" s="113"/>
      <c r="C1" s="113"/>
      <c r="D1" s="113"/>
      <c r="E1" s="113"/>
      <c r="F1" s="113"/>
      <c r="G1" s="113"/>
      <c r="H1" s="113"/>
      <c r="I1" s="113"/>
      <c r="J1" s="113"/>
      <c r="K1" s="113"/>
      <c r="L1" s="113"/>
      <c r="M1" s="113"/>
      <c r="N1" s="113"/>
      <c r="O1" s="113"/>
    </row>
    <row r="2" spans="1:15">
      <c r="A2" s="114" t="s">
        <v>337</v>
      </c>
      <c r="B2" s="114"/>
      <c r="C2" s="114"/>
      <c r="D2" s="114"/>
      <c r="E2" s="114"/>
      <c r="F2" s="114"/>
      <c r="G2" s="114"/>
      <c r="H2" s="114"/>
      <c r="I2" s="114"/>
      <c r="J2" s="114"/>
      <c r="K2" s="114"/>
      <c r="L2" s="114"/>
      <c r="M2" s="114"/>
      <c r="N2" s="114"/>
      <c r="O2" s="114"/>
    </row>
    <row r="3" spans="1:15">
      <c r="A3" s="11"/>
      <c r="B3" s="11"/>
      <c r="C3" s="11"/>
      <c r="D3" s="11"/>
      <c r="E3" s="11"/>
      <c r="F3" s="11"/>
      <c r="G3" s="11"/>
      <c r="H3" s="11"/>
      <c r="I3" s="11"/>
      <c r="J3" s="11"/>
      <c r="K3" s="11"/>
      <c r="L3" s="11"/>
      <c r="M3" s="11"/>
      <c r="N3" s="11"/>
      <c r="O3" s="11"/>
    </row>
    <row r="4" spans="1:15" ht="26">
      <c r="A4" s="1" t="s">
        <v>28</v>
      </c>
      <c r="B4" s="2" t="s">
        <v>8</v>
      </c>
      <c r="C4" s="2" t="s">
        <v>338</v>
      </c>
      <c r="D4" s="2" t="s">
        <v>30</v>
      </c>
      <c r="E4" s="2" t="s">
        <v>339</v>
      </c>
      <c r="F4" s="2" t="s">
        <v>340</v>
      </c>
      <c r="G4" s="2" t="s">
        <v>341</v>
      </c>
      <c r="H4" s="2" t="s">
        <v>342</v>
      </c>
      <c r="I4" s="2" t="s">
        <v>343</v>
      </c>
      <c r="J4" s="2" t="s">
        <v>344</v>
      </c>
      <c r="K4" s="2" t="s">
        <v>345</v>
      </c>
      <c r="L4" s="2" t="s">
        <v>346</v>
      </c>
      <c r="M4" s="2" t="s">
        <v>347</v>
      </c>
      <c r="N4" s="2" t="s">
        <v>348</v>
      </c>
      <c r="O4" s="3" t="s">
        <v>349</v>
      </c>
    </row>
    <row r="5" spans="1:15" ht="73.5" customHeight="1">
      <c r="A5" s="11" t="s">
        <v>37</v>
      </c>
      <c r="B5" s="12">
        <v>798</v>
      </c>
      <c r="C5" s="12">
        <v>147</v>
      </c>
      <c r="D5" s="13">
        <v>21.911027568922307</v>
      </c>
      <c r="E5" s="13">
        <v>48.585964912280701</v>
      </c>
      <c r="F5" s="50" t="s">
        <v>350</v>
      </c>
      <c r="G5" s="50" t="s">
        <v>351</v>
      </c>
      <c r="H5" s="50" t="s">
        <v>352</v>
      </c>
      <c r="I5" s="50" t="s">
        <v>353</v>
      </c>
      <c r="J5" s="50" t="s">
        <v>354</v>
      </c>
      <c r="K5" s="50" t="s">
        <v>355</v>
      </c>
      <c r="L5" s="50" t="s">
        <v>356</v>
      </c>
      <c r="M5" s="50" t="s">
        <v>357</v>
      </c>
      <c r="N5" s="50" t="s">
        <v>358</v>
      </c>
      <c r="O5" s="50" t="s">
        <v>359</v>
      </c>
    </row>
    <row r="6" spans="1:15" ht="56">
      <c r="A6" s="11" t="s">
        <v>360</v>
      </c>
      <c r="B6" s="12">
        <v>85</v>
      </c>
      <c r="C6" s="12">
        <v>29</v>
      </c>
      <c r="D6" s="13">
        <v>24.4</v>
      </c>
      <c r="E6" s="13">
        <v>63.330588235294123</v>
      </c>
      <c r="F6" s="50" t="s">
        <v>361</v>
      </c>
      <c r="G6" s="50" t="s">
        <v>362</v>
      </c>
      <c r="H6" s="50" t="s">
        <v>363</v>
      </c>
      <c r="I6" s="50" t="s">
        <v>364</v>
      </c>
      <c r="J6" s="50" t="s">
        <v>365</v>
      </c>
      <c r="K6" s="50" t="s">
        <v>366</v>
      </c>
      <c r="L6" s="50" t="s">
        <v>367</v>
      </c>
      <c r="M6" s="50" t="s">
        <v>368</v>
      </c>
      <c r="N6" s="50" t="s">
        <v>369</v>
      </c>
      <c r="O6" s="50" t="s">
        <v>370</v>
      </c>
    </row>
    <row r="7" spans="1:15" ht="96" customHeight="1">
      <c r="A7" s="11" t="s">
        <v>371</v>
      </c>
      <c r="B7" s="12">
        <v>87</v>
      </c>
      <c r="C7" s="12">
        <v>0</v>
      </c>
      <c r="D7" s="13">
        <v>20.206896551724139</v>
      </c>
      <c r="E7" s="13">
        <v>51.087356321839081</v>
      </c>
      <c r="F7" s="50" t="s">
        <v>372</v>
      </c>
      <c r="G7" s="50" t="s">
        <v>373</v>
      </c>
      <c r="H7" s="50" t="s">
        <v>374</v>
      </c>
      <c r="I7" s="50" t="s">
        <v>375</v>
      </c>
      <c r="J7" s="50" t="s">
        <v>376</v>
      </c>
      <c r="K7" s="50" t="s">
        <v>377</v>
      </c>
      <c r="L7" s="50" t="s">
        <v>378</v>
      </c>
      <c r="M7" s="50" t="s">
        <v>379</v>
      </c>
      <c r="N7" s="50" t="s">
        <v>380</v>
      </c>
      <c r="O7" s="50" t="s">
        <v>381</v>
      </c>
    </row>
    <row r="8" spans="1:15" ht="70.5" customHeight="1">
      <c r="A8" s="11" t="s">
        <v>382</v>
      </c>
      <c r="B8" s="12">
        <v>67</v>
      </c>
      <c r="C8" s="12">
        <v>0</v>
      </c>
      <c r="D8" s="13">
        <v>21</v>
      </c>
      <c r="E8" s="13">
        <v>51.950746268656715</v>
      </c>
      <c r="F8" s="50" t="s">
        <v>383</v>
      </c>
      <c r="G8" s="50" t="s">
        <v>384</v>
      </c>
      <c r="H8" s="50" t="s">
        <v>385</v>
      </c>
      <c r="I8" s="50" t="s">
        <v>386</v>
      </c>
      <c r="J8" s="50" t="s">
        <v>387</v>
      </c>
      <c r="K8" s="50" t="s">
        <v>388</v>
      </c>
      <c r="L8" s="50" t="s">
        <v>389</v>
      </c>
      <c r="M8" s="50" t="s">
        <v>390</v>
      </c>
      <c r="N8" s="50" t="s">
        <v>391</v>
      </c>
      <c r="O8" s="50" t="s">
        <v>381</v>
      </c>
    </row>
    <row r="9" spans="1:15" ht="96" customHeight="1">
      <c r="A9" s="11" t="s">
        <v>392</v>
      </c>
      <c r="B9" s="12">
        <v>7</v>
      </c>
      <c r="C9" s="12">
        <v>0</v>
      </c>
      <c r="D9" s="13">
        <v>8.8571428571428577</v>
      </c>
      <c r="E9" s="13">
        <v>17.085714285714285</v>
      </c>
      <c r="F9" s="50" t="s">
        <v>393</v>
      </c>
      <c r="G9" s="50" t="s">
        <v>394</v>
      </c>
      <c r="H9" s="50" t="s">
        <v>395</v>
      </c>
      <c r="I9" s="50" t="s">
        <v>396</v>
      </c>
      <c r="J9" s="50" t="s">
        <v>397</v>
      </c>
      <c r="K9" s="50" t="s">
        <v>398</v>
      </c>
      <c r="L9" s="50" t="s">
        <v>399</v>
      </c>
      <c r="M9" s="50" t="s">
        <v>400</v>
      </c>
      <c r="N9" s="50" t="s">
        <v>401</v>
      </c>
      <c r="O9" s="50" t="s">
        <v>402</v>
      </c>
    </row>
    <row r="10" spans="1:15">
      <c r="A10" s="11"/>
      <c r="B10" s="11"/>
      <c r="C10" s="11"/>
      <c r="D10" s="11"/>
      <c r="E10" s="11"/>
      <c r="F10" s="11"/>
      <c r="G10" s="11"/>
      <c r="H10" s="11"/>
      <c r="I10" s="11"/>
      <c r="J10" s="11"/>
      <c r="K10" s="11"/>
      <c r="L10" s="11"/>
      <c r="M10" s="11"/>
      <c r="N10" s="11"/>
      <c r="O10" s="11"/>
    </row>
    <row r="11" spans="1:15">
      <c r="A11" s="11"/>
      <c r="B11" s="11"/>
      <c r="C11" s="11"/>
      <c r="D11" s="11"/>
      <c r="E11" s="11"/>
      <c r="F11" s="11"/>
      <c r="G11" s="11"/>
      <c r="H11" s="11"/>
      <c r="I11" s="11"/>
      <c r="J11" s="11"/>
      <c r="K11" s="11"/>
      <c r="L11" s="11"/>
      <c r="M11" s="11"/>
      <c r="N11" s="11"/>
      <c r="O11" s="11"/>
    </row>
    <row r="12" spans="1:15">
      <c r="A12" s="152" t="s">
        <v>403</v>
      </c>
      <c r="B12" s="152" t="s">
        <v>403</v>
      </c>
      <c r="C12" s="152" t="s">
        <v>403</v>
      </c>
      <c r="D12" s="152" t="s">
        <v>403</v>
      </c>
      <c r="E12" s="152" t="s">
        <v>403</v>
      </c>
      <c r="F12" s="152" t="s">
        <v>403</v>
      </c>
      <c r="G12" s="152" t="s">
        <v>403</v>
      </c>
      <c r="H12" s="152" t="s">
        <v>403</v>
      </c>
      <c r="I12" s="152" t="s">
        <v>403</v>
      </c>
      <c r="J12" s="152" t="s">
        <v>403</v>
      </c>
      <c r="K12" s="152" t="s">
        <v>403</v>
      </c>
      <c r="L12" s="152" t="s">
        <v>403</v>
      </c>
      <c r="M12" s="152" t="s">
        <v>403</v>
      </c>
      <c r="N12" s="152" t="s">
        <v>403</v>
      </c>
      <c r="O12" s="152" t="s">
        <v>403</v>
      </c>
    </row>
    <row r="13" spans="1:15">
      <c r="A13" s="162" t="s">
        <v>404</v>
      </c>
      <c r="B13" s="163"/>
      <c r="C13" s="163"/>
      <c r="D13" s="163"/>
      <c r="E13" s="163"/>
      <c r="F13" s="163"/>
      <c r="G13" s="163"/>
      <c r="H13" s="163"/>
      <c r="I13" s="163"/>
      <c r="J13" s="163"/>
      <c r="K13" s="163"/>
      <c r="L13" s="163"/>
      <c r="M13" s="163"/>
      <c r="N13" s="163"/>
      <c r="O13" s="164"/>
    </row>
    <row r="14" spans="1:15">
      <c r="A14" s="165"/>
      <c r="B14" s="166"/>
      <c r="C14" s="166"/>
      <c r="D14" s="166"/>
      <c r="E14" s="166"/>
      <c r="F14" s="166"/>
      <c r="G14" s="166"/>
      <c r="H14" s="166"/>
      <c r="I14" s="166"/>
      <c r="J14" s="166"/>
      <c r="K14" s="166"/>
      <c r="L14" s="166"/>
      <c r="M14" s="166"/>
      <c r="N14" s="166"/>
      <c r="O14" s="167"/>
    </row>
    <row r="15" spans="1:15">
      <c r="A15" s="165"/>
      <c r="B15" s="166"/>
      <c r="C15" s="166"/>
      <c r="D15" s="166"/>
      <c r="E15" s="166"/>
      <c r="F15" s="166"/>
      <c r="G15" s="166"/>
      <c r="H15" s="166"/>
      <c r="I15" s="166"/>
      <c r="J15" s="166"/>
      <c r="K15" s="166"/>
      <c r="L15" s="166"/>
      <c r="M15" s="166"/>
      <c r="N15" s="166"/>
      <c r="O15" s="167"/>
    </row>
    <row r="16" spans="1:15">
      <c r="A16" s="165"/>
      <c r="B16" s="166"/>
      <c r="C16" s="166"/>
      <c r="D16" s="166"/>
      <c r="E16" s="166"/>
      <c r="F16" s="166"/>
      <c r="G16" s="166"/>
      <c r="H16" s="166"/>
      <c r="I16" s="166"/>
      <c r="J16" s="166"/>
      <c r="K16" s="166"/>
      <c r="L16" s="166"/>
      <c r="M16" s="166"/>
      <c r="N16" s="166"/>
      <c r="O16" s="167"/>
    </row>
    <row r="17" spans="1:15">
      <c r="A17" s="165"/>
      <c r="B17" s="166"/>
      <c r="C17" s="166"/>
      <c r="D17" s="166"/>
      <c r="E17" s="166"/>
      <c r="F17" s="166"/>
      <c r="G17" s="166"/>
      <c r="H17" s="166"/>
      <c r="I17" s="166"/>
      <c r="J17" s="166"/>
      <c r="K17" s="166"/>
      <c r="L17" s="166"/>
      <c r="M17" s="166"/>
      <c r="N17" s="166"/>
      <c r="O17" s="167"/>
    </row>
    <row r="18" spans="1:15">
      <c r="A18" s="165"/>
      <c r="B18" s="166"/>
      <c r="C18" s="166"/>
      <c r="D18" s="166"/>
      <c r="E18" s="166"/>
      <c r="F18" s="166"/>
      <c r="G18" s="166"/>
      <c r="H18" s="166"/>
      <c r="I18" s="166"/>
      <c r="J18" s="166"/>
      <c r="K18" s="166"/>
      <c r="L18" s="166"/>
      <c r="M18" s="166"/>
      <c r="N18" s="166"/>
      <c r="O18" s="167"/>
    </row>
    <row r="19" spans="1:15">
      <c r="A19" s="165"/>
      <c r="B19" s="166"/>
      <c r="C19" s="166"/>
      <c r="D19" s="166"/>
      <c r="E19" s="166"/>
      <c r="F19" s="166"/>
      <c r="G19" s="166"/>
      <c r="H19" s="166"/>
      <c r="I19" s="166"/>
      <c r="J19" s="166"/>
      <c r="K19" s="166"/>
      <c r="L19" s="166"/>
      <c r="M19" s="166"/>
      <c r="N19" s="166"/>
      <c r="O19" s="167"/>
    </row>
    <row r="20" spans="1:15">
      <c r="A20" s="168"/>
      <c r="B20" s="169"/>
      <c r="C20" s="169"/>
      <c r="D20" s="169"/>
      <c r="E20" s="169"/>
      <c r="F20" s="169"/>
      <c r="G20" s="169"/>
      <c r="H20" s="169"/>
      <c r="I20" s="169"/>
      <c r="J20" s="169"/>
      <c r="K20" s="169"/>
      <c r="L20" s="169"/>
      <c r="M20" s="169"/>
      <c r="N20" s="169"/>
      <c r="O20" s="170"/>
    </row>
  </sheetData>
  <mergeCells count="4">
    <mergeCell ref="A1:O1"/>
    <mergeCell ref="A2:O2"/>
    <mergeCell ref="A12:O12"/>
    <mergeCell ref="A13:O20"/>
  </mergeCells>
  <conditionalFormatting sqref="E5:E9">
    <cfRule type="dataBar" priority="1">
      <dataBar>
        <cfvo type="min"/>
        <cfvo type="max"/>
        <color rgb="FF7AC142"/>
      </dataBar>
    </cfRule>
    <cfRule type="dataBar" priority="2">
      <dataBar>
        <cfvo type="min"/>
        <cfvo type="max"/>
        <color rgb="FF7AC142"/>
      </dataBar>
      <extLst>
        <ext xmlns:x14="http://schemas.microsoft.com/office/spreadsheetml/2009/9/main" uri="{B025F937-C7B1-47D3-B67F-A62EFF666E3E}">
          <x14:id>{609F025D-5452-2AD8-943E-FA4E19C795BB}</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09F025D-5452-2AD8-943E-FA4E19C795BB}">
            <x14:dataBar>
              <x14:cfvo type="min"/>
              <x14:cfvo type="max"/>
              <x14:negativeFillColor auto="1"/>
              <x14:axisColor auto="1"/>
            </x14:dataBar>
          </x14:cfRule>
          <xm:sqref>E5:E9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3"/>
  <sheetViews>
    <sheetView showGridLines="0" zoomScale="80" zoomScaleNormal="80" workbookViewId="0">
      <selection sqref="A1:R1"/>
    </sheetView>
  </sheetViews>
  <sheetFormatPr defaultRowHeight="14"/>
  <cols>
    <col min="1" max="1" width="23.33203125" customWidth="1"/>
    <col min="2" max="2" width="34.4140625" customWidth="1"/>
    <col min="3" max="3" width="9.4140625" customWidth="1"/>
    <col min="4" max="4" width="12.75" customWidth="1"/>
    <col min="5" max="5" width="13.33203125" customWidth="1"/>
    <col min="6" max="6" width="12.25" customWidth="1"/>
    <col min="7" max="7" width="33.33203125" customWidth="1"/>
    <col min="8" max="8" width="17.75" customWidth="1"/>
    <col min="9" max="10" width="16.6640625" customWidth="1"/>
    <col min="11" max="11" width="2.75" customWidth="1"/>
    <col min="12" max="18" width="10.58203125" customWidth="1"/>
  </cols>
  <sheetData>
    <row r="1" spans="1:18" ht="23">
      <c r="A1" s="113" t="s">
        <v>405</v>
      </c>
      <c r="B1" s="113"/>
      <c r="C1" s="113"/>
      <c r="D1" s="113"/>
      <c r="E1" s="113"/>
      <c r="F1" s="113"/>
      <c r="G1" s="113"/>
      <c r="H1" s="113"/>
      <c r="I1" s="113"/>
      <c r="J1" s="113"/>
      <c r="K1" s="113"/>
      <c r="L1" s="113"/>
      <c r="M1" s="113"/>
      <c r="N1" s="113"/>
      <c r="O1" s="113"/>
      <c r="P1" s="113"/>
      <c r="Q1" s="113"/>
      <c r="R1" s="113"/>
    </row>
    <row r="2" spans="1:18">
      <c r="A2" s="114" t="s">
        <v>406</v>
      </c>
      <c r="B2" s="114"/>
      <c r="C2" s="114"/>
      <c r="D2" s="114"/>
      <c r="E2" s="114"/>
      <c r="F2" s="114"/>
      <c r="G2" s="114"/>
      <c r="H2" s="114"/>
      <c r="I2" s="114"/>
      <c r="J2" s="114"/>
      <c r="K2" s="114"/>
      <c r="L2" s="114"/>
      <c r="M2" s="114"/>
      <c r="N2" s="114"/>
      <c r="O2" s="114"/>
      <c r="P2" s="114"/>
      <c r="Q2" s="114"/>
      <c r="R2" s="114"/>
    </row>
    <row r="3" spans="1:18">
      <c r="A3" s="11"/>
      <c r="B3" s="11"/>
      <c r="C3" s="11"/>
      <c r="D3" s="11"/>
      <c r="E3" s="11"/>
      <c r="F3" s="11"/>
      <c r="G3" s="11"/>
      <c r="H3" s="11"/>
      <c r="I3" s="11"/>
      <c r="J3" s="11"/>
      <c r="K3" s="11"/>
      <c r="L3" s="11"/>
      <c r="M3" s="11"/>
      <c r="N3" s="11"/>
      <c r="O3" s="11"/>
      <c r="P3" s="11"/>
      <c r="Q3" s="11"/>
      <c r="R3" s="11"/>
    </row>
    <row r="4" spans="1:18">
      <c r="A4" s="115">
        <v>10</v>
      </c>
      <c r="B4" s="116"/>
      <c r="C4" s="117"/>
      <c r="D4" s="11"/>
      <c r="E4" s="198">
        <v>1</v>
      </c>
      <c r="F4" s="199"/>
      <c r="G4" s="200"/>
      <c r="H4" s="11"/>
      <c r="I4" s="134">
        <v>8</v>
      </c>
      <c r="J4" s="135"/>
      <c r="K4" s="136"/>
      <c r="L4" s="11"/>
      <c r="M4" s="189">
        <v>55</v>
      </c>
      <c r="N4" s="190"/>
      <c r="O4" s="190"/>
      <c r="P4" s="190"/>
      <c r="Q4" s="190"/>
      <c r="R4" s="191"/>
    </row>
    <row r="5" spans="1:18">
      <c r="A5" s="118"/>
      <c r="B5" s="119"/>
      <c r="C5" s="120"/>
      <c r="D5" s="11"/>
      <c r="E5" s="201"/>
      <c r="F5" s="202"/>
      <c r="G5" s="203"/>
      <c r="H5" s="11"/>
      <c r="I5" s="137"/>
      <c r="J5" s="138"/>
      <c r="K5" s="139"/>
      <c r="L5" s="11"/>
      <c r="M5" s="192"/>
      <c r="N5" s="193"/>
      <c r="O5" s="193"/>
      <c r="P5" s="193"/>
      <c r="Q5" s="193"/>
      <c r="R5" s="194"/>
    </row>
    <row r="6" spans="1:18">
      <c r="A6" s="118"/>
      <c r="B6" s="119"/>
      <c r="C6" s="120"/>
      <c r="D6" s="11"/>
      <c r="E6" s="201"/>
      <c r="F6" s="202"/>
      <c r="G6" s="203"/>
      <c r="H6" s="11"/>
      <c r="I6" s="137"/>
      <c r="J6" s="138"/>
      <c r="K6" s="139"/>
      <c r="L6" s="11"/>
      <c r="M6" s="192"/>
      <c r="N6" s="193"/>
      <c r="O6" s="193"/>
      <c r="P6" s="193"/>
      <c r="Q6" s="193"/>
      <c r="R6" s="194"/>
    </row>
    <row r="7" spans="1:18">
      <c r="A7" s="121"/>
      <c r="B7" s="122"/>
      <c r="C7" s="123"/>
      <c r="D7" s="11"/>
      <c r="E7" s="204"/>
      <c r="F7" s="205"/>
      <c r="G7" s="206"/>
      <c r="H7" s="11"/>
      <c r="I7" s="140"/>
      <c r="J7" s="141"/>
      <c r="K7" s="142"/>
      <c r="L7" s="11"/>
      <c r="M7" s="195"/>
      <c r="N7" s="196"/>
      <c r="O7" s="196"/>
      <c r="P7" s="196"/>
      <c r="Q7" s="196"/>
      <c r="R7" s="197"/>
    </row>
    <row r="8" spans="1:18">
      <c r="A8" s="124" t="s">
        <v>407</v>
      </c>
      <c r="B8" s="124"/>
      <c r="C8" s="124"/>
      <c r="D8" s="11"/>
      <c r="E8" s="124" t="s">
        <v>408</v>
      </c>
      <c r="F8" s="124"/>
      <c r="G8" s="124"/>
      <c r="H8" s="11"/>
      <c r="I8" s="124" t="s">
        <v>409</v>
      </c>
      <c r="J8" s="124"/>
      <c r="K8" s="124"/>
      <c r="L8" s="11"/>
      <c r="M8" s="124" t="s">
        <v>410</v>
      </c>
      <c r="N8" s="124"/>
      <c r="O8" s="124"/>
      <c r="P8" s="124"/>
      <c r="Q8" s="124"/>
      <c r="R8" s="124"/>
    </row>
    <row r="9" spans="1:18">
      <c r="A9" s="11"/>
      <c r="B9" s="11"/>
      <c r="C9" s="11"/>
      <c r="D9" s="11"/>
      <c r="E9" s="11"/>
      <c r="F9" s="11"/>
      <c r="G9" s="11"/>
      <c r="H9" s="11"/>
      <c r="I9" s="11"/>
      <c r="J9" s="11"/>
      <c r="K9" s="11"/>
      <c r="L9" s="11"/>
      <c r="M9" s="11"/>
      <c r="N9" s="11"/>
      <c r="O9" s="11"/>
      <c r="P9" s="11"/>
      <c r="Q9" s="11"/>
      <c r="R9" s="11"/>
    </row>
    <row r="10" spans="1:18" ht="26">
      <c r="A10" s="1" t="s">
        <v>411</v>
      </c>
      <c r="B10" s="2" t="s">
        <v>412</v>
      </c>
      <c r="C10" s="2" t="s">
        <v>413</v>
      </c>
      <c r="D10" s="2" t="s">
        <v>414</v>
      </c>
      <c r="E10" s="2" t="s">
        <v>415</v>
      </c>
      <c r="F10" s="2" t="s">
        <v>416</v>
      </c>
      <c r="G10" s="2" t="s">
        <v>417</v>
      </c>
      <c r="H10" s="2" t="s">
        <v>418</v>
      </c>
      <c r="I10" s="2" t="s">
        <v>419</v>
      </c>
      <c r="J10" s="3" t="s">
        <v>420</v>
      </c>
      <c r="K10" s="11"/>
      <c r="L10" s="11"/>
      <c r="M10" s="11"/>
      <c r="N10" s="11"/>
      <c r="O10" s="11"/>
      <c r="P10" s="11"/>
      <c r="Q10" s="11"/>
      <c r="R10" s="11"/>
    </row>
    <row r="11" spans="1:18" ht="67.5" customHeight="1">
      <c r="A11" s="50" t="s">
        <v>421</v>
      </c>
      <c r="B11" s="50" t="s">
        <v>422</v>
      </c>
      <c r="C11" s="53">
        <v>0.12</v>
      </c>
      <c r="D11" s="50" t="s">
        <v>423</v>
      </c>
      <c r="E11" s="50" t="s">
        <v>424</v>
      </c>
      <c r="F11" s="50" t="s">
        <v>425</v>
      </c>
      <c r="G11" s="50" t="s">
        <v>426</v>
      </c>
      <c r="H11" s="50" t="s">
        <v>427</v>
      </c>
      <c r="I11" s="50" t="s">
        <v>428</v>
      </c>
      <c r="J11" s="50" t="s">
        <v>429</v>
      </c>
      <c r="K11" s="11"/>
      <c r="L11" s="11"/>
      <c r="M11" s="11"/>
      <c r="N11" s="11"/>
      <c r="O11" s="11"/>
      <c r="P11" s="11"/>
      <c r="Q11" s="11"/>
      <c r="R11" s="11"/>
    </row>
    <row r="12" spans="1:18" ht="67.5" customHeight="1">
      <c r="A12" s="50" t="s">
        <v>430</v>
      </c>
      <c r="B12" s="50" t="s">
        <v>431</v>
      </c>
      <c r="C12" s="53">
        <v>0.23</v>
      </c>
      <c r="D12" s="50" t="s">
        <v>432</v>
      </c>
      <c r="E12" s="50" t="s">
        <v>433</v>
      </c>
      <c r="F12" s="50" t="s">
        <v>434</v>
      </c>
      <c r="G12" s="50" t="s">
        <v>435</v>
      </c>
      <c r="H12" s="50" t="s">
        <v>436</v>
      </c>
      <c r="I12" s="50" t="s">
        <v>437</v>
      </c>
      <c r="J12" s="50" t="s">
        <v>438</v>
      </c>
      <c r="K12" s="11"/>
      <c r="L12" s="11"/>
      <c r="M12" s="11"/>
      <c r="N12" s="11"/>
      <c r="O12" s="11"/>
      <c r="P12" s="11"/>
      <c r="Q12" s="11"/>
      <c r="R12" s="11"/>
    </row>
    <row r="13" spans="1:18" ht="67.5" customHeight="1">
      <c r="A13" s="50" t="s">
        <v>439</v>
      </c>
      <c r="B13" s="50" t="s">
        <v>440</v>
      </c>
      <c r="C13" s="53">
        <v>0.15</v>
      </c>
      <c r="D13" s="50" t="s">
        <v>441</v>
      </c>
      <c r="E13" s="50" t="s">
        <v>442</v>
      </c>
      <c r="F13" s="50" t="s">
        <v>443</v>
      </c>
      <c r="G13" s="50" t="s">
        <v>444</v>
      </c>
      <c r="H13" s="50" t="s">
        <v>445</v>
      </c>
      <c r="I13" s="50" t="s">
        <v>446</v>
      </c>
      <c r="J13" s="50" t="s">
        <v>447</v>
      </c>
      <c r="K13" s="11"/>
      <c r="L13" s="11"/>
      <c r="M13" s="11"/>
      <c r="N13" s="11"/>
      <c r="O13" s="11"/>
      <c r="P13" s="11"/>
      <c r="Q13" s="11"/>
      <c r="R13" s="11"/>
    </row>
    <row r="14" spans="1:18" ht="67.5" customHeight="1">
      <c r="A14" s="50" t="s">
        <v>448</v>
      </c>
      <c r="B14" s="50" t="s">
        <v>449</v>
      </c>
      <c r="C14" s="53">
        <v>0.1</v>
      </c>
      <c r="D14" s="50" t="s">
        <v>450</v>
      </c>
      <c r="E14" s="50" t="s">
        <v>451</v>
      </c>
      <c r="F14" s="50" t="s">
        <v>452</v>
      </c>
      <c r="G14" s="50" t="s">
        <v>453</v>
      </c>
      <c r="H14" s="50" t="s">
        <v>445</v>
      </c>
      <c r="I14" s="50" t="s">
        <v>454</v>
      </c>
      <c r="J14" s="50" t="s">
        <v>455</v>
      </c>
      <c r="K14" s="11"/>
      <c r="L14" s="11"/>
      <c r="M14" s="11"/>
      <c r="N14" s="11"/>
      <c r="O14" s="11"/>
      <c r="P14" s="11"/>
      <c r="Q14" s="11"/>
      <c r="R14" s="11"/>
    </row>
    <row r="15" spans="1:18" ht="67.5" customHeight="1">
      <c r="A15" s="50" t="s">
        <v>456</v>
      </c>
      <c r="B15" s="50" t="s">
        <v>457</v>
      </c>
      <c r="C15" s="53">
        <v>0.08</v>
      </c>
      <c r="D15" s="50" t="s">
        <v>450</v>
      </c>
      <c r="E15" s="50" t="s">
        <v>458</v>
      </c>
      <c r="F15" s="50" t="s">
        <v>459</v>
      </c>
      <c r="G15" s="50" t="s">
        <v>460</v>
      </c>
      <c r="H15" s="50" t="s">
        <v>436</v>
      </c>
      <c r="I15" s="50" t="s">
        <v>461</v>
      </c>
      <c r="J15" s="50" t="s">
        <v>462</v>
      </c>
      <c r="K15" s="11"/>
      <c r="L15" s="11"/>
      <c r="M15" s="11"/>
      <c r="N15" s="11"/>
      <c r="O15" s="11"/>
      <c r="P15" s="11"/>
      <c r="Q15" s="11"/>
      <c r="R15" s="11"/>
    </row>
    <row r="16" spans="1:18" ht="67.5" customHeight="1">
      <c r="A16" s="50" t="s">
        <v>463</v>
      </c>
      <c r="B16" s="50" t="s">
        <v>464</v>
      </c>
      <c r="C16" s="53">
        <v>0.1</v>
      </c>
      <c r="D16" s="50" t="s">
        <v>450</v>
      </c>
      <c r="E16" s="50" t="s">
        <v>465</v>
      </c>
      <c r="F16" s="50" t="s">
        <v>466</v>
      </c>
      <c r="G16" s="50" t="s">
        <v>467</v>
      </c>
      <c r="H16" s="50" t="s">
        <v>468</v>
      </c>
      <c r="I16" s="50" t="s">
        <v>469</v>
      </c>
      <c r="J16" s="50" t="s">
        <v>470</v>
      </c>
      <c r="K16" s="11"/>
      <c r="L16" s="11"/>
      <c r="M16" s="11"/>
      <c r="N16" s="11"/>
      <c r="O16" s="11"/>
      <c r="P16" s="11"/>
      <c r="Q16" s="11"/>
      <c r="R16" s="11"/>
    </row>
    <row r="17" spans="1:18" ht="67.5" customHeight="1">
      <c r="A17" s="50" t="s">
        <v>471</v>
      </c>
      <c r="B17" s="50" t="s">
        <v>472</v>
      </c>
      <c r="C17" s="53">
        <v>7.0000000000000007E-2</v>
      </c>
      <c r="D17" s="50" t="s">
        <v>473</v>
      </c>
      <c r="E17" s="50" t="s">
        <v>474</v>
      </c>
      <c r="F17" s="50" t="s">
        <v>475</v>
      </c>
      <c r="G17" s="50" t="s">
        <v>476</v>
      </c>
      <c r="H17" s="50" t="s">
        <v>445</v>
      </c>
      <c r="I17" s="50" t="s">
        <v>446</v>
      </c>
      <c r="J17" s="50" t="s">
        <v>477</v>
      </c>
      <c r="K17" s="11"/>
      <c r="L17" s="11"/>
      <c r="M17" s="11"/>
      <c r="N17" s="11"/>
      <c r="O17" s="11"/>
      <c r="P17" s="11"/>
      <c r="Q17" s="11"/>
      <c r="R17" s="11"/>
    </row>
    <row r="18" spans="1:18" ht="67.5" customHeight="1">
      <c r="A18" s="50" t="s">
        <v>478</v>
      </c>
      <c r="B18" s="50" t="s">
        <v>479</v>
      </c>
      <c r="C18" s="53">
        <v>0.05</v>
      </c>
      <c r="D18" s="50" t="s">
        <v>480</v>
      </c>
      <c r="E18" s="50" t="s">
        <v>481</v>
      </c>
      <c r="F18" s="50" t="s">
        <v>482</v>
      </c>
      <c r="G18" s="50" t="s">
        <v>483</v>
      </c>
      <c r="H18" s="50" t="s">
        <v>468</v>
      </c>
      <c r="I18" s="50" t="s">
        <v>484</v>
      </c>
      <c r="J18" s="50" t="s">
        <v>485</v>
      </c>
      <c r="K18" s="11"/>
      <c r="L18" s="11"/>
      <c r="M18" s="11"/>
      <c r="N18" s="11"/>
      <c r="O18" s="11"/>
      <c r="P18" s="11"/>
      <c r="Q18" s="11"/>
      <c r="R18" s="11"/>
    </row>
    <row r="19" spans="1:18" ht="67.5" customHeight="1">
      <c r="A19" s="50" t="s">
        <v>486</v>
      </c>
      <c r="B19" s="50" t="s">
        <v>487</v>
      </c>
      <c r="C19" s="53">
        <v>0.05</v>
      </c>
      <c r="D19" s="50" t="s">
        <v>488</v>
      </c>
      <c r="E19" s="50" t="s">
        <v>489</v>
      </c>
      <c r="F19" s="50" t="s">
        <v>490</v>
      </c>
      <c r="G19" s="50" t="s">
        <v>491</v>
      </c>
      <c r="H19" s="50" t="s">
        <v>492</v>
      </c>
      <c r="I19" s="50" t="s">
        <v>493</v>
      </c>
      <c r="J19" s="50" t="s">
        <v>494</v>
      </c>
      <c r="K19" s="11"/>
      <c r="L19" s="11"/>
      <c r="M19" s="11"/>
      <c r="N19" s="11"/>
      <c r="O19" s="11"/>
      <c r="P19" s="11"/>
      <c r="Q19" s="11"/>
      <c r="R19" s="11"/>
    </row>
    <row r="20" spans="1:18" ht="67.5" customHeight="1">
      <c r="A20" s="50" t="s">
        <v>495</v>
      </c>
      <c r="B20" s="50" t="s">
        <v>496</v>
      </c>
      <c r="C20" s="53">
        <v>0.05</v>
      </c>
      <c r="D20" s="50" t="s">
        <v>497</v>
      </c>
      <c r="E20" s="50" t="s">
        <v>498</v>
      </c>
      <c r="F20" s="50" t="s">
        <v>499</v>
      </c>
      <c r="G20" s="50" t="s">
        <v>500</v>
      </c>
      <c r="H20" s="50" t="s">
        <v>501</v>
      </c>
      <c r="I20" s="50" t="s">
        <v>502</v>
      </c>
      <c r="J20" s="50" t="s">
        <v>503</v>
      </c>
      <c r="K20" s="11"/>
      <c r="L20" s="11"/>
      <c r="M20" s="11"/>
      <c r="N20" s="11"/>
      <c r="O20" s="11"/>
      <c r="P20" s="11"/>
      <c r="Q20" s="11"/>
      <c r="R20" s="11"/>
    </row>
    <row r="21" spans="1:18">
      <c r="A21" s="11"/>
      <c r="B21" s="11"/>
      <c r="C21" s="11"/>
      <c r="D21" s="11"/>
      <c r="E21" s="11"/>
      <c r="F21" s="11"/>
      <c r="G21" s="11"/>
      <c r="H21" s="11"/>
      <c r="I21" s="11"/>
      <c r="J21" s="11"/>
      <c r="K21" s="11"/>
      <c r="L21" s="11"/>
      <c r="M21" s="11"/>
      <c r="N21" s="11"/>
      <c r="O21" s="11"/>
      <c r="P21" s="11"/>
      <c r="Q21" s="11"/>
      <c r="R21" s="11"/>
    </row>
    <row r="22" spans="1:18">
      <c r="A22" s="11"/>
      <c r="B22" s="11"/>
      <c r="C22" s="11"/>
      <c r="D22" s="11"/>
      <c r="E22" s="11"/>
      <c r="F22" s="11"/>
      <c r="G22" s="11"/>
      <c r="H22" s="11"/>
      <c r="I22" s="11"/>
      <c r="J22" s="11"/>
      <c r="K22" s="11"/>
      <c r="L22" s="11"/>
      <c r="M22" s="11"/>
      <c r="N22" s="11"/>
      <c r="O22" s="11"/>
      <c r="P22" s="11"/>
      <c r="Q22" s="11"/>
      <c r="R22" s="11"/>
    </row>
    <row r="23" spans="1:18">
      <c r="A23" s="11"/>
      <c r="B23" s="11"/>
      <c r="C23" s="11"/>
      <c r="D23" s="11"/>
      <c r="E23" s="11"/>
      <c r="F23" s="11"/>
      <c r="G23" s="11"/>
      <c r="H23" s="11"/>
      <c r="I23" s="11"/>
      <c r="J23" s="11"/>
      <c r="K23" s="11"/>
      <c r="L23" s="11"/>
      <c r="M23" s="11"/>
      <c r="N23" s="11"/>
      <c r="O23" s="11"/>
      <c r="P23" s="11"/>
      <c r="Q23" s="11"/>
      <c r="R23" s="11"/>
    </row>
    <row r="24" spans="1:18">
      <c r="A24" s="152" t="s">
        <v>504</v>
      </c>
      <c r="B24" s="152" t="s">
        <v>504</v>
      </c>
      <c r="C24" s="152" t="s">
        <v>504</v>
      </c>
      <c r="D24" s="152" t="s">
        <v>504</v>
      </c>
      <c r="E24" s="152" t="s">
        <v>504</v>
      </c>
      <c r="F24" s="152" t="s">
        <v>504</v>
      </c>
      <c r="G24" s="152" t="s">
        <v>504</v>
      </c>
      <c r="H24" s="152" t="s">
        <v>504</v>
      </c>
      <c r="I24" s="11"/>
      <c r="J24" s="11"/>
      <c r="K24" s="11"/>
      <c r="L24" s="11"/>
      <c r="M24" s="11"/>
      <c r="N24" s="11"/>
      <c r="O24" s="11"/>
      <c r="P24" s="11"/>
      <c r="Q24" s="11"/>
      <c r="R24" s="11"/>
    </row>
    <row r="25" spans="1:18" ht="26">
      <c r="A25" s="1" t="s">
        <v>505</v>
      </c>
      <c r="B25" s="2" t="s">
        <v>506</v>
      </c>
      <c r="C25" s="2" t="s">
        <v>507</v>
      </c>
      <c r="D25" s="2" t="s">
        <v>508</v>
      </c>
      <c r="E25" s="2" t="s">
        <v>509</v>
      </c>
      <c r="F25" s="2" t="s">
        <v>510</v>
      </c>
      <c r="G25" s="2" t="s">
        <v>511</v>
      </c>
      <c r="H25" s="3" t="s">
        <v>65</v>
      </c>
      <c r="I25" s="11"/>
      <c r="J25" s="11"/>
      <c r="K25" s="11"/>
      <c r="L25" s="11"/>
      <c r="M25" s="11"/>
      <c r="N25" s="11"/>
      <c r="O25" s="11"/>
      <c r="P25" s="11"/>
      <c r="Q25" s="11"/>
      <c r="R25" s="11"/>
    </row>
    <row r="26" spans="1:18" ht="42" customHeight="1">
      <c r="A26" s="50" t="s">
        <v>512</v>
      </c>
      <c r="B26" s="50">
        <v>315</v>
      </c>
      <c r="C26" s="54">
        <v>0.30172413793103448</v>
      </c>
      <c r="D26" s="54">
        <v>0.27</v>
      </c>
      <c r="E26" s="54">
        <v>0.25</v>
      </c>
      <c r="F26" s="50" t="s">
        <v>513</v>
      </c>
      <c r="G26" s="50" t="s">
        <v>514</v>
      </c>
      <c r="H26" s="50" t="s">
        <v>87</v>
      </c>
      <c r="I26" s="11"/>
      <c r="J26" s="11"/>
      <c r="K26" s="11"/>
      <c r="L26" s="11"/>
      <c r="M26" s="11"/>
      <c r="N26" s="11"/>
      <c r="O26" s="11"/>
      <c r="P26" s="11"/>
      <c r="Q26" s="11"/>
      <c r="R26" s="11"/>
    </row>
    <row r="27" spans="1:18" ht="42" customHeight="1">
      <c r="A27" s="50" t="s">
        <v>515</v>
      </c>
      <c r="B27" s="50">
        <v>224</v>
      </c>
      <c r="C27" s="54">
        <v>0.21455938697318008</v>
      </c>
      <c r="D27" s="54">
        <v>0.18</v>
      </c>
      <c r="E27" s="54">
        <v>0.17</v>
      </c>
      <c r="F27" s="50" t="s">
        <v>516</v>
      </c>
      <c r="G27" s="50" t="s">
        <v>517</v>
      </c>
      <c r="H27" s="50" t="s">
        <v>518</v>
      </c>
      <c r="I27" s="11"/>
      <c r="J27" s="11"/>
      <c r="K27" s="11"/>
      <c r="L27" s="11"/>
      <c r="M27" s="11"/>
      <c r="N27" s="11"/>
      <c r="O27" s="11"/>
      <c r="P27" s="11"/>
      <c r="Q27" s="11"/>
      <c r="R27" s="11"/>
    </row>
    <row r="28" spans="1:18" ht="42" customHeight="1">
      <c r="A28" s="50" t="s">
        <v>519</v>
      </c>
      <c r="B28" s="50">
        <v>139</v>
      </c>
      <c r="C28" s="54">
        <v>0.13314176245210729</v>
      </c>
      <c r="D28" s="54">
        <v>0.17</v>
      </c>
      <c r="E28" s="54">
        <v>0.17</v>
      </c>
      <c r="F28" s="50" t="s">
        <v>516</v>
      </c>
      <c r="G28" s="50" t="s">
        <v>520</v>
      </c>
      <c r="H28" s="50" t="s">
        <v>521</v>
      </c>
      <c r="I28" s="11"/>
      <c r="J28" s="11"/>
      <c r="K28" s="11"/>
      <c r="L28" s="11"/>
      <c r="M28" s="11"/>
      <c r="N28" s="11"/>
      <c r="O28" s="11"/>
      <c r="P28" s="11"/>
      <c r="Q28" s="11"/>
      <c r="R28" s="11"/>
    </row>
    <row r="29" spans="1:18" ht="42" customHeight="1">
      <c r="A29" s="50" t="s">
        <v>522</v>
      </c>
      <c r="B29" s="50">
        <v>104</v>
      </c>
      <c r="C29" s="54">
        <v>9.9616858237547887E-2</v>
      </c>
      <c r="D29" s="54">
        <v>0.14000000000000001</v>
      </c>
      <c r="E29" s="54">
        <v>0.14000000000000001</v>
      </c>
      <c r="F29" s="50" t="s">
        <v>523</v>
      </c>
      <c r="G29" s="50" t="s">
        <v>524</v>
      </c>
      <c r="H29" s="50" t="s">
        <v>525</v>
      </c>
      <c r="I29" s="11"/>
      <c r="J29" s="11"/>
      <c r="K29" s="11"/>
      <c r="L29" s="11"/>
      <c r="M29" s="11"/>
      <c r="N29" s="11"/>
      <c r="O29" s="11"/>
      <c r="P29" s="11"/>
      <c r="Q29" s="11"/>
      <c r="R29" s="11"/>
    </row>
    <row r="30" spans="1:18" ht="42" customHeight="1">
      <c r="A30" s="50" t="s">
        <v>526</v>
      </c>
      <c r="B30" s="50">
        <v>107</v>
      </c>
      <c r="C30" s="54">
        <v>0.1024904214559387</v>
      </c>
      <c r="D30" s="54">
        <v>0.11</v>
      </c>
      <c r="E30" s="54">
        <v>0.11</v>
      </c>
      <c r="F30" s="50" t="s">
        <v>527</v>
      </c>
      <c r="G30" s="50" t="s">
        <v>528</v>
      </c>
      <c r="H30" s="50" t="s">
        <v>529</v>
      </c>
      <c r="I30" s="11"/>
      <c r="J30" s="11"/>
      <c r="K30" s="11"/>
      <c r="L30" s="11"/>
      <c r="M30" s="11"/>
      <c r="N30" s="11"/>
      <c r="O30" s="11"/>
      <c r="P30" s="11"/>
      <c r="Q30" s="11"/>
      <c r="R30" s="11"/>
    </row>
    <row r="31" spans="1:18" ht="42" customHeight="1">
      <c r="A31" s="50" t="s">
        <v>530</v>
      </c>
      <c r="B31" s="50">
        <v>73</v>
      </c>
      <c r="C31" s="54">
        <v>6.9923371647509572E-2</v>
      </c>
      <c r="D31" s="54">
        <v>0.09</v>
      </c>
      <c r="E31" s="54">
        <v>0.1</v>
      </c>
      <c r="F31" s="50" t="s">
        <v>527</v>
      </c>
      <c r="G31" s="50" t="s">
        <v>531</v>
      </c>
      <c r="H31" s="50" t="s">
        <v>532</v>
      </c>
      <c r="I31" s="11"/>
      <c r="J31" s="11"/>
      <c r="K31" s="11"/>
      <c r="L31" s="11"/>
      <c r="M31" s="11"/>
      <c r="N31" s="11"/>
      <c r="O31" s="11"/>
      <c r="P31" s="11"/>
      <c r="Q31" s="11"/>
      <c r="R31" s="11"/>
    </row>
    <row r="32" spans="1:18" ht="42" customHeight="1">
      <c r="A32" s="50" t="s">
        <v>533</v>
      </c>
      <c r="B32" s="50">
        <v>67</v>
      </c>
      <c r="C32" s="54">
        <v>6.417624521072797E-2</v>
      </c>
      <c r="D32" s="54">
        <v>7.0000000000000007E-2</v>
      </c>
      <c r="E32" s="54">
        <v>0.08</v>
      </c>
      <c r="F32" s="50" t="s">
        <v>473</v>
      </c>
      <c r="G32" s="50" t="s">
        <v>534</v>
      </c>
      <c r="H32" s="50" t="s">
        <v>535</v>
      </c>
      <c r="I32" s="11"/>
      <c r="J32" s="11"/>
      <c r="K32" s="11"/>
      <c r="L32" s="11"/>
      <c r="M32" s="11"/>
      <c r="N32" s="11"/>
      <c r="O32" s="11"/>
      <c r="P32" s="11"/>
      <c r="Q32" s="11"/>
      <c r="R32" s="11"/>
    </row>
    <row r="33" spans="1:18" ht="42" customHeight="1">
      <c r="A33" s="50" t="s">
        <v>536</v>
      </c>
      <c r="B33" s="50">
        <v>15</v>
      </c>
      <c r="C33" s="54">
        <v>1.4367816091954023E-2</v>
      </c>
      <c r="D33" s="54">
        <v>7.0000000000000007E-2</v>
      </c>
      <c r="E33" s="54">
        <v>0.08</v>
      </c>
      <c r="F33" s="50" t="s">
        <v>473</v>
      </c>
      <c r="G33" s="50" t="s">
        <v>537</v>
      </c>
      <c r="H33" s="50" t="s">
        <v>538</v>
      </c>
      <c r="I33" s="11"/>
      <c r="J33" s="11"/>
      <c r="K33" s="11"/>
      <c r="L33" s="11"/>
      <c r="M33" s="11"/>
      <c r="N33" s="11"/>
      <c r="O33" s="11"/>
      <c r="P33" s="11"/>
      <c r="Q33" s="11"/>
      <c r="R33" s="11"/>
    </row>
    <row r="34" spans="1:18">
      <c r="A34" s="11"/>
      <c r="B34" s="11"/>
      <c r="C34" s="11"/>
      <c r="D34" s="11"/>
      <c r="E34" s="11"/>
      <c r="F34" s="11"/>
      <c r="G34" s="11"/>
      <c r="H34" s="11"/>
      <c r="I34" s="11"/>
      <c r="J34" s="11"/>
      <c r="K34" s="11"/>
      <c r="L34" s="11"/>
      <c r="M34" s="11"/>
      <c r="N34" s="11"/>
      <c r="O34" s="11"/>
      <c r="P34" s="11"/>
      <c r="Q34" s="11"/>
      <c r="R34" s="11"/>
    </row>
    <row r="35" spans="1:18">
      <c r="A35" s="11"/>
      <c r="B35" s="11"/>
      <c r="C35" s="11"/>
      <c r="D35" s="11"/>
      <c r="E35" s="11"/>
      <c r="F35" s="11"/>
      <c r="G35" s="11"/>
      <c r="H35" s="11"/>
      <c r="I35" s="11"/>
      <c r="J35" s="11"/>
      <c r="K35" s="11"/>
      <c r="L35" s="11"/>
      <c r="M35" s="11"/>
      <c r="N35" s="11"/>
      <c r="O35" s="11"/>
      <c r="P35" s="11"/>
      <c r="Q35" s="11"/>
      <c r="R35" s="11"/>
    </row>
    <row r="36" spans="1:18">
      <c r="A36" s="152" t="s">
        <v>539</v>
      </c>
      <c r="B36" s="152" t="s">
        <v>539</v>
      </c>
      <c r="C36" s="152" t="s">
        <v>539</v>
      </c>
      <c r="D36" s="152" t="s">
        <v>539</v>
      </c>
      <c r="E36" s="152" t="s">
        <v>539</v>
      </c>
      <c r="F36" s="152" t="s">
        <v>539</v>
      </c>
      <c r="G36" s="152" t="s">
        <v>539</v>
      </c>
      <c r="H36" s="152" t="s">
        <v>539</v>
      </c>
      <c r="I36" s="152" t="s">
        <v>539</v>
      </c>
      <c r="J36" s="152" t="s">
        <v>539</v>
      </c>
      <c r="K36" s="152" t="s">
        <v>539</v>
      </c>
      <c r="L36" s="152" t="s">
        <v>539</v>
      </c>
      <c r="M36" s="152" t="s">
        <v>539</v>
      </c>
      <c r="N36" s="152" t="s">
        <v>539</v>
      </c>
      <c r="O36" s="152" t="s">
        <v>539</v>
      </c>
      <c r="P36" s="152" t="s">
        <v>539</v>
      </c>
      <c r="Q36" s="152" t="s">
        <v>539</v>
      </c>
      <c r="R36" s="152" t="s">
        <v>539</v>
      </c>
    </row>
    <row r="37" spans="1:18" ht="26">
      <c r="A37" s="1" t="s">
        <v>540</v>
      </c>
      <c r="B37" s="2" t="s">
        <v>541</v>
      </c>
      <c r="C37" s="2" t="s">
        <v>542</v>
      </c>
      <c r="D37" s="2" t="s">
        <v>543</v>
      </c>
      <c r="E37" s="2" t="s">
        <v>544</v>
      </c>
      <c r="F37" s="3" t="s">
        <v>545</v>
      </c>
      <c r="G37" s="11"/>
      <c r="H37" s="11"/>
      <c r="I37" s="11"/>
      <c r="J37" s="11"/>
      <c r="K37" s="11"/>
      <c r="L37" s="11"/>
      <c r="M37" s="11"/>
      <c r="N37" s="11"/>
      <c r="O37" s="11"/>
      <c r="P37" s="11"/>
      <c r="Q37" s="11"/>
      <c r="R37" s="11"/>
    </row>
    <row r="38" spans="1:18" ht="43.5" customHeight="1">
      <c r="A38" s="50" t="s">
        <v>546</v>
      </c>
      <c r="B38" s="50" t="s">
        <v>547</v>
      </c>
      <c r="C38" s="50" t="s">
        <v>548</v>
      </c>
      <c r="D38" s="50" t="s">
        <v>549</v>
      </c>
      <c r="E38" s="50" t="s">
        <v>550</v>
      </c>
      <c r="F38" s="50" t="s">
        <v>551</v>
      </c>
      <c r="G38" s="11"/>
      <c r="H38" s="11"/>
      <c r="I38" s="11"/>
      <c r="J38" s="11"/>
      <c r="K38" s="11"/>
      <c r="L38" s="11"/>
      <c r="M38" s="11"/>
      <c r="N38" s="11"/>
      <c r="O38" s="11"/>
      <c r="P38" s="11"/>
      <c r="Q38" s="11"/>
      <c r="R38" s="11"/>
    </row>
    <row r="39" spans="1:18" ht="43.5" customHeight="1">
      <c r="A39" s="50" t="s">
        <v>552</v>
      </c>
      <c r="B39" s="50" t="s">
        <v>553</v>
      </c>
      <c r="C39" s="50" t="s">
        <v>497</v>
      </c>
      <c r="D39" s="50" t="s">
        <v>554</v>
      </c>
      <c r="E39" s="50" t="s">
        <v>555</v>
      </c>
      <c r="F39" s="50" t="s">
        <v>556</v>
      </c>
      <c r="G39" s="11"/>
      <c r="H39" s="11"/>
      <c r="I39" s="11"/>
      <c r="J39" s="11"/>
      <c r="K39" s="11"/>
      <c r="L39" s="11"/>
      <c r="M39" s="11"/>
      <c r="N39" s="11"/>
      <c r="O39" s="11"/>
      <c r="P39" s="11"/>
      <c r="Q39" s="11"/>
      <c r="R39" s="11"/>
    </row>
    <row r="40" spans="1:18" ht="43.5" customHeight="1">
      <c r="A40" s="50" t="s">
        <v>557</v>
      </c>
      <c r="B40" s="50" t="s">
        <v>558</v>
      </c>
      <c r="C40" s="50" t="s">
        <v>548</v>
      </c>
      <c r="D40" s="50" t="s">
        <v>559</v>
      </c>
      <c r="E40" s="50" t="s">
        <v>560</v>
      </c>
      <c r="F40" s="50" t="s">
        <v>561</v>
      </c>
      <c r="G40" s="11"/>
      <c r="H40" s="11"/>
      <c r="I40" s="11"/>
      <c r="J40" s="11"/>
      <c r="K40" s="11"/>
      <c r="L40" s="11"/>
      <c r="M40" s="11"/>
      <c r="N40" s="11"/>
      <c r="O40" s="11"/>
      <c r="P40" s="11"/>
      <c r="Q40" s="11"/>
      <c r="R40" s="11"/>
    </row>
    <row r="41" spans="1:18" ht="43.5" customHeight="1">
      <c r="A41" s="50" t="s">
        <v>562</v>
      </c>
      <c r="B41" s="50" t="s">
        <v>563</v>
      </c>
      <c r="C41" s="50" t="s">
        <v>473</v>
      </c>
      <c r="D41" s="50" t="s">
        <v>564</v>
      </c>
      <c r="E41" s="50" t="s">
        <v>565</v>
      </c>
      <c r="F41" s="50" t="s">
        <v>566</v>
      </c>
      <c r="G41" s="11"/>
      <c r="H41" s="11"/>
      <c r="I41" s="11"/>
      <c r="J41" s="11"/>
      <c r="K41" s="11"/>
      <c r="L41" s="11"/>
      <c r="M41" s="11"/>
      <c r="N41" s="11"/>
      <c r="O41" s="11"/>
      <c r="P41" s="11"/>
      <c r="Q41" s="11"/>
      <c r="R41" s="11"/>
    </row>
    <row r="42" spans="1:18" ht="43.5" customHeight="1">
      <c r="A42" s="50" t="s">
        <v>567</v>
      </c>
      <c r="B42" s="50" t="s">
        <v>568</v>
      </c>
      <c r="C42" s="50" t="s">
        <v>548</v>
      </c>
      <c r="D42" s="50" t="s">
        <v>569</v>
      </c>
      <c r="E42" s="50" t="s">
        <v>570</v>
      </c>
      <c r="F42" s="50" t="s">
        <v>571</v>
      </c>
      <c r="G42" s="11"/>
      <c r="H42" s="11"/>
      <c r="I42" s="11"/>
      <c r="J42" s="11"/>
      <c r="K42" s="11"/>
      <c r="L42" s="11"/>
      <c r="M42" s="11"/>
      <c r="N42" s="11"/>
      <c r="O42" s="11"/>
      <c r="P42" s="11"/>
      <c r="Q42" s="11"/>
      <c r="R42" s="11"/>
    </row>
    <row r="43" spans="1:18" ht="43.5" customHeight="1">
      <c r="A43" s="50" t="s">
        <v>572</v>
      </c>
      <c r="B43" s="50" t="s">
        <v>573</v>
      </c>
      <c r="C43" s="50" t="s">
        <v>473</v>
      </c>
      <c r="D43" s="50" t="s">
        <v>574</v>
      </c>
      <c r="E43" s="50" t="s">
        <v>575</v>
      </c>
      <c r="F43" s="50" t="s">
        <v>576</v>
      </c>
      <c r="G43" s="11"/>
      <c r="H43" s="11"/>
      <c r="I43" s="11"/>
      <c r="J43" s="11"/>
      <c r="K43" s="11"/>
      <c r="L43" s="11"/>
      <c r="M43" s="11"/>
      <c r="N43" s="11"/>
      <c r="O43" s="11"/>
      <c r="P43" s="11"/>
      <c r="Q43" s="11"/>
      <c r="R43" s="11"/>
    </row>
  </sheetData>
  <mergeCells count="12">
    <mergeCell ref="A24:H24"/>
    <mergeCell ref="A36:R36"/>
    <mergeCell ref="A1:R1"/>
    <mergeCell ref="A2:R2"/>
    <mergeCell ref="A4:C7"/>
    <mergeCell ref="A8:C8"/>
    <mergeCell ref="E4:G7"/>
    <mergeCell ref="E8:G8"/>
    <mergeCell ref="I4:K7"/>
    <mergeCell ref="I8:K8"/>
    <mergeCell ref="M4:R7"/>
    <mergeCell ref="M8:R8"/>
  </mergeCells>
  <conditionalFormatting sqref="C11:C20">
    <cfRule type="dataBar" priority="1">
      <dataBar>
        <cfvo type="min"/>
        <cfvo type="max"/>
        <color rgb="FF7AC142"/>
      </dataBar>
    </cfRule>
    <cfRule type="dataBar" priority="3">
      <dataBar>
        <cfvo type="min"/>
        <cfvo type="max"/>
        <color rgb="FF7AC142"/>
      </dataBar>
      <extLst>
        <ext xmlns:x14="http://schemas.microsoft.com/office/spreadsheetml/2009/9/main" uri="{B025F937-C7B1-47D3-B67F-A62EFF666E3E}">
          <x14:id>{5D2D5BDE-AF79-C98B-86EF-2D51FECF8504}</x14:id>
        </ext>
      </extLst>
    </cfRule>
  </conditionalFormatting>
  <conditionalFormatting sqref="C26:C33">
    <cfRule type="dataBar" priority="2">
      <dataBar>
        <cfvo type="min"/>
        <cfvo type="max"/>
        <color rgb="FF354E84"/>
      </dataBar>
    </cfRule>
    <cfRule type="dataBar" priority="4">
      <dataBar>
        <cfvo type="min"/>
        <cfvo type="max"/>
        <color rgb="FF354E84"/>
      </dataBar>
      <extLst>
        <ext xmlns:x14="http://schemas.microsoft.com/office/spreadsheetml/2009/9/main" uri="{B025F937-C7B1-47D3-B67F-A62EFF666E3E}">
          <x14:id>{6133A299-E9D1-E73D-87D1-46FCA48426D8}</x14:id>
        </ext>
      </extLst>
    </cfRule>
  </conditionalFormatting>
  <pageMargins left="0.7" right="0.7" top="0.75" bottom="0.75" header="0.3" footer="0.3"/>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5D2D5BDE-AF79-C98B-86EF-2D51FECF8504}">
            <x14:dataBar>
              <x14:cfvo type="min"/>
              <x14:cfvo type="max"/>
              <x14:negativeFillColor auto="1"/>
              <x14:axisColor auto="1"/>
            </x14:dataBar>
          </x14:cfRule>
          <xm:sqref>C11:C20</xm:sqref>
        </x14:conditionalFormatting>
        <x14:conditionalFormatting xmlns:xm="http://schemas.microsoft.com/office/excel/2006/main">
          <x14:cfRule type="dataBar" id="{6133A299-E9D1-E73D-87D1-46FCA48426D8}">
            <x14:dataBar>
              <x14:cfvo type="min"/>
              <x14:cfvo type="max"/>
              <x14:negativeFillColor auto="1"/>
              <x14:axisColor auto="1"/>
            </x14:dataBar>
          </x14:cfRule>
          <xm:sqref>C26:C33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5"/>
  <sheetViews>
    <sheetView showGridLines="0" zoomScale="80" zoomScaleNormal="80" workbookViewId="0">
      <selection sqref="A1:N1"/>
    </sheetView>
  </sheetViews>
  <sheetFormatPr defaultRowHeight="14"/>
  <cols>
    <col min="1" max="1" width="18.33203125" customWidth="1"/>
    <col min="2" max="2" width="20.33203125" customWidth="1"/>
    <col min="3" max="3" width="25.9140625" customWidth="1"/>
    <col min="4" max="4" width="16.6640625" customWidth="1"/>
    <col min="5" max="5" width="20" customWidth="1"/>
    <col min="6" max="6" width="27.25" customWidth="1"/>
    <col min="7" max="7" width="25.58203125" customWidth="1"/>
    <col min="8" max="8" width="21.08203125" customWidth="1"/>
    <col min="9" max="9" width="2.75" customWidth="1"/>
    <col min="10" max="10" width="11.6640625" customWidth="1"/>
    <col min="11" max="11" width="24.4140625" customWidth="1"/>
    <col min="12" max="12" width="23.9140625" customWidth="1"/>
    <col min="13" max="13" width="11.6640625" customWidth="1"/>
    <col min="14" max="14" width="23.33203125" customWidth="1"/>
  </cols>
  <sheetData>
    <row r="1" spans="1:14" ht="23">
      <c r="A1" s="113" t="s">
        <v>577</v>
      </c>
      <c r="B1" s="113"/>
      <c r="C1" s="113"/>
      <c r="D1" s="113"/>
      <c r="E1" s="113"/>
      <c r="F1" s="113"/>
      <c r="G1" s="113"/>
      <c r="H1" s="113"/>
      <c r="I1" s="113"/>
      <c r="J1" s="113"/>
      <c r="K1" s="113"/>
      <c r="L1" s="113"/>
      <c r="M1" s="113"/>
      <c r="N1" s="113"/>
    </row>
    <row r="2" spans="1:14">
      <c r="A2" s="114" t="s">
        <v>578</v>
      </c>
      <c r="B2" s="114"/>
      <c r="C2" s="114"/>
      <c r="D2" s="114"/>
      <c r="E2" s="114"/>
      <c r="F2" s="114"/>
      <c r="G2" s="114"/>
      <c r="H2" s="114"/>
      <c r="I2" s="114"/>
      <c r="J2" s="114"/>
      <c r="K2" s="114"/>
      <c r="L2" s="114"/>
      <c r="M2" s="114"/>
      <c r="N2" s="114"/>
    </row>
    <row r="3" spans="1:14">
      <c r="A3" s="11"/>
      <c r="B3" s="11"/>
      <c r="C3" s="11"/>
      <c r="D3" s="11"/>
      <c r="E3" s="11"/>
      <c r="F3" s="11"/>
      <c r="G3" s="11"/>
      <c r="H3" s="11"/>
      <c r="I3" s="11"/>
      <c r="J3" s="11"/>
      <c r="K3" s="11"/>
      <c r="L3" s="11"/>
      <c r="M3" s="11"/>
      <c r="N3" s="11"/>
    </row>
    <row r="4" spans="1:14">
      <c r="A4" s="152" t="s">
        <v>579</v>
      </c>
      <c r="B4" s="152" t="s">
        <v>579</v>
      </c>
      <c r="C4" s="152" t="s">
        <v>579</v>
      </c>
      <c r="D4" s="152" t="s">
        <v>579</v>
      </c>
      <c r="E4" s="152" t="s">
        <v>579</v>
      </c>
      <c r="F4" s="152" t="s">
        <v>579</v>
      </c>
      <c r="G4" s="152" t="s">
        <v>579</v>
      </c>
      <c r="H4" s="152" t="s">
        <v>579</v>
      </c>
      <c r="I4" s="11"/>
      <c r="J4" s="152" t="s">
        <v>580</v>
      </c>
      <c r="K4" s="152" t="s">
        <v>580</v>
      </c>
      <c r="L4" s="152" t="s">
        <v>580</v>
      </c>
      <c r="M4" s="152" t="s">
        <v>580</v>
      </c>
      <c r="N4" s="152" t="s">
        <v>580</v>
      </c>
    </row>
    <row r="5" spans="1:14">
      <c r="A5" s="1" t="s">
        <v>581</v>
      </c>
      <c r="B5" s="2" t="s">
        <v>582</v>
      </c>
      <c r="C5" s="2" t="s">
        <v>583</v>
      </c>
      <c r="D5" s="2" t="s">
        <v>584</v>
      </c>
      <c r="E5" s="2" t="s">
        <v>585</v>
      </c>
      <c r="F5" s="2" t="s">
        <v>586</v>
      </c>
      <c r="G5" s="2" t="s">
        <v>587</v>
      </c>
      <c r="H5" s="3" t="s">
        <v>588</v>
      </c>
      <c r="I5" s="11"/>
      <c r="J5" s="1" t="s">
        <v>35</v>
      </c>
      <c r="K5" s="2" t="s">
        <v>589</v>
      </c>
      <c r="L5" s="2" t="s">
        <v>590</v>
      </c>
      <c r="M5" s="2" t="s">
        <v>591</v>
      </c>
      <c r="N5" s="3" t="s">
        <v>592</v>
      </c>
    </row>
    <row r="6" spans="1:14" ht="42" customHeight="1">
      <c r="A6" s="50" t="s">
        <v>593</v>
      </c>
      <c r="B6" s="50" t="s">
        <v>594</v>
      </c>
      <c r="C6" s="50" t="s">
        <v>595</v>
      </c>
      <c r="D6" s="50" t="s">
        <v>87</v>
      </c>
      <c r="E6" s="50" t="s">
        <v>596</v>
      </c>
      <c r="F6" s="50" t="s">
        <v>597</v>
      </c>
      <c r="G6" s="50" t="s">
        <v>598</v>
      </c>
      <c r="H6" s="50" t="s">
        <v>599</v>
      </c>
      <c r="I6" s="11"/>
      <c r="J6" s="14" t="s">
        <v>600</v>
      </c>
      <c r="K6" s="14" t="s">
        <v>601</v>
      </c>
      <c r="L6" s="14" t="s">
        <v>602</v>
      </c>
      <c r="M6" s="14" t="s">
        <v>603</v>
      </c>
      <c r="N6" s="14" t="s">
        <v>604</v>
      </c>
    </row>
    <row r="7" spans="1:14" ht="42" customHeight="1">
      <c r="A7" s="50" t="s">
        <v>605</v>
      </c>
      <c r="B7" s="50" t="s">
        <v>606</v>
      </c>
      <c r="C7" s="50" t="s">
        <v>28</v>
      </c>
      <c r="D7" s="50" t="s">
        <v>607</v>
      </c>
      <c r="E7" s="50" t="s">
        <v>521</v>
      </c>
      <c r="F7" s="50" t="s">
        <v>608</v>
      </c>
      <c r="G7" s="50" t="s">
        <v>609</v>
      </c>
      <c r="H7" s="50" t="s">
        <v>610</v>
      </c>
      <c r="I7" s="11"/>
      <c r="J7" s="14" t="s">
        <v>611</v>
      </c>
      <c r="K7" s="14" t="s">
        <v>612</v>
      </c>
      <c r="L7" s="14" t="s">
        <v>613</v>
      </c>
      <c r="M7" s="14" t="s">
        <v>614</v>
      </c>
      <c r="N7" s="14" t="s">
        <v>615</v>
      </c>
    </row>
    <row r="8" spans="1:14" ht="42" customHeight="1">
      <c r="A8" s="50" t="s">
        <v>616</v>
      </c>
      <c r="B8" s="50" t="s">
        <v>617</v>
      </c>
      <c r="C8" s="50" t="s">
        <v>28</v>
      </c>
      <c r="D8" s="50" t="s">
        <v>607</v>
      </c>
      <c r="E8" s="50" t="s">
        <v>618</v>
      </c>
      <c r="F8" s="50" t="s">
        <v>619</v>
      </c>
      <c r="G8" s="50" t="s">
        <v>620</v>
      </c>
      <c r="H8" s="50" t="s">
        <v>621</v>
      </c>
      <c r="I8" s="11"/>
      <c r="J8" s="14" t="s">
        <v>622</v>
      </c>
      <c r="K8" s="14" t="s">
        <v>623</v>
      </c>
      <c r="L8" s="14" t="s">
        <v>624</v>
      </c>
      <c r="M8" s="14" t="s">
        <v>625</v>
      </c>
      <c r="N8" s="14" t="s">
        <v>626</v>
      </c>
    </row>
    <row r="9" spans="1:14" ht="42" customHeight="1">
      <c r="A9" s="50" t="s">
        <v>627</v>
      </c>
      <c r="B9" s="50" t="s">
        <v>628</v>
      </c>
      <c r="C9" s="50" t="s">
        <v>28</v>
      </c>
      <c r="D9" s="50" t="s">
        <v>607</v>
      </c>
      <c r="E9" s="50" t="s">
        <v>629</v>
      </c>
      <c r="F9" s="50" t="s">
        <v>630</v>
      </c>
      <c r="G9" s="50" t="s">
        <v>631</v>
      </c>
      <c r="H9" s="50" t="s">
        <v>632</v>
      </c>
      <c r="I9" s="11"/>
      <c r="J9" s="14" t="s">
        <v>633</v>
      </c>
      <c r="K9" s="14" t="s">
        <v>634</v>
      </c>
      <c r="L9" s="14" t="s">
        <v>635</v>
      </c>
      <c r="M9" s="14" t="s">
        <v>636</v>
      </c>
      <c r="N9" s="14" t="s">
        <v>637</v>
      </c>
    </row>
    <row r="10" spans="1:14" ht="54" customHeight="1">
      <c r="A10" s="50" t="s">
        <v>638</v>
      </c>
      <c r="B10" s="50" t="s">
        <v>639</v>
      </c>
      <c r="C10" s="50" t="s">
        <v>521</v>
      </c>
      <c r="D10" s="50" t="s">
        <v>87</v>
      </c>
      <c r="E10" s="50" t="s">
        <v>640</v>
      </c>
      <c r="F10" s="50" t="s">
        <v>641</v>
      </c>
      <c r="G10" s="50" t="s">
        <v>642</v>
      </c>
      <c r="H10" s="50" t="s">
        <v>643</v>
      </c>
      <c r="I10" s="11"/>
      <c r="J10" s="11"/>
      <c r="K10" s="11"/>
      <c r="L10" s="11"/>
      <c r="M10" s="11"/>
      <c r="N10" s="11"/>
    </row>
    <row r="11" spans="1:14" ht="54" customHeight="1">
      <c r="A11" s="50" t="s">
        <v>644</v>
      </c>
      <c r="B11" s="50" t="s">
        <v>645</v>
      </c>
      <c r="C11" s="50" t="s">
        <v>607</v>
      </c>
      <c r="D11" s="50" t="s">
        <v>87</v>
      </c>
      <c r="E11" s="50" t="s">
        <v>28</v>
      </c>
      <c r="F11" s="50" t="s">
        <v>646</v>
      </c>
      <c r="G11" s="50" t="s">
        <v>647</v>
      </c>
      <c r="H11" s="50" t="s">
        <v>648</v>
      </c>
      <c r="I11" s="11"/>
      <c r="J11" s="11"/>
      <c r="K11" s="11"/>
      <c r="L11" s="11"/>
      <c r="M11" s="11"/>
      <c r="N11" s="11"/>
    </row>
    <row r="12" spans="1:14" ht="54" customHeight="1">
      <c r="A12" s="50" t="s">
        <v>649</v>
      </c>
      <c r="B12" s="50" t="s">
        <v>650</v>
      </c>
      <c r="C12" s="50" t="s">
        <v>651</v>
      </c>
      <c r="D12" s="50" t="s">
        <v>607</v>
      </c>
      <c r="E12" s="50" t="s">
        <v>28</v>
      </c>
      <c r="F12" s="50" t="s">
        <v>652</v>
      </c>
      <c r="G12" s="50" t="s">
        <v>653</v>
      </c>
      <c r="H12" s="50" t="s">
        <v>654</v>
      </c>
      <c r="I12" s="11"/>
      <c r="J12" s="152" t="s">
        <v>655</v>
      </c>
      <c r="K12" s="152" t="s">
        <v>655</v>
      </c>
      <c r="L12" s="152" t="s">
        <v>655</v>
      </c>
      <c r="M12" s="152" t="s">
        <v>655</v>
      </c>
      <c r="N12" s="152" t="s">
        <v>655</v>
      </c>
    </row>
    <row r="13" spans="1:14" ht="54" customHeight="1">
      <c r="A13" s="50" t="s">
        <v>656</v>
      </c>
      <c r="B13" s="50" t="s">
        <v>657</v>
      </c>
      <c r="C13" s="50" t="s">
        <v>87</v>
      </c>
      <c r="D13" s="50" t="s">
        <v>658</v>
      </c>
      <c r="E13" s="50" t="s">
        <v>659</v>
      </c>
      <c r="F13" s="50" t="s">
        <v>660</v>
      </c>
      <c r="G13" s="50" t="s">
        <v>661</v>
      </c>
      <c r="H13" s="50" t="s">
        <v>662</v>
      </c>
      <c r="I13" s="11"/>
      <c r="J13" s="171" t="s">
        <v>663</v>
      </c>
      <c r="K13" s="172"/>
      <c r="L13" s="172"/>
      <c r="M13" s="172"/>
      <c r="N13" s="173"/>
    </row>
    <row r="14" spans="1:14" ht="54" customHeight="1">
      <c r="A14" s="50" t="s">
        <v>664</v>
      </c>
      <c r="B14" s="50" t="s">
        <v>665</v>
      </c>
      <c r="C14" s="50" t="s">
        <v>666</v>
      </c>
      <c r="D14" s="50" t="s">
        <v>607</v>
      </c>
      <c r="E14" s="50" t="s">
        <v>28</v>
      </c>
      <c r="F14" s="50" t="s">
        <v>667</v>
      </c>
      <c r="G14" s="50" t="s">
        <v>668</v>
      </c>
      <c r="H14" s="50" t="s">
        <v>669</v>
      </c>
      <c r="I14" s="11"/>
      <c r="J14" s="174"/>
      <c r="K14" s="175"/>
      <c r="L14" s="175"/>
      <c r="M14" s="175"/>
      <c r="N14" s="176"/>
    </row>
    <row r="15" spans="1:14" ht="54" customHeight="1">
      <c r="A15" s="50" t="s">
        <v>670</v>
      </c>
      <c r="B15" s="50" t="s">
        <v>671</v>
      </c>
      <c r="C15" s="50" t="s">
        <v>672</v>
      </c>
      <c r="D15" s="50" t="s">
        <v>607</v>
      </c>
      <c r="E15" s="50" t="s">
        <v>521</v>
      </c>
      <c r="F15" s="50" t="s">
        <v>673</v>
      </c>
      <c r="G15" s="50" t="s">
        <v>674</v>
      </c>
      <c r="H15" s="50" t="s">
        <v>675</v>
      </c>
      <c r="I15" s="11"/>
      <c r="J15" s="174"/>
      <c r="K15" s="175"/>
      <c r="L15" s="175"/>
      <c r="M15" s="175"/>
      <c r="N15" s="176"/>
    </row>
    <row r="16" spans="1:14">
      <c r="A16" s="11"/>
      <c r="B16" s="11"/>
      <c r="C16" s="11"/>
      <c r="D16" s="11"/>
      <c r="E16" s="11"/>
      <c r="F16" s="11"/>
      <c r="G16" s="11"/>
      <c r="H16" s="11"/>
      <c r="I16" s="11"/>
      <c r="J16" s="174"/>
      <c r="K16" s="175"/>
      <c r="L16" s="175"/>
      <c r="M16" s="175"/>
      <c r="N16" s="176"/>
    </row>
    <row r="17" spans="1:14">
      <c r="A17" s="11"/>
      <c r="B17" s="11"/>
      <c r="C17" s="11"/>
      <c r="D17" s="11"/>
      <c r="E17" s="11"/>
      <c r="F17" s="11"/>
      <c r="G17" s="11"/>
      <c r="H17" s="11"/>
      <c r="I17" s="11"/>
      <c r="J17" s="174"/>
      <c r="K17" s="175"/>
      <c r="L17" s="175"/>
      <c r="M17" s="175"/>
      <c r="N17" s="176"/>
    </row>
    <row r="18" spans="1:14">
      <c r="A18" s="152" t="s">
        <v>676</v>
      </c>
      <c r="B18" s="152" t="s">
        <v>676</v>
      </c>
      <c r="C18" s="152" t="s">
        <v>676</v>
      </c>
      <c r="D18" s="152" t="s">
        <v>676</v>
      </c>
      <c r="E18" s="152" t="s">
        <v>676</v>
      </c>
      <c r="F18" s="152" t="s">
        <v>676</v>
      </c>
      <c r="G18" s="152" t="s">
        <v>676</v>
      </c>
      <c r="H18" s="152" t="s">
        <v>676</v>
      </c>
      <c r="I18" s="11"/>
      <c r="J18" s="177"/>
      <c r="K18" s="178"/>
      <c r="L18" s="178"/>
      <c r="M18" s="178"/>
      <c r="N18" s="179"/>
    </row>
    <row r="19" spans="1:14" ht="26">
      <c r="A19" s="1" t="s">
        <v>60</v>
      </c>
      <c r="B19" s="2" t="s">
        <v>677</v>
      </c>
      <c r="C19" s="2" t="s">
        <v>678</v>
      </c>
      <c r="D19" s="2" t="s">
        <v>679</v>
      </c>
      <c r="E19" s="2" t="s">
        <v>680</v>
      </c>
      <c r="F19" s="2" t="s">
        <v>681</v>
      </c>
      <c r="G19" s="3" t="s">
        <v>682</v>
      </c>
      <c r="H19" s="11"/>
      <c r="I19" s="11"/>
      <c r="J19" s="11"/>
      <c r="K19" s="11"/>
      <c r="L19" s="11"/>
      <c r="M19" s="11"/>
      <c r="N19" s="11"/>
    </row>
    <row r="20" spans="1:14" ht="36" customHeight="1">
      <c r="A20" s="50">
        <v>1</v>
      </c>
      <c r="B20" s="50" t="s">
        <v>683</v>
      </c>
      <c r="C20" s="50" t="s">
        <v>684</v>
      </c>
      <c r="D20" s="50" t="s">
        <v>685</v>
      </c>
      <c r="E20" s="50" t="s">
        <v>686</v>
      </c>
      <c r="F20" s="50" t="s">
        <v>607</v>
      </c>
      <c r="G20" s="50" t="s">
        <v>687</v>
      </c>
      <c r="H20" s="11"/>
      <c r="I20" s="11"/>
      <c r="J20" s="11"/>
      <c r="K20" s="11"/>
      <c r="L20" s="11"/>
      <c r="M20" s="11"/>
      <c r="N20" s="11"/>
    </row>
    <row r="21" spans="1:14" ht="36" customHeight="1">
      <c r="A21" s="50">
        <v>2</v>
      </c>
      <c r="B21" s="50" t="s">
        <v>688</v>
      </c>
      <c r="C21" s="50" t="s">
        <v>689</v>
      </c>
      <c r="D21" s="50" t="s">
        <v>690</v>
      </c>
      <c r="E21" s="50" t="s">
        <v>686</v>
      </c>
      <c r="F21" s="50" t="s">
        <v>28</v>
      </c>
      <c r="G21" s="50" t="s">
        <v>606</v>
      </c>
      <c r="H21" s="11"/>
      <c r="I21" s="11"/>
      <c r="J21" s="11"/>
      <c r="K21" s="11"/>
      <c r="L21" s="11"/>
      <c r="M21" s="11"/>
      <c r="N21" s="11"/>
    </row>
    <row r="22" spans="1:14" ht="36" customHeight="1">
      <c r="A22" s="50">
        <v>3</v>
      </c>
      <c r="B22" s="50" t="s">
        <v>691</v>
      </c>
      <c r="C22" s="50" t="s">
        <v>692</v>
      </c>
      <c r="D22" s="50" t="s">
        <v>693</v>
      </c>
      <c r="E22" s="50" t="s">
        <v>686</v>
      </c>
      <c r="F22" s="50" t="s">
        <v>694</v>
      </c>
      <c r="G22" s="50" t="s">
        <v>695</v>
      </c>
      <c r="H22" s="11"/>
      <c r="I22" s="11"/>
      <c r="J22" s="11"/>
      <c r="K22" s="11"/>
      <c r="L22" s="11"/>
      <c r="M22" s="11"/>
      <c r="N22" s="11"/>
    </row>
    <row r="23" spans="1:14" ht="36" customHeight="1">
      <c r="A23" s="50">
        <v>4</v>
      </c>
      <c r="B23" s="50" t="s">
        <v>696</v>
      </c>
      <c r="C23" s="50" t="s">
        <v>697</v>
      </c>
      <c r="D23" s="50" t="s">
        <v>698</v>
      </c>
      <c r="E23" s="50" t="s">
        <v>686</v>
      </c>
      <c r="F23" s="50" t="s">
        <v>28</v>
      </c>
      <c r="G23" s="50" t="s">
        <v>695</v>
      </c>
      <c r="H23" s="11"/>
      <c r="I23" s="11"/>
      <c r="J23" s="11"/>
      <c r="K23" s="11"/>
      <c r="L23" s="11"/>
      <c r="M23" s="11"/>
      <c r="N23" s="11"/>
    </row>
    <row r="24" spans="1:14" ht="36" customHeight="1">
      <c r="A24" s="50">
        <v>5</v>
      </c>
      <c r="B24" s="50" t="s">
        <v>699</v>
      </c>
      <c r="C24" s="50" t="s">
        <v>700</v>
      </c>
      <c r="D24" s="50" t="s">
        <v>701</v>
      </c>
      <c r="E24" s="50" t="s">
        <v>686</v>
      </c>
      <c r="F24" s="50" t="s">
        <v>702</v>
      </c>
      <c r="G24" s="50" t="s">
        <v>703</v>
      </c>
      <c r="H24" s="11"/>
      <c r="I24" s="11"/>
      <c r="J24" s="11"/>
      <c r="K24" s="11"/>
      <c r="L24" s="11"/>
      <c r="M24" s="11"/>
      <c r="N24" s="11"/>
    </row>
    <row r="25" spans="1:14" ht="36" customHeight="1">
      <c r="A25" s="50">
        <v>6</v>
      </c>
      <c r="B25" s="50" t="s">
        <v>704</v>
      </c>
      <c r="C25" s="50" t="s">
        <v>705</v>
      </c>
      <c r="D25" s="50" t="s">
        <v>706</v>
      </c>
      <c r="E25" s="50" t="s">
        <v>686</v>
      </c>
      <c r="F25" s="50" t="s">
        <v>702</v>
      </c>
      <c r="G25" s="50" t="s">
        <v>703</v>
      </c>
      <c r="H25" s="11"/>
      <c r="I25" s="11"/>
      <c r="J25" s="11"/>
      <c r="K25" s="11"/>
      <c r="L25" s="11"/>
      <c r="M25" s="11"/>
      <c r="N25" s="11"/>
    </row>
    <row r="26" spans="1:14" ht="36" customHeight="1">
      <c r="A26" s="50">
        <v>7</v>
      </c>
      <c r="B26" s="50" t="s">
        <v>707</v>
      </c>
      <c r="C26" s="50" t="s">
        <v>708</v>
      </c>
      <c r="D26" s="50" t="s">
        <v>709</v>
      </c>
      <c r="E26" s="50" t="s">
        <v>686</v>
      </c>
      <c r="F26" s="50" t="s">
        <v>607</v>
      </c>
      <c r="G26" s="50" t="s">
        <v>703</v>
      </c>
      <c r="H26" s="11"/>
      <c r="I26" s="11"/>
      <c r="J26" s="11"/>
      <c r="K26" s="11"/>
      <c r="L26" s="11"/>
      <c r="M26" s="11"/>
      <c r="N26" s="11"/>
    </row>
    <row r="27" spans="1:14" ht="36" customHeight="1">
      <c r="A27" s="50">
        <v>8</v>
      </c>
      <c r="B27" s="50" t="s">
        <v>710</v>
      </c>
      <c r="C27" s="50" t="s">
        <v>711</v>
      </c>
      <c r="D27" s="50" t="s">
        <v>712</v>
      </c>
      <c r="E27" s="50" t="s">
        <v>686</v>
      </c>
      <c r="F27" s="50" t="s">
        <v>702</v>
      </c>
      <c r="G27" s="50" t="s">
        <v>703</v>
      </c>
      <c r="H27" s="11"/>
      <c r="I27" s="11"/>
      <c r="J27" s="11"/>
      <c r="K27" s="11"/>
      <c r="L27" s="11"/>
      <c r="M27" s="11"/>
      <c r="N27" s="11"/>
    </row>
    <row r="28" spans="1:14" ht="36" customHeight="1">
      <c r="A28" s="50">
        <v>9</v>
      </c>
      <c r="B28" s="50" t="s">
        <v>713</v>
      </c>
      <c r="C28" s="50" t="s">
        <v>714</v>
      </c>
      <c r="D28" s="50" t="s">
        <v>715</v>
      </c>
      <c r="E28" s="50" t="s">
        <v>716</v>
      </c>
      <c r="F28" s="50" t="s">
        <v>607</v>
      </c>
      <c r="G28" s="50" t="s">
        <v>717</v>
      </c>
      <c r="H28" s="11"/>
      <c r="I28" s="11"/>
      <c r="J28" s="11"/>
      <c r="K28" s="11"/>
      <c r="L28" s="11"/>
      <c r="M28" s="11"/>
      <c r="N28" s="11"/>
    </row>
    <row r="29" spans="1:14" ht="36" customHeight="1">
      <c r="A29" s="50">
        <v>10</v>
      </c>
      <c r="B29" s="50" t="s">
        <v>718</v>
      </c>
      <c r="C29" s="50" t="s">
        <v>719</v>
      </c>
      <c r="D29" s="50" t="s">
        <v>720</v>
      </c>
      <c r="E29" s="50" t="s">
        <v>716</v>
      </c>
      <c r="F29" s="50" t="s">
        <v>521</v>
      </c>
      <c r="G29" s="50" t="s">
        <v>717</v>
      </c>
      <c r="H29" s="11"/>
      <c r="I29" s="11"/>
      <c r="J29" s="11"/>
      <c r="K29" s="11"/>
      <c r="L29" s="11"/>
      <c r="M29" s="11"/>
      <c r="N29" s="11"/>
    </row>
    <row r="30" spans="1:14" ht="36" customHeight="1">
      <c r="A30" s="50">
        <v>11</v>
      </c>
      <c r="B30" s="50" t="s">
        <v>721</v>
      </c>
      <c r="C30" s="50" t="s">
        <v>722</v>
      </c>
      <c r="D30" s="50" t="s">
        <v>723</v>
      </c>
      <c r="E30" s="50" t="s">
        <v>686</v>
      </c>
      <c r="F30" s="50" t="s">
        <v>724</v>
      </c>
      <c r="G30" s="50" t="s">
        <v>703</v>
      </c>
      <c r="H30" s="11"/>
      <c r="I30" s="11"/>
      <c r="J30" s="11"/>
      <c r="K30" s="11"/>
      <c r="L30" s="11"/>
      <c r="M30" s="11"/>
      <c r="N30" s="11"/>
    </row>
    <row r="31" spans="1:14" ht="36" customHeight="1">
      <c r="A31" s="50">
        <v>12</v>
      </c>
      <c r="B31" s="50" t="s">
        <v>725</v>
      </c>
      <c r="C31" s="50" t="s">
        <v>726</v>
      </c>
      <c r="D31" s="50" t="s">
        <v>723</v>
      </c>
      <c r="E31" s="50" t="s">
        <v>686</v>
      </c>
      <c r="F31" s="50" t="s">
        <v>724</v>
      </c>
      <c r="G31" s="50" t="s">
        <v>703</v>
      </c>
      <c r="H31" s="11"/>
      <c r="I31" s="11"/>
      <c r="J31" s="11"/>
      <c r="K31" s="11"/>
      <c r="L31" s="11"/>
      <c r="M31" s="11"/>
      <c r="N31" s="11"/>
    </row>
    <row r="32" spans="1:14" ht="36" customHeight="1">
      <c r="A32" s="50">
        <v>13</v>
      </c>
      <c r="B32" s="50" t="s">
        <v>727</v>
      </c>
      <c r="C32" s="50" t="s">
        <v>728</v>
      </c>
      <c r="D32" s="50" t="s">
        <v>729</v>
      </c>
      <c r="E32" s="50" t="s">
        <v>686</v>
      </c>
      <c r="F32" s="50" t="s">
        <v>702</v>
      </c>
      <c r="G32" s="50" t="s">
        <v>703</v>
      </c>
      <c r="H32" s="11"/>
      <c r="I32" s="11"/>
      <c r="J32" s="11"/>
      <c r="K32" s="11"/>
      <c r="L32" s="11"/>
      <c r="M32" s="11"/>
      <c r="N32" s="11"/>
    </row>
    <row r="33" spans="1:14" ht="36" customHeight="1">
      <c r="A33" s="50">
        <v>14</v>
      </c>
      <c r="B33" s="50" t="s">
        <v>730</v>
      </c>
      <c r="C33" s="50" t="s">
        <v>731</v>
      </c>
      <c r="D33" s="50" t="s">
        <v>732</v>
      </c>
      <c r="E33" s="50" t="s">
        <v>686</v>
      </c>
      <c r="F33" s="50" t="s">
        <v>733</v>
      </c>
      <c r="G33" s="50" t="s">
        <v>734</v>
      </c>
      <c r="H33" s="11"/>
      <c r="I33" s="11"/>
      <c r="J33" s="11"/>
      <c r="K33" s="11"/>
      <c r="L33" s="11"/>
      <c r="M33" s="11"/>
      <c r="N33" s="11"/>
    </row>
    <row r="34" spans="1:14" ht="36" customHeight="1">
      <c r="A34" s="50">
        <v>15</v>
      </c>
      <c r="B34" s="50" t="s">
        <v>735</v>
      </c>
      <c r="C34" s="50" t="s">
        <v>736</v>
      </c>
      <c r="D34" s="50" t="s">
        <v>737</v>
      </c>
      <c r="E34" s="50" t="s">
        <v>686</v>
      </c>
      <c r="F34" s="50" t="s">
        <v>106</v>
      </c>
      <c r="G34" s="50" t="s">
        <v>625</v>
      </c>
      <c r="H34" s="11"/>
      <c r="I34" s="11"/>
      <c r="J34" s="11"/>
      <c r="K34" s="11"/>
      <c r="L34" s="11"/>
      <c r="M34" s="11"/>
      <c r="N34" s="11"/>
    </row>
    <row r="35" spans="1:14" ht="36" customHeight="1">
      <c r="A35" s="50">
        <v>16</v>
      </c>
      <c r="B35" s="50" t="s">
        <v>738</v>
      </c>
      <c r="C35" s="50" t="s">
        <v>739</v>
      </c>
      <c r="D35" s="50" t="s">
        <v>740</v>
      </c>
      <c r="E35" s="50" t="s">
        <v>686</v>
      </c>
      <c r="F35" s="50" t="s">
        <v>87</v>
      </c>
      <c r="G35" s="50" t="s">
        <v>741</v>
      </c>
      <c r="H35" s="11"/>
      <c r="I35" s="11"/>
      <c r="J35" s="11"/>
      <c r="K35" s="11"/>
      <c r="L35" s="11"/>
      <c r="M35" s="11"/>
      <c r="N35" s="11"/>
    </row>
  </sheetData>
  <mergeCells count="7">
    <mergeCell ref="A1:N1"/>
    <mergeCell ref="A2:N2"/>
    <mergeCell ref="A4:H4"/>
    <mergeCell ref="J4:N4"/>
    <mergeCell ref="A18:H18"/>
    <mergeCell ref="J12:N12"/>
    <mergeCell ref="J13:N18"/>
  </mergeCells>
  <conditionalFormatting sqref="E20:E35">
    <cfRule type="containsText" dxfId="10" priority="1" operator="containsText" text="Oui"/>
  </conditionalFormatting>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9"/>
  <sheetViews>
    <sheetView showGridLines="0" zoomScale="80" zoomScaleNormal="80" workbookViewId="0">
      <selection sqref="A1:N1"/>
    </sheetView>
  </sheetViews>
  <sheetFormatPr defaultRowHeight="14"/>
  <cols>
    <col min="1" max="1" width="5" customWidth="1"/>
    <col min="2" max="2" width="27.75" customWidth="1"/>
    <col min="3" max="3" width="8.33203125" customWidth="1"/>
    <col min="4" max="4" width="9.4140625" customWidth="1"/>
    <col min="5" max="5" width="8.9140625" customWidth="1"/>
    <col min="6" max="9" width="10" customWidth="1"/>
    <col min="10" max="10" width="10.58203125" customWidth="1"/>
    <col min="11" max="11" width="10" customWidth="1"/>
    <col min="12" max="12" width="18.9140625" customWidth="1"/>
    <col min="13" max="13" width="17.75" customWidth="1"/>
    <col min="14" max="14" width="13.33203125" customWidth="1"/>
  </cols>
  <sheetData>
    <row r="1" spans="1:14" ht="23">
      <c r="A1" s="113" t="s">
        <v>742</v>
      </c>
      <c r="B1" s="113"/>
      <c r="C1" s="113"/>
      <c r="D1" s="113"/>
      <c r="E1" s="113"/>
      <c r="F1" s="113"/>
      <c r="G1" s="113"/>
      <c r="H1" s="113"/>
      <c r="I1" s="113"/>
      <c r="J1" s="113"/>
      <c r="K1" s="113"/>
      <c r="L1" s="113"/>
      <c r="M1" s="113"/>
      <c r="N1" s="113"/>
    </row>
    <row r="2" spans="1:14">
      <c r="A2" s="114" t="s">
        <v>743</v>
      </c>
      <c r="B2" s="114"/>
      <c r="C2" s="114"/>
      <c r="D2" s="114"/>
      <c r="E2" s="114"/>
      <c r="F2" s="114"/>
      <c r="G2" s="114"/>
      <c r="H2" s="114"/>
      <c r="I2" s="114"/>
      <c r="J2" s="114"/>
      <c r="K2" s="114"/>
      <c r="L2" s="114"/>
      <c r="M2" s="114"/>
      <c r="N2" s="114"/>
    </row>
    <row r="3" spans="1:14">
      <c r="A3" s="11"/>
      <c r="B3" s="11"/>
      <c r="C3" s="11"/>
      <c r="D3" s="11"/>
      <c r="E3" s="11"/>
      <c r="F3" s="11"/>
      <c r="G3" s="11"/>
      <c r="H3" s="11"/>
      <c r="I3" s="11"/>
      <c r="J3" s="11"/>
      <c r="K3" s="11"/>
      <c r="L3" s="11"/>
      <c r="M3" s="11"/>
      <c r="N3" s="11"/>
    </row>
    <row r="4" spans="1:14">
      <c r="A4" s="115">
        <v>51</v>
      </c>
      <c r="B4" s="116"/>
      <c r="C4" s="117"/>
      <c r="D4" s="11"/>
      <c r="E4" s="207">
        <v>21.829501915708811</v>
      </c>
      <c r="F4" s="208"/>
      <c r="G4" s="209"/>
      <c r="H4" s="11"/>
      <c r="I4" s="216">
        <v>0.76436781609195403</v>
      </c>
      <c r="J4" s="217"/>
      <c r="K4" s="218"/>
      <c r="L4" s="11"/>
      <c r="M4" s="189">
        <v>2</v>
      </c>
      <c r="N4" s="191"/>
    </row>
    <row r="5" spans="1:14">
      <c r="A5" s="118"/>
      <c r="B5" s="119"/>
      <c r="C5" s="120"/>
      <c r="D5" s="11"/>
      <c r="E5" s="210"/>
      <c r="F5" s="211"/>
      <c r="G5" s="212"/>
      <c r="H5" s="11"/>
      <c r="I5" s="219"/>
      <c r="J5" s="220"/>
      <c r="K5" s="221"/>
      <c r="L5" s="11"/>
      <c r="M5" s="192"/>
      <c r="N5" s="194"/>
    </row>
    <row r="6" spans="1:14">
      <c r="A6" s="118"/>
      <c r="B6" s="119"/>
      <c r="C6" s="120"/>
      <c r="D6" s="11"/>
      <c r="E6" s="210"/>
      <c r="F6" s="211"/>
      <c r="G6" s="212"/>
      <c r="H6" s="11"/>
      <c r="I6" s="219"/>
      <c r="J6" s="220"/>
      <c r="K6" s="221"/>
      <c r="L6" s="11"/>
      <c r="M6" s="192"/>
      <c r="N6" s="194"/>
    </row>
    <row r="7" spans="1:14">
      <c r="A7" s="121"/>
      <c r="B7" s="122"/>
      <c r="C7" s="123"/>
      <c r="D7" s="11"/>
      <c r="E7" s="213"/>
      <c r="F7" s="214"/>
      <c r="G7" s="215"/>
      <c r="H7" s="11"/>
      <c r="I7" s="222"/>
      <c r="J7" s="223"/>
      <c r="K7" s="224"/>
      <c r="L7" s="11"/>
      <c r="M7" s="195"/>
      <c r="N7" s="197"/>
    </row>
    <row r="8" spans="1:14">
      <c r="A8" s="124" t="s">
        <v>4</v>
      </c>
      <c r="B8" s="124"/>
      <c r="C8" s="124"/>
      <c r="D8" s="11"/>
      <c r="E8" s="124" t="s">
        <v>217</v>
      </c>
      <c r="F8" s="124"/>
      <c r="G8" s="124"/>
      <c r="H8" s="11"/>
      <c r="I8" s="124" t="s">
        <v>744</v>
      </c>
      <c r="J8" s="124"/>
      <c r="K8" s="124"/>
      <c r="L8" s="11"/>
      <c r="M8" s="124" t="s">
        <v>745</v>
      </c>
      <c r="N8" s="124"/>
    </row>
    <row r="9" spans="1:14">
      <c r="A9" s="11"/>
      <c r="B9" s="11"/>
      <c r="C9" s="11"/>
      <c r="D9" s="11"/>
      <c r="E9" s="11"/>
      <c r="F9" s="11"/>
      <c r="G9" s="11"/>
      <c r="H9" s="11"/>
      <c r="I9" s="11"/>
      <c r="J9" s="11"/>
      <c r="K9" s="11"/>
      <c r="L9" s="11"/>
      <c r="M9" s="11"/>
      <c r="N9" s="11"/>
    </row>
    <row r="10" spans="1:14" ht="26">
      <c r="A10" s="1" t="s">
        <v>746</v>
      </c>
      <c r="B10" s="2" t="s">
        <v>545</v>
      </c>
      <c r="C10" s="2" t="s">
        <v>747</v>
      </c>
      <c r="D10" s="2" t="s">
        <v>748</v>
      </c>
      <c r="E10" s="2" t="s">
        <v>749</v>
      </c>
      <c r="F10" s="2" t="s">
        <v>750</v>
      </c>
      <c r="G10" s="2" t="s">
        <v>751</v>
      </c>
      <c r="H10" s="2" t="s">
        <v>508</v>
      </c>
      <c r="I10" s="2" t="s">
        <v>509</v>
      </c>
      <c r="J10" s="2" t="s">
        <v>752</v>
      </c>
      <c r="K10" s="2" t="s">
        <v>753</v>
      </c>
      <c r="L10" s="2" t="s">
        <v>681</v>
      </c>
      <c r="M10" s="2" t="s">
        <v>754</v>
      </c>
      <c r="N10" s="3" t="s">
        <v>542</v>
      </c>
    </row>
    <row r="11" spans="1:14" ht="33" customHeight="1">
      <c r="A11" s="14">
        <v>1</v>
      </c>
      <c r="B11" s="14" t="s">
        <v>130</v>
      </c>
      <c r="C11" s="14" t="s">
        <v>755</v>
      </c>
      <c r="D11" s="15">
        <v>51</v>
      </c>
      <c r="E11" s="15" t="s">
        <v>756</v>
      </c>
      <c r="F11" s="15">
        <v>55</v>
      </c>
      <c r="G11" s="15">
        <v>55</v>
      </c>
      <c r="H11" s="15">
        <v>55</v>
      </c>
      <c r="I11" s="15">
        <v>55</v>
      </c>
      <c r="J11" s="18">
        <v>51</v>
      </c>
      <c r="K11" s="15">
        <f t="shared" ref="K11:K30" si="0">IF(C11="Hausse",J11-G11,G11-J11)</f>
        <v>-4</v>
      </c>
      <c r="L11" s="14" t="s">
        <v>198</v>
      </c>
      <c r="M11" s="14" t="s">
        <v>757</v>
      </c>
      <c r="N11" s="14" t="s">
        <v>758</v>
      </c>
    </row>
    <row r="12" spans="1:14" ht="33" customHeight="1">
      <c r="A12" s="14">
        <v>2</v>
      </c>
      <c r="B12" s="14" t="s">
        <v>759</v>
      </c>
      <c r="C12" s="14" t="s">
        <v>760</v>
      </c>
      <c r="D12" s="15">
        <v>4</v>
      </c>
      <c r="E12" s="15" t="s">
        <v>756</v>
      </c>
      <c r="F12" s="15">
        <v>0</v>
      </c>
      <c r="G12" s="15">
        <v>0</v>
      </c>
      <c r="H12" s="15">
        <v>0</v>
      </c>
      <c r="I12" s="15">
        <v>0</v>
      </c>
      <c r="J12" s="18">
        <v>4</v>
      </c>
      <c r="K12" s="15">
        <f t="shared" si="0"/>
        <v>-4</v>
      </c>
      <c r="L12" s="14" t="s">
        <v>198</v>
      </c>
      <c r="M12" s="14" t="s">
        <v>757</v>
      </c>
      <c r="N12" s="14" t="s">
        <v>758</v>
      </c>
    </row>
    <row r="13" spans="1:14" ht="33" customHeight="1">
      <c r="A13" s="14">
        <v>3</v>
      </c>
      <c r="B13" s="14" t="s">
        <v>744</v>
      </c>
      <c r="C13" s="14" t="s">
        <v>760</v>
      </c>
      <c r="D13" s="17">
        <v>0.76436781609195403</v>
      </c>
      <c r="E13" s="17" t="s">
        <v>761</v>
      </c>
      <c r="F13" s="17">
        <v>0.74</v>
      </c>
      <c r="G13" s="17">
        <v>0.72</v>
      </c>
      <c r="H13" s="17">
        <v>0.68</v>
      </c>
      <c r="I13" s="17">
        <v>0.6</v>
      </c>
      <c r="J13" s="19">
        <v>0.76436781609195403</v>
      </c>
      <c r="K13" s="17">
        <f t="shared" si="0"/>
        <v>-4.436781609195406E-2</v>
      </c>
      <c r="L13" s="14" t="s">
        <v>87</v>
      </c>
      <c r="M13" s="14" t="s">
        <v>100</v>
      </c>
      <c r="N13" s="14" t="s">
        <v>758</v>
      </c>
    </row>
    <row r="14" spans="1:14" ht="33" customHeight="1">
      <c r="A14" s="14">
        <v>4</v>
      </c>
      <c r="B14" s="14" t="s">
        <v>745</v>
      </c>
      <c r="C14" s="14" t="s">
        <v>755</v>
      </c>
      <c r="D14" s="15">
        <v>2</v>
      </c>
      <c r="E14" s="15" t="s">
        <v>762</v>
      </c>
      <c r="F14" s="15">
        <v>3</v>
      </c>
      <c r="G14" s="15">
        <v>4</v>
      </c>
      <c r="H14" s="15">
        <v>6</v>
      </c>
      <c r="I14" s="15">
        <v>8</v>
      </c>
      <c r="J14" s="18">
        <v>2</v>
      </c>
      <c r="K14" s="15">
        <f t="shared" si="0"/>
        <v>-2</v>
      </c>
      <c r="L14" s="14" t="s">
        <v>87</v>
      </c>
      <c r="M14" s="14" t="s">
        <v>100</v>
      </c>
      <c r="N14" s="14" t="s">
        <v>758</v>
      </c>
    </row>
    <row r="15" spans="1:14" ht="33" customHeight="1">
      <c r="A15" s="14">
        <v>5</v>
      </c>
      <c r="B15" s="14" t="s">
        <v>25</v>
      </c>
      <c r="C15" s="14" t="s">
        <v>755</v>
      </c>
      <c r="D15" s="20">
        <v>21.829501915708811</v>
      </c>
      <c r="E15" s="20" t="s">
        <v>763</v>
      </c>
      <c r="F15" s="20">
        <v>35</v>
      </c>
      <c r="G15" s="20">
        <v>50</v>
      </c>
      <c r="H15" s="20">
        <v>70</v>
      </c>
      <c r="I15" s="20">
        <v>85</v>
      </c>
      <c r="J15" s="21">
        <v>21.829501915708811</v>
      </c>
      <c r="K15" s="20">
        <f t="shared" si="0"/>
        <v>-28.170498084291189</v>
      </c>
      <c r="L15" s="14" t="s">
        <v>324</v>
      </c>
      <c r="M15" s="14" t="s">
        <v>764</v>
      </c>
      <c r="N15" s="14" t="s">
        <v>758</v>
      </c>
    </row>
    <row r="16" spans="1:14" ht="33" customHeight="1">
      <c r="A16" s="14">
        <v>6</v>
      </c>
      <c r="B16" s="14" t="s">
        <v>765</v>
      </c>
      <c r="C16" s="14" t="s">
        <v>755</v>
      </c>
      <c r="D16" s="17">
        <v>5.842911877394636E-2</v>
      </c>
      <c r="E16" s="17" t="s">
        <v>761</v>
      </c>
      <c r="F16" s="17">
        <v>0.15</v>
      </c>
      <c r="G16" s="17">
        <v>0.25</v>
      </c>
      <c r="H16" s="17">
        <v>0.6</v>
      </c>
      <c r="I16" s="17">
        <v>0.95</v>
      </c>
      <c r="J16" s="19">
        <v>5.842911877394636E-2</v>
      </c>
      <c r="K16" s="17">
        <f t="shared" si="0"/>
        <v>-0.19157088122605365</v>
      </c>
      <c r="L16" s="14" t="s">
        <v>702</v>
      </c>
      <c r="M16" s="14" t="s">
        <v>766</v>
      </c>
      <c r="N16" s="14" t="s">
        <v>758</v>
      </c>
    </row>
    <row r="17" spans="1:14" ht="33" customHeight="1">
      <c r="A17" s="14">
        <v>7</v>
      </c>
      <c r="B17" s="14" t="s">
        <v>767</v>
      </c>
      <c r="C17" s="14" t="s">
        <v>755</v>
      </c>
      <c r="D17" s="17">
        <v>8.9080459770114945E-2</v>
      </c>
      <c r="E17" s="17" t="s">
        <v>761</v>
      </c>
      <c r="F17" s="17">
        <v>0.2</v>
      </c>
      <c r="G17" s="17">
        <v>0.35</v>
      </c>
      <c r="H17" s="17">
        <v>0.65</v>
      </c>
      <c r="I17" s="17">
        <v>0.95</v>
      </c>
      <c r="J17" s="19">
        <v>8.9080459770114945E-2</v>
      </c>
      <c r="K17" s="17">
        <f t="shared" si="0"/>
        <v>-0.26091954022988506</v>
      </c>
      <c r="L17" s="14" t="s">
        <v>768</v>
      </c>
      <c r="M17" s="14" t="s">
        <v>764</v>
      </c>
      <c r="N17" s="14" t="s">
        <v>758</v>
      </c>
    </row>
    <row r="18" spans="1:14" ht="33" customHeight="1">
      <c r="A18" s="14">
        <v>8</v>
      </c>
      <c r="B18" s="14" t="s">
        <v>769</v>
      </c>
      <c r="C18" s="14" t="s">
        <v>755</v>
      </c>
      <c r="D18" s="17">
        <v>9.9616858237547887E-2</v>
      </c>
      <c r="E18" s="17" t="s">
        <v>761</v>
      </c>
      <c r="F18" s="17">
        <v>0.2</v>
      </c>
      <c r="G18" s="17">
        <v>0.35</v>
      </c>
      <c r="H18" s="17">
        <v>0.65</v>
      </c>
      <c r="I18" s="17">
        <v>0.95</v>
      </c>
      <c r="J18" s="19">
        <v>9.9616858237547887E-2</v>
      </c>
      <c r="K18" s="17">
        <f t="shared" si="0"/>
        <v>-0.25038314176245208</v>
      </c>
      <c r="L18" s="14" t="s">
        <v>768</v>
      </c>
      <c r="M18" s="14" t="s">
        <v>764</v>
      </c>
      <c r="N18" s="14" t="s">
        <v>758</v>
      </c>
    </row>
    <row r="19" spans="1:14" ht="33" customHeight="1">
      <c r="A19" s="14">
        <v>9</v>
      </c>
      <c r="B19" s="14" t="s">
        <v>770</v>
      </c>
      <c r="C19" s="14" t="s">
        <v>755</v>
      </c>
      <c r="D19" s="17">
        <v>1.9157088122605363E-3</v>
      </c>
      <c r="E19" s="17" t="s">
        <v>761</v>
      </c>
      <c r="F19" s="17">
        <v>0.1</v>
      </c>
      <c r="G19" s="17">
        <v>0.25</v>
      </c>
      <c r="H19" s="17">
        <v>0.6</v>
      </c>
      <c r="I19" s="17">
        <v>0.95</v>
      </c>
      <c r="J19" s="19">
        <v>1.9157088122605363E-3</v>
      </c>
      <c r="K19" s="17">
        <f t="shared" si="0"/>
        <v>-0.24808429118773948</v>
      </c>
      <c r="L19" s="14" t="s">
        <v>702</v>
      </c>
      <c r="M19" s="14" t="s">
        <v>764</v>
      </c>
      <c r="N19" s="14" t="s">
        <v>758</v>
      </c>
    </row>
    <row r="20" spans="1:14" ht="33" customHeight="1">
      <c r="A20" s="14">
        <v>10</v>
      </c>
      <c r="B20" s="14" t="s">
        <v>771</v>
      </c>
      <c r="C20" s="14" t="s">
        <v>755</v>
      </c>
      <c r="D20" s="17">
        <v>0</v>
      </c>
      <c r="E20" s="17" t="s">
        <v>761</v>
      </c>
      <c r="F20" s="17">
        <v>0.1</v>
      </c>
      <c r="G20" s="17">
        <v>0.25</v>
      </c>
      <c r="H20" s="17">
        <v>0.6</v>
      </c>
      <c r="I20" s="17">
        <v>0.95</v>
      </c>
      <c r="J20" s="19">
        <v>0</v>
      </c>
      <c r="K20" s="17">
        <f t="shared" si="0"/>
        <v>-0.25</v>
      </c>
      <c r="L20" s="14" t="s">
        <v>772</v>
      </c>
      <c r="M20" s="14" t="s">
        <v>764</v>
      </c>
      <c r="N20" s="14" t="s">
        <v>758</v>
      </c>
    </row>
    <row r="21" spans="1:14" ht="33" customHeight="1">
      <c r="A21" s="14">
        <v>11</v>
      </c>
      <c r="B21" s="14" t="s">
        <v>773</v>
      </c>
      <c r="C21" s="14" t="s">
        <v>755</v>
      </c>
      <c r="D21" s="17">
        <v>0</v>
      </c>
      <c r="E21" s="17" t="s">
        <v>761</v>
      </c>
      <c r="F21" s="17">
        <v>0.1</v>
      </c>
      <c r="G21" s="17">
        <v>0.25</v>
      </c>
      <c r="H21" s="17">
        <v>0.6</v>
      </c>
      <c r="I21" s="17">
        <v>0.95</v>
      </c>
      <c r="J21" s="19">
        <v>0</v>
      </c>
      <c r="K21" s="17">
        <f t="shared" si="0"/>
        <v>-0.25</v>
      </c>
      <c r="L21" s="14" t="s">
        <v>87</v>
      </c>
      <c r="M21" s="14" t="s">
        <v>764</v>
      </c>
      <c r="N21" s="14" t="s">
        <v>758</v>
      </c>
    </row>
    <row r="22" spans="1:14" ht="33" customHeight="1">
      <c r="A22" s="14">
        <v>12</v>
      </c>
      <c r="B22" s="14" t="s">
        <v>774</v>
      </c>
      <c r="C22" s="14" t="s">
        <v>760</v>
      </c>
      <c r="D22" s="15">
        <v>385</v>
      </c>
      <c r="E22" s="15" t="s">
        <v>775</v>
      </c>
      <c r="F22" s="15">
        <v>200</v>
      </c>
      <c r="G22" s="15">
        <v>0</v>
      </c>
      <c r="H22" s="15">
        <v>0</v>
      </c>
      <c r="I22" s="15">
        <v>0</v>
      </c>
      <c r="J22" s="18">
        <v>385</v>
      </c>
      <c r="K22" s="15">
        <f t="shared" si="0"/>
        <v>-385</v>
      </c>
      <c r="L22" s="14" t="s">
        <v>776</v>
      </c>
      <c r="M22" s="14" t="s">
        <v>777</v>
      </c>
      <c r="N22" s="14" t="s">
        <v>778</v>
      </c>
    </row>
    <row r="23" spans="1:14" ht="33" customHeight="1">
      <c r="A23" s="14">
        <v>13</v>
      </c>
      <c r="B23" s="14" t="s">
        <v>779</v>
      </c>
      <c r="C23" s="14" t="s">
        <v>755</v>
      </c>
      <c r="D23" s="17">
        <v>0.45210727969348657</v>
      </c>
      <c r="E23" s="17" t="s">
        <v>761</v>
      </c>
      <c r="F23" s="17">
        <v>0.5</v>
      </c>
      <c r="G23" s="17">
        <v>0.55000000000000004</v>
      </c>
      <c r="H23" s="17">
        <v>0.65</v>
      </c>
      <c r="I23" s="17">
        <v>0.7</v>
      </c>
      <c r="J23" s="19">
        <v>0.45210727969348657</v>
      </c>
      <c r="K23" s="17">
        <f t="shared" si="0"/>
        <v>-9.789272030651347E-2</v>
      </c>
      <c r="L23" s="14" t="s">
        <v>87</v>
      </c>
      <c r="M23" s="14" t="s">
        <v>764</v>
      </c>
      <c r="N23" s="14" t="s">
        <v>758</v>
      </c>
    </row>
    <row r="24" spans="1:14" ht="33" customHeight="1">
      <c r="A24" s="14">
        <v>14</v>
      </c>
      <c r="B24" s="14" t="s">
        <v>780</v>
      </c>
      <c r="C24" s="14" t="s">
        <v>755</v>
      </c>
      <c r="D24" s="17">
        <v>0.34674329501915707</v>
      </c>
      <c r="E24" s="17" t="s">
        <v>761</v>
      </c>
      <c r="F24" s="17">
        <v>0.45</v>
      </c>
      <c r="G24" s="17">
        <v>0.55000000000000004</v>
      </c>
      <c r="H24" s="17">
        <v>0.65</v>
      </c>
      <c r="I24" s="17">
        <v>0.75</v>
      </c>
      <c r="J24" s="19">
        <v>0.34674329501915707</v>
      </c>
      <c r="K24" s="17">
        <f t="shared" si="0"/>
        <v>-0.20325670498084297</v>
      </c>
      <c r="L24" s="14" t="s">
        <v>781</v>
      </c>
      <c r="M24" s="14" t="s">
        <v>764</v>
      </c>
      <c r="N24" s="14" t="s">
        <v>758</v>
      </c>
    </row>
    <row r="25" spans="1:14" ht="33" customHeight="1">
      <c r="A25" s="14">
        <v>15</v>
      </c>
      <c r="B25" s="14" t="s">
        <v>782</v>
      </c>
      <c r="C25" s="14" t="s">
        <v>755</v>
      </c>
      <c r="D25" s="15">
        <v>0</v>
      </c>
      <c r="E25" s="15" t="s">
        <v>783</v>
      </c>
      <c r="F25" s="15">
        <v>1</v>
      </c>
      <c r="G25" s="15">
        <v>1</v>
      </c>
      <c r="H25" s="15">
        <v>1</v>
      </c>
      <c r="I25" s="15">
        <v>1</v>
      </c>
      <c r="J25" s="18">
        <v>0</v>
      </c>
      <c r="K25" s="15">
        <f t="shared" si="0"/>
        <v>-1</v>
      </c>
      <c r="L25" s="14" t="s">
        <v>784</v>
      </c>
      <c r="M25" s="14" t="s">
        <v>785</v>
      </c>
      <c r="N25" s="14" t="s">
        <v>786</v>
      </c>
    </row>
    <row r="26" spans="1:14" ht="33" customHeight="1">
      <c r="A26" s="14">
        <v>16</v>
      </c>
      <c r="B26" s="14" t="s">
        <v>787</v>
      </c>
      <c r="C26" s="14" t="s">
        <v>755</v>
      </c>
      <c r="D26" s="15">
        <v>0</v>
      </c>
      <c r="E26" s="15" t="s">
        <v>783</v>
      </c>
      <c r="F26" s="15">
        <v>1</v>
      </c>
      <c r="G26" s="15">
        <v>1</v>
      </c>
      <c r="H26" s="15">
        <v>1</v>
      </c>
      <c r="I26" s="15">
        <v>1</v>
      </c>
      <c r="J26" s="18">
        <v>0</v>
      </c>
      <c r="K26" s="15">
        <f t="shared" si="0"/>
        <v>-1</v>
      </c>
      <c r="L26" s="14" t="s">
        <v>788</v>
      </c>
      <c r="M26" s="14" t="s">
        <v>789</v>
      </c>
      <c r="N26" s="14" t="s">
        <v>758</v>
      </c>
    </row>
    <row r="27" spans="1:14" ht="33" customHeight="1">
      <c r="A27" s="14">
        <v>17</v>
      </c>
      <c r="B27" s="14" t="s">
        <v>790</v>
      </c>
      <c r="C27" s="14" t="s">
        <v>755</v>
      </c>
      <c r="D27" s="17">
        <v>0</v>
      </c>
      <c r="E27" s="17" t="s">
        <v>761</v>
      </c>
      <c r="F27" s="17">
        <v>0.8</v>
      </c>
      <c r="G27" s="17">
        <v>1</v>
      </c>
      <c r="H27" s="17">
        <v>1</v>
      </c>
      <c r="I27" s="17">
        <v>1</v>
      </c>
      <c r="J27" s="19">
        <v>0</v>
      </c>
      <c r="K27" s="17">
        <f t="shared" si="0"/>
        <v>-1</v>
      </c>
      <c r="L27" s="14" t="s">
        <v>733</v>
      </c>
      <c r="M27" s="14" t="s">
        <v>791</v>
      </c>
      <c r="N27" s="14" t="s">
        <v>792</v>
      </c>
    </row>
    <row r="28" spans="1:14" ht="33" customHeight="1">
      <c r="A28" s="14">
        <v>18</v>
      </c>
      <c r="B28" s="14" t="s">
        <v>793</v>
      </c>
      <c r="C28" s="14" t="s">
        <v>755</v>
      </c>
      <c r="D28" s="15">
        <v>0</v>
      </c>
      <c r="E28" s="15" t="s">
        <v>783</v>
      </c>
      <c r="F28" s="15">
        <v>1</v>
      </c>
      <c r="G28" s="15">
        <v>1</v>
      </c>
      <c r="H28" s="15">
        <v>1</v>
      </c>
      <c r="I28" s="15">
        <v>1</v>
      </c>
      <c r="J28" s="18">
        <v>0</v>
      </c>
      <c r="K28" s="15">
        <f t="shared" si="0"/>
        <v>-1</v>
      </c>
      <c r="L28" s="14" t="s">
        <v>91</v>
      </c>
      <c r="M28" s="14" t="s">
        <v>794</v>
      </c>
      <c r="N28" s="14" t="s">
        <v>758</v>
      </c>
    </row>
    <row r="29" spans="1:14" ht="33" customHeight="1">
      <c r="A29" s="14">
        <v>19</v>
      </c>
      <c r="B29" s="14" t="s">
        <v>795</v>
      </c>
      <c r="C29" s="14" t="s">
        <v>755</v>
      </c>
      <c r="D29" s="15">
        <v>0</v>
      </c>
      <c r="E29" s="15" t="s">
        <v>783</v>
      </c>
      <c r="F29" s="15">
        <v>1</v>
      </c>
      <c r="G29" s="15">
        <v>1</v>
      </c>
      <c r="H29" s="15">
        <v>1</v>
      </c>
      <c r="I29" s="15">
        <v>1</v>
      </c>
      <c r="J29" s="18">
        <v>0</v>
      </c>
      <c r="K29" s="15">
        <f t="shared" si="0"/>
        <v>-1</v>
      </c>
      <c r="L29" s="14" t="s">
        <v>84</v>
      </c>
      <c r="M29" s="14" t="s">
        <v>796</v>
      </c>
      <c r="N29" s="14" t="s">
        <v>797</v>
      </c>
    </row>
    <row r="30" spans="1:14" ht="33" customHeight="1">
      <c r="A30" s="14">
        <v>20</v>
      </c>
      <c r="B30" s="14" t="s">
        <v>798</v>
      </c>
      <c r="C30" s="14" t="s">
        <v>755</v>
      </c>
      <c r="D30" s="15">
        <v>0</v>
      </c>
      <c r="E30" s="15" t="s">
        <v>775</v>
      </c>
      <c r="F30" s="15">
        <v>4</v>
      </c>
      <c r="G30" s="15">
        <v>12</v>
      </c>
      <c r="H30" s="15">
        <v>30</v>
      </c>
      <c r="I30" s="15">
        <v>55</v>
      </c>
      <c r="J30" s="18">
        <v>0</v>
      </c>
      <c r="K30" s="15">
        <f t="shared" si="0"/>
        <v>-12</v>
      </c>
      <c r="L30" s="14" t="s">
        <v>198</v>
      </c>
      <c r="M30" s="14" t="s">
        <v>799</v>
      </c>
      <c r="N30" s="14" t="s">
        <v>758</v>
      </c>
    </row>
    <row r="31" spans="1:14">
      <c r="A31" s="11"/>
      <c r="B31" s="11"/>
      <c r="C31" s="11"/>
      <c r="D31" s="11"/>
      <c r="E31" s="11"/>
      <c r="F31" s="11"/>
      <c r="G31" s="11"/>
      <c r="H31" s="11"/>
      <c r="I31" s="11"/>
      <c r="J31" s="11"/>
      <c r="K31" s="11"/>
      <c r="L31" s="11"/>
      <c r="M31" s="11"/>
      <c r="N31" s="11"/>
    </row>
    <row r="32" spans="1:14">
      <c r="A32" s="11"/>
      <c r="B32" s="11"/>
      <c r="C32" s="11"/>
      <c r="D32" s="11"/>
      <c r="E32" s="11"/>
      <c r="F32" s="11"/>
      <c r="G32" s="11"/>
      <c r="H32" s="11"/>
      <c r="I32" s="11"/>
      <c r="J32" s="11"/>
      <c r="K32" s="11"/>
      <c r="L32" s="11"/>
      <c r="M32" s="11"/>
      <c r="N32" s="11"/>
    </row>
    <row r="33" spans="1:14">
      <c r="A33" s="152" t="s">
        <v>800</v>
      </c>
      <c r="B33" s="152" t="s">
        <v>800</v>
      </c>
      <c r="C33" s="152" t="s">
        <v>800</v>
      </c>
      <c r="D33" s="152" t="s">
        <v>800</v>
      </c>
      <c r="E33" s="152" t="s">
        <v>800</v>
      </c>
      <c r="F33" s="152" t="s">
        <v>800</v>
      </c>
      <c r="G33" s="152" t="s">
        <v>800</v>
      </c>
      <c r="H33" s="152" t="s">
        <v>800</v>
      </c>
      <c r="I33" s="152" t="s">
        <v>800</v>
      </c>
      <c r="J33" s="152" t="s">
        <v>800</v>
      </c>
      <c r="K33" s="152" t="s">
        <v>800</v>
      </c>
      <c r="L33" s="152" t="s">
        <v>800</v>
      </c>
      <c r="M33" s="152" t="s">
        <v>800</v>
      </c>
      <c r="N33" s="152" t="s">
        <v>800</v>
      </c>
    </row>
    <row r="34" spans="1:14">
      <c r="A34" s="225" t="s">
        <v>801</v>
      </c>
      <c r="B34" s="226"/>
      <c r="C34" s="225" t="s">
        <v>802</v>
      </c>
      <c r="D34" s="227"/>
      <c r="E34" s="226"/>
      <c r="F34" s="225" t="s">
        <v>803</v>
      </c>
      <c r="G34" s="226"/>
      <c r="H34" s="225" t="s">
        <v>804</v>
      </c>
      <c r="I34" s="226"/>
      <c r="J34" s="225" t="s">
        <v>805</v>
      </c>
      <c r="K34" s="227"/>
      <c r="L34" s="226"/>
      <c r="M34" s="225" t="s">
        <v>806</v>
      </c>
      <c r="N34" s="226"/>
    </row>
    <row r="35" spans="1:14" ht="54" customHeight="1">
      <c r="A35" s="228" t="s">
        <v>807</v>
      </c>
      <c r="B35" s="229"/>
      <c r="C35" s="228" t="s">
        <v>808</v>
      </c>
      <c r="D35" s="230"/>
      <c r="E35" s="229"/>
      <c r="F35" s="228" t="s">
        <v>809</v>
      </c>
      <c r="G35" s="229"/>
      <c r="H35" s="228" t="s">
        <v>810</v>
      </c>
      <c r="I35" s="229"/>
      <c r="J35" s="228" t="s">
        <v>811</v>
      </c>
      <c r="K35" s="230"/>
      <c r="L35" s="229"/>
      <c r="M35" s="228" t="s">
        <v>812</v>
      </c>
      <c r="N35" s="229"/>
    </row>
    <row r="36" spans="1:14" ht="54" customHeight="1">
      <c r="A36" s="231" t="s">
        <v>813</v>
      </c>
      <c r="B36" s="232"/>
      <c r="C36" s="231" t="s">
        <v>814</v>
      </c>
      <c r="D36" s="233"/>
      <c r="E36" s="232"/>
      <c r="F36" s="231" t="s">
        <v>815</v>
      </c>
      <c r="G36" s="232"/>
      <c r="H36" s="231" t="s">
        <v>816</v>
      </c>
      <c r="I36" s="232"/>
      <c r="J36" s="231" t="s">
        <v>817</v>
      </c>
      <c r="K36" s="233"/>
      <c r="L36" s="232"/>
      <c r="M36" s="231" t="s">
        <v>818</v>
      </c>
      <c r="N36" s="232"/>
    </row>
    <row r="37" spans="1:14" ht="54" customHeight="1">
      <c r="A37" s="228" t="s">
        <v>819</v>
      </c>
      <c r="B37" s="229"/>
      <c r="C37" s="228" t="s">
        <v>820</v>
      </c>
      <c r="D37" s="230"/>
      <c r="E37" s="229"/>
      <c r="F37" s="228" t="s">
        <v>815</v>
      </c>
      <c r="G37" s="229"/>
      <c r="H37" s="228" t="s">
        <v>821</v>
      </c>
      <c r="I37" s="229"/>
      <c r="J37" s="228" t="s">
        <v>822</v>
      </c>
      <c r="K37" s="230"/>
      <c r="L37" s="229"/>
      <c r="M37" s="228" t="s">
        <v>823</v>
      </c>
      <c r="N37" s="229"/>
    </row>
    <row r="38" spans="1:14" ht="54" customHeight="1">
      <c r="A38" s="231" t="s">
        <v>824</v>
      </c>
      <c r="B38" s="232"/>
      <c r="C38" s="231" t="s">
        <v>825</v>
      </c>
      <c r="D38" s="233"/>
      <c r="E38" s="232"/>
      <c r="F38" s="231" t="s">
        <v>826</v>
      </c>
      <c r="G38" s="232"/>
      <c r="H38" s="231" t="s">
        <v>827</v>
      </c>
      <c r="I38" s="232"/>
      <c r="J38" s="231" t="s">
        <v>828</v>
      </c>
      <c r="K38" s="233"/>
      <c r="L38" s="232"/>
      <c r="M38" s="231" t="s">
        <v>829</v>
      </c>
      <c r="N38" s="232"/>
    </row>
    <row r="39" spans="1:14" ht="54" customHeight="1">
      <c r="A39" s="228" t="s">
        <v>830</v>
      </c>
      <c r="B39" s="229"/>
      <c r="C39" s="228" t="s">
        <v>831</v>
      </c>
      <c r="D39" s="230"/>
      <c r="E39" s="229"/>
      <c r="F39" s="228" t="s">
        <v>832</v>
      </c>
      <c r="G39" s="229"/>
      <c r="H39" s="228" t="s">
        <v>833</v>
      </c>
      <c r="I39" s="229"/>
      <c r="J39" s="228" t="s">
        <v>834</v>
      </c>
      <c r="K39" s="230"/>
      <c r="L39" s="229"/>
      <c r="M39" s="228" t="s">
        <v>835</v>
      </c>
      <c r="N39" s="229"/>
    </row>
    <row r="40" spans="1:14" ht="54" customHeight="1">
      <c r="A40" s="231" t="s">
        <v>836</v>
      </c>
      <c r="B40" s="232"/>
      <c r="C40" s="231" t="s">
        <v>837</v>
      </c>
      <c r="D40" s="233"/>
      <c r="E40" s="232"/>
      <c r="F40" s="231" t="s">
        <v>838</v>
      </c>
      <c r="G40" s="232"/>
      <c r="H40" s="231" t="s">
        <v>839</v>
      </c>
      <c r="I40" s="232"/>
      <c r="J40" s="231" t="s">
        <v>840</v>
      </c>
      <c r="K40" s="233"/>
      <c r="L40" s="232"/>
      <c r="M40" s="231" t="s">
        <v>841</v>
      </c>
      <c r="N40" s="232"/>
    </row>
    <row r="41" spans="1:14">
      <c r="A41" s="11"/>
      <c r="B41" s="11"/>
      <c r="C41" s="11"/>
      <c r="D41" s="11"/>
      <c r="E41" s="11"/>
      <c r="F41" s="11"/>
      <c r="G41" s="11"/>
      <c r="H41" s="11"/>
      <c r="I41" s="11"/>
      <c r="J41" s="11"/>
      <c r="K41" s="11"/>
      <c r="L41" s="11"/>
      <c r="M41" s="11"/>
      <c r="N41" s="11"/>
    </row>
    <row r="42" spans="1:14">
      <c r="A42" s="11"/>
      <c r="B42" s="11"/>
      <c r="C42" s="11"/>
      <c r="D42" s="11"/>
      <c r="E42" s="11"/>
      <c r="F42" s="11"/>
      <c r="G42" s="11"/>
      <c r="H42" s="11"/>
      <c r="I42" s="11"/>
      <c r="J42" s="11"/>
      <c r="K42" s="11"/>
      <c r="L42" s="11"/>
      <c r="M42" s="11"/>
      <c r="N42" s="11"/>
    </row>
    <row r="43" spans="1:14">
      <c r="A43" s="152" t="s">
        <v>842</v>
      </c>
      <c r="B43" s="152" t="s">
        <v>842</v>
      </c>
      <c r="C43" s="152" t="s">
        <v>842</v>
      </c>
      <c r="D43" s="152" t="s">
        <v>842</v>
      </c>
      <c r="E43" s="152" t="s">
        <v>842</v>
      </c>
      <c r="F43" s="152" t="s">
        <v>842</v>
      </c>
      <c r="G43" s="152" t="s">
        <v>842</v>
      </c>
      <c r="H43" s="152" t="s">
        <v>842</v>
      </c>
      <c r="I43" s="152" t="s">
        <v>842</v>
      </c>
      <c r="J43" s="152" t="s">
        <v>842</v>
      </c>
      <c r="K43" s="152" t="s">
        <v>842</v>
      </c>
      <c r="L43" s="152" t="s">
        <v>842</v>
      </c>
      <c r="M43" s="152" t="s">
        <v>842</v>
      </c>
      <c r="N43" s="152" t="s">
        <v>842</v>
      </c>
    </row>
    <row r="44" spans="1:14">
      <c r="A44" s="225" t="s">
        <v>843</v>
      </c>
      <c r="B44" s="226"/>
      <c r="C44" s="225" t="s">
        <v>84</v>
      </c>
      <c r="D44" s="226"/>
      <c r="E44" s="225" t="s">
        <v>87</v>
      </c>
      <c r="F44" s="226"/>
      <c r="G44" s="225" t="s">
        <v>28</v>
      </c>
      <c r="H44" s="226"/>
      <c r="I44" s="225" t="s">
        <v>521</v>
      </c>
      <c r="J44" s="226"/>
      <c r="K44" s="225" t="s">
        <v>844</v>
      </c>
      <c r="L44" s="226"/>
      <c r="M44" s="225" t="s">
        <v>106</v>
      </c>
      <c r="N44" s="226"/>
    </row>
    <row r="45" spans="1:14" ht="22.5" customHeight="1">
      <c r="A45" s="234" t="s">
        <v>845</v>
      </c>
      <c r="B45" s="235"/>
      <c r="C45" s="236" t="s">
        <v>846</v>
      </c>
      <c r="D45" s="237"/>
      <c r="E45" s="236" t="s">
        <v>847</v>
      </c>
      <c r="F45" s="237"/>
      <c r="G45" s="236" t="s">
        <v>848</v>
      </c>
      <c r="H45" s="237"/>
      <c r="I45" s="236" t="s">
        <v>848</v>
      </c>
      <c r="J45" s="237"/>
      <c r="K45" s="236" t="s">
        <v>848</v>
      </c>
      <c r="L45" s="237"/>
      <c r="M45" s="236" t="s">
        <v>848</v>
      </c>
      <c r="N45" s="237"/>
    </row>
    <row r="46" spans="1:14" ht="22.5" customHeight="1">
      <c r="A46" s="238" t="s">
        <v>849</v>
      </c>
      <c r="B46" s="239"/>
      <c r="C46" s="240" t="s">
        <v>850</v>
      </c>
      <c r="D46" s="241"/>
      <c r="E46" s="240" t="s">
        <v>851</v>
      </c>
      <c r="F46" s="241"/>
      <c r="G46" s="240" t="s">
        <v>848</v>
      </c>
      <c r="H46" s="241"/>
      <c r="I46" s="240" t="s">
        <v>848</v>
      </c>
      <c r="J46" s="241"/>
      <c r="K46" s="240" t="s">
        <v>850</v>
      </c>
      <c r="L46" s="241"/>
      <c r="M46" s="240" t="s">
        <v>850</v>
      </c>
      <c r="N46" s="241"/>
    </row>
    <row r="47" spans="1:14" ht="22.5" customHeight="1">
      <c r="A47" s="234" t="s">
        <v>852</v>
      </c>
      <c r="B47" s="235"/>
      <c r="C47" s="236" t="s">
        <v>850</v>
      </c>
      <c r="D47" s="237"/>
      <c r="E47" s="236" t="s">
        <v>846</v>
      </c>
      <c r="F47" s="237"/>
      <c r="G47" s="236" t="s">
        <v>847</v>
      </c>
      <c r="H47" s="237"/>
      <c r="I47" s="236" t="s">
        <v>848</v>
      </c>
      <c r="J47" s="237"/>
      <c r="K47" s="236" t="s">
        <v>850</v>
      </c>
      <c r="L47" s="237"/>
      <c r="M47" s="236" t="s">
        <v>850</v>
      </c>
      <c r="N47" s="237"/>
    </row>
    <row r="48" spans="1:14" ht="22.5" customHeight="1">
      <c r="A48" s="238" t="s">
        <v>853</v>
      </c>
      <c r="B48" s="239"/>
      <c r="C48" s="240" t="s">
        <v>850</v>
      </c>
      <c r="D48" s="241"/>
      <c r="E48" s="240" t="s">
        <v>846</v>
      </c>
      <c r="F48" s="241"/>
      <c r="G48" s="240" t="s">
        <v>848</v>
      </c>
      <c r="H48" s="241"/>
      <c r="I48" s="240" t="s">
        <v>847</v>
      </c>
      <c r="J48" s="241"/>
      <c r="K48" s="240" t="s">
        <v>850</v>
      </c>
      <c r="L48" s="241"/>
      <c r="M48" s="240" t="s">
        <v>850</v>
      </c>
      <c r="N48" s="241"/>
    </row>
    <row r="49" spans="1:14" ht="22.5" customHeight="1">
      <c r="A49" s="234" t="s">
        <v>854</v>
      </c>
      <c r="B49" s="235"/>
      <c r="C49" s="236" t="s">
        <v>850</v>
      </c>
      <c r="D49" s="237"/>
      <c r="E49" s="236" t="s">
        <v>846</v>
      </c>
      <c r="F49" s="237"/>
      <c r="G49" s="236" t="s">
        <v>848</v>
      </c>
      <c r="H49" s="237"/>
      <c r="I49" s="236" t="s">
        <v>848</v>
      </c>
      <c r="J49" s="237"/>
      <c r="K49" s="236" t="s">
        <v>847</v>
      </c>
      <c r="L49" s="237"/>
      <c r="M49" s="236" t="s">
        <v>848</v>
      </c>
      <c r="N49" s="237"/>
    </row>
    <row r="50" spans="1:14" ht="22.5" customHeight="1">
      <c r="A50" s="238" t="s">
        <v>855</v>
      </c>
      <c r="B50" s="239"/>
      <c r="C50" s="240" t="s">
        <v>850</v>
      </c>
      <c r="D50" s="241"/>
      <c r="E50" s="240" t="s">
        <v>851</v>
      </c>
      <c r="F50" s="241"/>
      <c r="G50" s="240" t="s">
        <v>848</v>
      </c>
      <c r="H50" s="241"/>
      <c r="I50" s="240" t="s">
        <v>848</v>
      </c>
      <c r="J50" s="241"/>
      <c r="K50" s="240" t="s">
        <v>847</v>
      </c>
      <c r="L50" s="241"/>
      <c r="M50" s="240" t="s">
        <v>848</v>
      </c>
      <c r="N50" s="241"/>
    </row>
    <row r="51" spans="1:14" ht="22.5" customHeight="1">
      <c r="A51" s="234" t="s">
        <v>856</v>
      </c>
      <c r="B51" s="235"/>
      <c r="C51" s="236" t="s">
        <v>850</v>
      </c>
      <c r="D51" s="237"/>
      <c r="E51" s="236" t="s">
        <v>846</v>
      </c>
      <c r="F51" s="237"/>
      <c r="G51" s="236" t="s">
        <v>848</v>
      </c>
      <c r="H51" s="237"/>
      <c r="I51" s="236" t="s">
        <v>850</v>
      </c>
      <c r="J51" s="237"/>
      <c r="K51" s="236" t="s">
        <v>848</v>
      </c>
      <c r="L51" s="237"/>
      <c r="M51" s="236" t="s">
        <v>847</v>
      </c>
      <c r="N51" s="237"/>
    </row>
    <row r="52" spans="1:14" ht="22.5" customHeight="1">
      <c r="A52" s="238" t="s">
        <v>857</v>
      </c>
      <c r="B52" s="239"/>
      <c r="C52" s="240" t="s">
        <v>846</v>
      </c>
      <c r="D52" s="241"/>
      <c r="E52" s="240" t="s">
        <v>847</v>
      </c>
      <c r="F52" s="241"/>
      <c r="G52" s="240" t="s">
        <v>848</v>
      </c>
      <c r="H52" s="241"/>
      <c r="I52" s="240" t="s">
        <v>848</v>
      </c>
      <c r="J52" s="241"/>
      <c r="K52" s="240" t="s">
        <v>848</v>
      </c>
      <c r="L52" s="241"/>
      <c r="M52" s="240" t="s">
        <v>847</v>
      </c>
      <c r="N52" s="241"/>
    </row>
    <row r="53" spans="1:14">
      <c r="A53" s="11"/>
      <c r="B53" s="11"/>
      <c r="C53" s="11"/>
      <c r="D53" s="11"/>
      <c r="E53" s="11"/>
      <c r="F53" s="11"/>
      <c r="G53" s="11"/>
      <c r="H53" s="11"/>
      <c r="I53" s="11"/>
      <c r="J53" s="11"/>
      <c r="K53" s="11"/>
      <c r="L53" s="11"/>
      <c r="M53" s="11"/>
      <c r="N53" s="11"/>
    </row>
    <row r="54" spans="1:14">
      <c r="A54" s="11"/>
      <c r="B54" s="11"/>
      <c r="C54" s="11"/>
      <c r="D54" s="11"/>
      <c r="E54" s="11"/>
      <c r="F54" s="11"/>
      <c r="G54" s="11"/>
      <c r="H54" s="11"/>
      <c r="I54" s="11"/>
      <c r="J54" s="11"/>
      <c r="K54" s="11"/>
      <c r="L54" s="11"/>
      <c r="M54" s="11"/>
      <c r="N54" s="11"/>
    </row>
    <row r="55" spans="1:14">
      <c r="A55" s="152" t="s">
        <v>858</v>
      </c>
      <c r="B55" s="152" t="s">
        <v>858</v>
      </c>
      <c r="C55" s="152" t="s">
        <v>858</v>
      </c>
      <c r="D55" s="152" t="s">
        <v>858</v>
      </c>
      <c r="E55" s="152" t="s">
        <v>858</v>
      </c>
      <c r="F55" s="152" t="s">
        <v>858</v>
      </c>
      <c r="G55" s="152" t="s">
        <v>858</v>
      </c>
      <c r="H55" s="152" t="s">
        <v>858</v>
      </c>
      <c r="I55" s="152" t="s">
        <v>858</v>
      </c>
      <c r="J55" s="152" t="s">
        <v>858</v>
      </c>
      <c r="K55" s="152" t="s">
        <v>858</v>
      </c>
      <c r="L55" s="152" t="s">
        <v>858</v>
      </c>
      <c r="M55" s="152" t="s">
        <v>858</v>
      </c>
      <c r="N55" s="152" t="s">
        <v>858</v>
      </c>
    </row>
    <row r="56" spans="1:14">
      <c r="A56" s="153" t="s">
        <v>859</v>
      </c>
      <c r="B56" s="154"/>
      <c r="C56" s="154"/>
      <c r="D56" s="154"/>
      <c r="E56" s="154"/>
      <c r="F56" s="154"/>
      <c r="G56" s="154"/>
      <c r="H56" s="154"/>
      <c r="I56" s="154"/>
      <c r="J56" s="154"/>
      <c r="K56" s="154"/>
      <c r="L56" s="154"/>
      <c r="M56" s="154"/>
      <c r="N56" s="155"/>
    </row>
    <row r="57" spans="1:14">
      <c r="A57" s="156"/>
      <c r="B57" s="157"/>
      <c r="C57" s="157"/>
      <c r="D57" s="157"/>
      <c r="E57" s="157"/>
      <c r="F57" s="157"/>
      <c r="G57" s="157"/>
      <c r="H57" s="157"/>
      <c r="I57" s="157"/>
      <c r="J57" s="157"/>
      <c r="K57" s="157"/>
      <c r="L57" s="157"/>
      <c r="M57" s="157"/>
      <c r="N57" s="158"/>
    </row>
    <row r="58" spans="1:14">
      <c r="A58" s="156"/>
      <c r="B58" s="157"/>
      <c r="C58" s="157"/>
      <c r="D58" s="157"/>
      <c r="E58" s="157"/>
      <c r="F58" s="157"/>
      <c r="G58" s="157"/>
      <c r="H58" s="157"/>
      <c r="I58" s="157"/>
      <c r="J58" s="157"/>
      <c r="K58" s="157"/>
      <c r="L58" s="157"/>
      <c r="M58" s="157"/>
      <c r="N58" s="158"/>
    </row>
    <row r="59" spans="1:14">
      <c r="A59" s="159"/>
      <c r="B59" s="160"/>
      <c r="C59" s="160"/>
      <c r="D59" s="160"/>
      <c r="E59" s="160"/>
      <c r="F59" s="160"/>
      <c r="G59" s="160"/>
      <c r="H59" s="160"/>
      <c r="I59" s="160"/>
      <c r="J59" s="160"/>
      <c r="K59" s="160"/>
      <c r="L59" s="160"/>
      <c r="M59" s="160"/>
      <c r="N59" s="161"/>
    </row>
  </sheetData>
  <mergeCells count="119">
    <mergeCell ref="A55:N55"/>
    <mergeCell ref="A56:N59"/>
    <mergeCell ref="K51:L51"/>
    <mergeCell ref="M51:N51"/>
    <mergeCell ref="A52:B52"/>
    <mergeCell ref="C52:D52"/>
    <mergeCell ref="E52:F52"/>
    <mergeCell ref="G52:H52"/>
    <mergeCell ref="I52:J52"/>
    <mergeCell ref="K52:L52"/>
    <mergeCell ref="M52:N52"/>
    <mergeCell ref="A51:B51"/>
    <mergeCell ref="C51:D51"/>
    <mergeCell ref="E51:F51"/>
    <mergeCell ref="G51:H51"/>
    <mergeCell ref="I51:J51"/>
    <mergeCell ref="K49:L49"/>
    <mergeCell ref="M49:N49"/>
    <mergeCell ref="A50:B50"/>
    <mergeCell ref="C50:D50"/>
    <mergeCell ref="E50:F50"/>
    <mergeCell ref="G50:H50"/>
    <mergeCell ref="I50:J50"/>
    <mergeCell ref="K50:L50"/>
    <mergeCell ref="M50:N50"/>
    <mergeCell ref="A49:B49"/>
    <mergeCell ref="C49:D49"/>
    <mergeCell ref="E49:F49"/>
    <mergeCell ref="G49:H49"/>
    <mergeCell ref="I49:J49"/>
    <mergeCell ref="K47:L47"/>
    <mergeCell ref="M47:N47"/>
    <mergeCell ref="A48:B48"/>
    <mergeCell ref="C48:D48"/>
    <mergeCell ref="E48:F48"/>
    <mergeCell ref="G48:H48"/>
    <mergeCell ref="I48:J48"/>
    <mergeCell ref="K48:L48"/>
    <mergeCell ref="M48:N48"/>
    <mergeCell ref="A47:B47"/>
    <mergeCell ref="C47:D47"/>
    <mergeCell ref="E47:F47"/>
    <mergeCell ref="G47:H47"/>
    <mergeCell ref="I47:J47"/>
    <mergeCell ref="K45:L45"/>
    <mergeCell ref="M45:N45"/>
    <mergeCell ref="A46:B46"/>
    <mergeCell ref="C46:D46"/>
    <mergeCell ref="E46:F46"/>
    <mergeCell ref="G46:H46"/>
    <mergeCell ref="I46:J46"/>
    <mergeCell ref="K46:L46"/>
    <mergeCell ref="M46:N46"/>
    <mergeCell ref="A45:B45"/>
    <mergeCell ref="C45:D45"/>
    <mergeCell ref="E45:F45"/>
    <mergeCell ref="G45:H45"/>
    <mergeCell ref="I45:J45"/>
    <mergeCell ref="A43:N43"/>
    <mergeCell ref="A44:B44"/>
    <mergeCell ref="C44:D44"/>
    <mergeCell ref="E44:F44"/>
    <mergeCell ref="G44:H44"/>
    <mergeCell ref="I44:J44"/>
    <mergeCell ref="K44:L44"/>
    <mergeCell ref="M44:N44"/>
    <mergeCell ref="M39:N39"/>
    <mergeCell ref="A40:B40"/>
    <mergeCell ref="C40:E40"/>
    <mergeCell ref="F40:G40"/>
    <mergeCell ref="H40:I40"/>
    <mergeCell ref="J40:L40"/>
    <mergeCell ref="M40:N40"/>
    <mergeCell ref="A39:B39"/>
    <mergeCell ref="C39:E39"/>
    <mergeCell ref="F39:G39"/>
    <mergeCell ref="H39:I39"/>
    <mergeCell ref="J39:L39"/>
    <mergeCell ref="M37:N37"/>
    <mergeCell ref="A38:B38"/>
    <mergeCell ref="C38:E38"/>
    <mergeCell ref="F38:G38"/>
    <mergeCell ref="H38:I38"/>
    <mergeCell ref="J38:L38"/>
    <mergeCell ref="M38:N38"/>
    <mergeCell ref="A37:B37"/>
    <mergeCell ref="C37:E37"/>
    <mergeCell ref="F37:G37"/>
    <mergeCell ref="H37:I37"/>
    <mergeCell ref="J37:L37"/>
    <mergeCell ref="M35:N35"/>
    <mergeCell ref="A36:B36"/>
    <mergeCell ref="C36:E36"/>
    <mergeCell ref="F36:G36"/>
    <mergeCell ref="H36:I36"/>
    <mergeCell ref="J36:L36"/>
    <mergeCell ref="M36:N36"/>
    <mergeCell ref="A35:B35"/>
    <mergeCell ref="C35:E35"/>
    <mergeCell ref="F35:G35"/>
    <mergeCell ref="H35:I35"/>
    <mergeCell ref="J35:L35"/>
    <mergeCell ref="A33:N33"/>
    <mergeCell ref="A34:B34"/>
    <mergeCell ref="C34:E34"/>
    <mergeCell ref="F34:G34"/>
    <mergeCell ref="H34:I34"/>
    <mergeCell ref="J34:L34"/>
    <mergeCell ref="M34:N34"/>
    <mergeCell ref="A1:N1"/>
    <mergeCell ref="A2:N2"/>
    <mergeCell ref="A4:C7"/>
    <mergeCell ref="A8:C8"/>
    <mergeCell ref="E4:G7"/>
    <mergeCell ref="E8:G8"/>
    <mergeCell ref="I4:K7"/>
    <mergeCell ref="I8:K8"/>
    <mergeCell ref="M4:N7"/>
    <mergeCell ref="M8:N8"/>
  </mergeCells>
  <conditionalFormatting sqref="K11:K30">
    <cfRule type="cellIs" dxfId="9" priority="1" operator="greaterThanOrEqual">
      <formula>0</formula>
    </cfRule>
    <cfRule type="cellIs" dxfId="8" priority="2" operator="lessThan">
      <formula>0</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9"/>
  <sheetViews>
    <sheetView showGridLines="0" zoomScale="80" zoomScaleNormal="80" workbookViewId="0">
      <selection sqref="A1:T1"/>
    </sheetView>
  </sheetViews>
  <sheetFormatPr defaultRowHeight="14"/>
  <cols>
    <col min="1" max="1" width="6.08203125" customWidth="1"/>
    <col min="2" max="2" width="19.4140625" customWidth="1"/>
    <col min="3" max="3" width="14.4140625" customWidth="1"/>
    <col min="4" max="4" width="10.58203125" customWidth="1"/>
    <col min="5" max="5" width="8.9140625" customWidth="1"/>
    <col min="6" max="6" width="10" customWidth="1"/>
    <col min="7" max="7" width="10.58203125" customWidth="1"/>
    <col min="8" max="9" width="9.4140625" customWidth="1"/>
    <col min="10" max="13" width="11.08203125" customWidth="1"/>
    <col min="14" max="14" width="12.25" customWidth="1"/>
    <col min="15" max="15" width="18.9140625" customWidth="1"/>
    <col min="16" max="16" width="24.4140625" customWidth="1"/>
    <col min="17" max="17" width="10.58203125" customWidth="1"/>
    <col min="18" max="18" width="10" customWidth="1"/>
    <col min="19" max="20" width="9.4140625" customWidth="1"/>
  </cols>
  <sheetData>
    <row r="1" spans="1:20" ht="23">
      <c r="A1" s="113" t="s">
        <v>860</v>
      </c>
      <c r="B1" s="113"/>
      <c r="C1" s="113"/>
      <c r="D1" s="113"/>
      <c r="E1" s="113"/>
      <c r="F1" s="113"/>
      <c r="G1" s="113"/>
      <c r="H1" s="113"/>
      <c r="I1" s="113"/>
      <c r="J1" s="113"/>
      <c r="K1" s="113"/>
      <c r="L1" s="113"/>
      <c r="M1" s="113"/>
      <c r="N1" s="113"/>
      <c r="O1" s="113"/>
      <c r="P1" s="113"/>
      <c r="Q1" s="113"/>
      <c r="R1" s="113"/>
      <c r="S1" s="113"/>
      <c r="T1" s="113"/>
    </row>
    <row r="2" spans="1:20">
      <c r="A2" s="114" t="s">
        <v>861</v>
      </c>
      <c r="B2" s="114"/>
      <c r="C2" s="114"/>
      <c r="D2" s="114"/>
      <c r="E2" s="114"/>
      <c r="F2" s="114"/>
      <c r="G2" s="114"/>
      <c r="H2" s="114"/>
      <c r="I2" s="114"/>
      <c r="J2" s="114"/>
      <c r="K2" s="114"/>
      <c r="L2" s="114"/>
      <c r="M2" s="114"/>
      <c r="N2" s="114"/>
      <c r="O2" s="114"/>
      <c r="P2" s="114"/>
      <c r="Q2" s="114"/>
      <c r="R2" s="114"/>
      <c r="S2" s="114"/>
      <c r="T2" s="114"/>
    </row>
    <row r="3" spans="1:20">
      <c r="A3" s="11"/>
      <c r="B3" s="11"/>
      <c r="C3" s="11"/>
      <c r="D3" s="11"/>
      <c r="E3" s="11"/>
      <c r="F3" s="11"/>
      <c r="G3" s="11"/>
      <c r="H3" s="11"/>
      <c r="I3" s="11"/>
      <c r="J3" s="11"/>
      <c r="K3" s="11"/>
      <c r="L3" s="11"/>
      <c r="M3" s="11"/>
      <c r="N3" s="11"/>
      <c r="O3" s="11"/>
      <c r="P3" s="11"/>
      <c r="Q3" s="11"/>
      <c r="R3" s="11"/>
      <c r="S3" s="11"/>
      <c r="T3" s="11"/>
    </row>
    <row r="4" spans="1:20" ht="26">
      <c r="A4" s="7" t="s">
        <v>31</v>
      </c>
      <c r="B4" s="8" t="s">
        <v>6</v>
      </c>
      <c r="C4" s="8" t="s">
        <v>862</v>
      </c>
      <c r="D4" s="8" t="s">
        <v>3</v>
      </c>
      <c r="E4" s="8" t="s">
        <v>863</v>
      </c>
      <c r="F4" s="8" t="s">
        <v>864</v>
      </c>
      <c r="G4" s="8" t="s">
        <v>865</v>
      </c>
      <c r="H4" s="8" t="s">
        <v>866</v>
      </c>
      <c r="I4" s="8" t="s">
        <v>867</v>
      </c>
      <c r="J4" s="8" t="s">
        <v>868</v>
      </c>
      <c r="K4" s="8" t="s">
        <v>869</v>
      </c>
      <c r="L4" s="8" t="s">
        <v>870</v>
      </c>
      <c r="M4" s="8" t="s">
        <v>871</v>
      </c>
      <c r="N4" s="8" t="s">
        <v>872</v>
      </c>
      <c r="O4" s="8" t="s">
        <v>873</v>
      </c>
      <c r="P4" s="8" t="s">
        <v>874</v>
      </c>
      <c r="Q4" s="8" t="s">
        <v>875</v>
      </c>
      <c r="R4" s="8" t="s">
        <v>23</v>
      </c>
      <c r="S4" s="8" t="s">
        <v>876</v>
      </c>
      <c r="T4" s="8" t="s">
        <v>877</v>
      </c>
    </row>
    <row r="5" spans="1:20">
      <c r="A5" s="22">
        <v>1</v>
      </c>
      <c r="B5" s="23" t="s">
        <v>878</v>
      </c>
      <c r="C5" s="23" t="s">
        <v>879</v>
      </c>
      <c r="D5" s="24">
        <f>COUNTIFS(Corpus!$F$2:$F$1045,B5,Corpus!$I$2:$I$1045,"National")</f>
        <v>112</v>
      </c>
      <c r="E5" s="24">
        <f>COUNTIFS(Corpus!$F$2:$F$1045,B5,Corpus!$I$2:$I$1045,"National",Corpus!$J$2:$J$1045,"&lt;&gt;Début du texte")</f>
        <v>105</v>
      </c>
      <c r="F5" s="24">
        <f>COUNTIFS(Corpus!$F$2:$F$1045,B5,Corpus!$I$2:$I$1045,"National",Corpus!$J$2:$J$1045,"Début du texte")</f>
        <v>7</v>
      </c>
      <c r="G5" s="24">
        <v>123</v>
      </c>
      <c r="H5" s="25">
        <f t="shared" ref="H5:H36" si="0">IFERROR(D5/SUM($D$5:$D$59),0)</f>
        <v>0.20326678765880218</v>
      </c>
      <c r="I5" s="24">
        <f>COUNTIFS(Corpus!$F$2:$F$1045,B5,Corpus!$I$2:$I$1045,"National",Corpus!$C$2:$C$1045,2026)</f>
        <v>19</v>
      </c>
      <c r="J5" s="24">
        <f>COUNTIFS(Corpus!$F$2:$F$1045,B5,Corpus!$I$2:$I$1045,"National",Corpus!$B$2:$B$1045,"&gt;="&amp;DATE(2025,8,26))</f>
        <v>29</v>
      </c>
      <c r="K5" s="26">
        <v>43918</v>
      </c>
      <c r="L5" s="26">
        <v>46259</v>
      </c>
      <c r="M5" s="24">
        <v>0</v>
      </c>
      <c r="N5" s="23" t="s">
        <v>880</v>
      </c>
      <c r="O5" s="23" t="s">
        <v>881</v>
      </c>
      <c r="P5" s="23" t="s">
        <v>515</v>
      </c>
      <c r="Q5" s="24">
        <v>8</v>
      </c>
      <c r="R5" s="24">
        <f>SUMIFS(Corpus!$O$2:$O$1045,Corpus!$F$2:$F$1045,B5,Corpus!$I$2:$I$1045,"National")</f>
        <v>2309</v>
      </c>
      <c r="S5" s="24">
        <v>104</v>
      </c>
      <c r="T5" s="24">
        <v>8</v>
      </c>
    </row>
    <row r="6" spans="1:20">
      <c r="A6" s="22">
        <v>2</v>
      </c>
      <c r="B6" s="23" t="s">
        <v>882</v>
      </c>
      <c r="C6" s="23" t="s">
        <v>883</v>
      </c>
      <c r="D6" s="24">
        <f>COUNTIFS(Corpus!$F$2:$F$1045,B6,Corpus!$I$2:$I$1045,"National")</f>
        <v>74</v>
      </c>
      <c r="E6" s="24">
        <f>COUNTIFS(Corpus!$F$2:$F$1045,B6,Corpus!$I$2:$I$1045,"National",Corpus!$J$2:$J$1045,"&lt;&gt;Début du texte")</f>
        <v>72</v>
      </c>
      <c r="F6" s="24">
        <f>COUNTIFS(Corpus!$F$2:$F$1045,B6,Corpus!$I$2:$I$1045,"National",Corpus!$J$2:$J$1045,"Début du texte")</f>
        <v>2</v>
      </c>
      <c r="G6" s="24">
        <v>93</v>
      </c>
      <c r="H6" s="25">
        <f t="shared" si="0"/>
        <v>0.13430127041742287</v>
      </c>
      <c r="I6" s="24">
        <f>COUNTIFS(Corpus!$F$2:$F$1045,B6,Corpus!$I$2:$I$1045,"National",Corpus!$C$2:$C$1045,2026)</f>
        <v>17</v>
      </c>
      <c r="J6" s="24">
        <f>COUNTIFS(Corpus!$F$2:$F$1045,B6,Corpus!$I$2:$I$1045,"National",Corpus!$B$2:$B$1045,"&gt;="&amp;DATE(2025,8,26))</f>
        <v>22</v>
      </c>
      <c r="K6" s="26">
        <v>44647</v>
      </c>
      <c r="L6" s="26">
        <v>46259</v>
      </c>
      <c r="M6" s="24">
        <v>0</v>
      </c>
      <c r="N6" s="23" t="s">
        <v>880</v>
      </c>
      <c r="O6" s="23" t="s">
        <v>881</v>
      </c>
      <c r="P6" s="23" t="s">
        <v>512</v>
      </c>
      <c r="Q6" s="24">
        <v>7</v>
      </c>
      <c r="R6" s="24">
        <f>SUMIFS(Corpus!$O$2:$O$1045,Corpus!$F$2:$F$1045,B6,Corpus!$I$2:$I$1045,"National")</f>
        <v>1279</v>
      </c>
      <c r="S6" s="24">
        <v>72</v>
      </c>
      <c r="T6" s="24">
        <v>2</v>
      </c>
    </row>
    <row r="7" spans="1:20">
      <c r="A7" s="22">
        <v>3</v>
      </c>
      <c r="B7" s="23" t="s">
        <v>884</v>
      </c>
      <c r="C7" s="23" t="s">
        <v>883</v>
      </c>
      <c r="D7" s="24">
        <f>COUNTIFS(Corpus!$F$2:$F$1045,B7,Corpus!$I$2:$I$1045,"National")</f>
        <v>46</v>
      </c>
      <c r="E7" s="24">
        <f>COUNTIFS(Corpus!$F$2:$F$1045,B7,Corpus!$I$2:$I$1045,"National",Corpus!$J$2:$J$1045,"&lt;&gt;Début du texte")</f>
        <v>43</v>
      </c>
      <c r="F7" s="24">
        <f>COUNTIFS(Corpus!$F$2:$F$1045,B7,Corpus!$I$2:$I$1045,"National",Corpus!$J$2:$J$1045,"Début du texte")</f>
        <v>3</v>
      </c>
      <c r="G7" s="24">
        <v>51</v>
      </c>
      <c r="H7" s="25">
        <f t="shared" si="0"/>
        <v>8.3484573502722328E-2</v>
      </c>
      <c r="I7" s="24">
        <f>COUNTIFS(Corpus!$F$2:$F$1045,B7,Corpus!$I$2:$I$1045,"National",Corpus!$C$2:$C$1045,2026)</f>
        <v>5</v>
      </c>
      <c r="J7" s="24">
        <f>COUNTIFS(Corpus!$F$2:$F$1045,B7,Corpus!$I$2:$I$1045,"National",Corpus!$B$2:$B$1045,"&gt;="&amp;DATE(2025,8,26))</f>
        <v>8</v>
      </c>
      <c r="K7" s="26">
        <v>44645</v>
      </c>
      <c r="L7" s="26">
        <v>46245</v>
      </c>
      <c r="M7" s="24">
        <v>14</v>
      </c>
      <c r="N7" s="23" t="s">
        <v>880</v>
      </c>
      <c r="O7" s="23" t="s">
        <v>881</v>
      </c>
      <c r="P7" s="23" t="s">
        <v>526</v>
      </c>
      <c r="Q7" s="24">
        <v>7</v>
      </c>
      <c r="R7" s="24">
        <f>SUMIFS(Corpus!$O$2:$O$1045,Corpus!$F$2:$F$1045,B7,Corpus!$I$2:$I$1045,"National")</f>
        <v>713</v>
      </c>
      <c r="S7" s="24">
        <v>43</v>
      </c>
      <c r="T7" s="24">
        <v>3</v>
      </c>
    </row>
    <row r="8" spans="1:20">
      <c r="A8" s="22">
        <v>4</v>
      </c>
      <c r="B8" s="23" t="s">
        <v>885</v>
      </c>
      <c r="C8" s="23" t="s">
        <v>886</v>
      </c>
      <c r="D8" s="24">
        <f>COUNTIFS(Corpus!$F$2:$F$1045,B8,Corpus!$I$2:$I$1045,"National")</f>
        <v>39</v>
      </c>
      <c r="E8" s="24">
        <f>COUNTIFS(Corpus!$F$2:$F$1045,B8,Corpus!$I$2:$I$1045,"National",Corpus!$J$2:$J$1045,"&lt;&gt;Début du texte")</f>
        <v>32</v>
      </c>
      <c r="F8" s="24">
        <f>COUNTIFS(Corpus!$F$2:$F$1045,B8,Corpus!$I$2:$I$1045,"National",Corpus!$J$2:$J$1045,"Début du texte")</f>
        <v>7</v>
      </c>
      <c r="G8" s="24">
        <v>59</v>
      </c>
      <c r="H8" s="25">
        <f t="shared" si="0"/>
        <v>7.0780399274047182E-2</v>
      </c>
      <c r="I8" s="24">
        <f>COUNTIFS(Corpus!$F$2:$F$1045,B8,Corpus!$I$2:$I$1045,"National",Corpus!$C$2:$C$1045,2026)</f>
        <v>15</v>
      </c>
      <c r="J8" s="24">
        <f>COUNTIFS(Corpus!$F$2:$F$1045,B8,Corpus!$I$2:$I$1045,"National",Corpus!$B$2:$B$1045,"&gt;="&amp;DATE(2025,8,26))</f>
        <v>19</v>
      </c>
      <c r="K8" s="26">
        <v>44642</v>
      </c>
      <c r="L8" s="26">
        <v>46259</v>
      </c>
      <c r="M8" s="24">
        <v>0</v>
      </c>
      <c r="N8" s="23" t="s">
        <v>880</v>
      </c>
      <c r="O8" s="23" t="s">
        <v>881</v>
      </c>
      <c r="P8" s="23" t="s">
        <v>512</v>
      </c>
      <c r="Q8" s="24">
        <v>8</v>
      </c>
      <c r="R8" s="24">
        <f>SUMIFS(Corpus!$O$2:$O$1045,Corpus!$F$2:$F$1045,B8,Corpus!$I$2:$I$1045,"National")</f>
        <v>913</v>
      </c>
      <c r="S8" s="24">
        <v>32</v>
      </c>
      <c r="T8" s="24">
        <v>7</v>
      </c>
    </row>
    <row r="9" spans="1:20">
      <c r="A9" s="22">
        <v>5</v>
      </c>
      <c r="B9" s="23" t="s">
        <v>887</v>
      </c>
      <c r="C9" s="23" t="s">
        <v>883</v>
      </c>
      <c r="D9" s="24">
        <f>COUNTIFS(Corpus!$F$2:$F$1045,B9,Corpus!$I$2:$I$1045,"National")</f>
        <v>24</v>
      </c>
      <c r="E9" s="24">
        <f>COUNTIFS(Corpus!$F$2:$F$1045,B9,Corpus!$I$2:$I$1045,"National",Corpus!$J$2:$J$1045,"&lt;&gt;Début du texte")</f>
        <v>21</v>
      </c>
      <c r="F9" s="24">
        <f>COUNTIFS(Corpus!$F$2:$F$1045,B9,Corpus!$I$2:$I$1045,"National",Corpus!$J$2:$J$1045,"Début du texte")</f>
        <v>3</v>
      </c>
      <c r="G9" s="24">
        <v>27</v>
      </c>
      <c r="H9" s="25">
        <f t="shared" si="0"/>
        <v>4.3557168784029036E-2</v>
      </c>
      <c r="I9" s="24">
        <f>COUNTIFS(Corpus!$F$2:$F$1045,B9,Corpus!$I$2:$I$1045,"National",Corpus!$C$2:$C$1045,2026)</f>
        <v>11</v>
      </c>
      <c r="J9" s="24">
        <f>COUNTIFS(Corpus!$F$2:$F$1045,B9,Corpus!$I$2:$I$1045,"National",Corpus!$B$2:$B$1045,"&gt;="&amp;DATE(2025,8,26))</f>
        <v>15</v>
      </c>
      <c r="K9" s="26">
        <v>43707</v>
      </c>
      <c r="L9" s="26">
        <v>46257</v>
      </c>
      <c r="M9" s="24">
        <v>2</v>
      </c>
      <c r="N9" s="23" t="s">
        <v>888</v>
      </c>
      <c r="O9" s="23" t="s">
        <v>881</v>
      </c>
      <c r="P9" s="23" t="s">
        <v>519</v>
      </c>
      <c r="Q9" s="24">
        <v>5</v>
      </c>
      <c r="R9" s="24">
        <f>SUMIFS(Corpus!$O$2:$O$1045,Corpus!$F$2:$F$1045,B9,Corpus!$I$2:$I$1045,"National")</f>
        <v>692</v>
      </c>
      <c r="S9" s="24">
        <v>21</v>
      </c>
      <c r="T9" s="24">
        <v>3</v>
      </c>
    </row>
    <row r="10" spans="1:20">
      <c r="A10" s="22">
        <v>6</v>
      </c>
      <c r="B10" s="23" t="s">
        <v>889</v>
      </c>
      <c r="C10" s="23" t="s">
        <v>890</v>
      </c>
      <c r="D10" s="24">
        <f>COUNTIFS(Corpus!$F$2:$F$1045,B10,Corpus!$I$2:$I$1045,"National")</f>
        <v>23</v>
      </c>
      <c r="E10" s="24">
        <f>COUNTIFS(Corpus!$F$2:$F$1045,B10,Corpus!$I$2:$I$1045,"National",Corpus!$J$2:$J$1045,"&lt;&gt;Début du texte")</f>
        <v>21</v>
      </c>
      <c r="F10" s="24">
        <f>COUNTIFS(Corpus!$F$2:$F$1045,B10,Corpus!$I$2:$I$1045,"National",Corpus!$J$2:$J$1045,"Début du texte")</f>
        <v>2</v>
      </c>
      <c r="G10" s="24">
        <v>35</v>
      </c>
      <c r="H10" s="25">
        <f t="shared" si="0"/>
        <v>4.1742286751361164E-2</v>
      </c>
      <c r="I10" s="24">
        <f>COUNTIFS(Corpus!$F$2:$F$1045,B10,Corpus!$I$2:$I$1045,"National",Corpus!$C$2:$C$1045,2026)</f>
        <v>14</v>
      </c>
      <c r="J10" s="24">
        <f>COUNTIFS(Corpus!$F$2:$F$1045,B10,Corpus!$I$2:$I$1045,"National",Corpus!$B$2:$B$1045,"&gt;="&amp;DATE(2025,8,26))</f>
        <v>16</v>
      </c>
      <c r="K10" s="26">
        <v>44515</v>
      </c>
      <c r="L10" s="26">
        <v>46255</v>
      </c>
      <c r="M10" s="24">
        <v>4</v>
      </c>
      <c r="N10" s="23" t="s">
        <v>888</v>
      </c>
      <c r="O10" s="23" t="s">
        <v>881</v>
      </c>
      <c r="P10" s="23" t="s">
        <v>519</v>
      </c>
      <c r="Q10" s="24">
        <v>8</v>
      </c>
      <c r="R10" s="24">
        <f>SUMIFS(Corpus!$O$2:$O$1045,Corpus!$F$2:$F$1045,B10,Corpus!$I$2:$I$1045,"National")</f>
        <v>596</v>
      </c>
      <c r="S10" s="24">
        <v>19</v>
      </c>
      <c r="T10" s="24">
        <v>4</v>
      </c>
    </row>
    <row r="11" spans="1:20">
      <c r="A11" s="22">
        <v>7</v>
      </c>
      <c r="B11" s="23" t="s">
        <v>891</v>
      </c>
      <c r="C11" s="23" t="s">
        <v>883</v>
      </c>
      <c r="D11" s="24">
        <f>COUNTIFS(Corpus!$F$2:$F$1045,B11,Corpus!$I$2:$I$1045,"National")</f>
        <v>23</v>
      </c>
      <c r="E11" s="24">
        <f>COUNTIFS(Corpus!$F$2:$F$1045,B11,Corpus!$I$2:$I$1045,"National",Corpus!$J$2:$J$1045,"&lt;&gt;Début du texte")</f>
        <v>20</v>
      </c>
      <c r="F11" s="24">
        <f>COUNTIFS(Corpus!$F$2:$F$1045,B11,Corpus!$I$2:$I$1045,"National",Corpus!$J$2:$J$1045,"Début du texte")</f>
        <v>3</v>
      </c>
      <c r="G11" s="24">
        <v>30</v>
      </c>
      <c r="H11" s="25">
        <f t="shared" si="0"/>
        <v>4.1742286751361164E-2</v>
      </c>
      <c r="I11" s="24">
        <f>COUNTIFS(Corpus!$F$2:$F$1045,B11,Corpus!$I$2:$I$1045,"National",Corpus!$C$2:$C$1045,2026)</f>
        <v>6</v>
      </c>
      <c r="J11" s="24">
        <f>COUNTIFS(Corpus!$F$2:$F$1045,B11,Corpus!$I$2:$I$1045,"National",Corpus!$B$2:$B$1045,"&gt;="&amp;DATE(2025,8,26))</f>
        <v>9</v>
      </c>
      <c r="K11" s="26">
        <v>44708</v>
      </c>
      <c r="L11" s="26">
        <v>46258</v>
      </c>
      <c r="M11" s="24">
        <v>1</v>
      </c>
      <c r="N11" s="23" t="s">
        <v>888</v>
      </c>
      <c r="O11" s="23" t="s">
        <v>881</v>
      </c>
      <c r="P11" s="23" t="s">
        <v>512</v>
      </c>
      <c r="Q11" s="24">
        <v>7</v>
      </c>
      <c r="R11" s="24">
        <f>SUMIFS(Corpus!$O$2:$O$1045,Corpus!$F$2:$F$1045,B11,Corpus!$I$2:$I$1045,"National")</f>
        <v>480</v>
      </c>
      <c r="S11" s="24">
        <v>20</v>
      </c>
      <c r="T11" s="24">
        <v>3</v>
      </c>
    </row>
    <row r="12" spans="1:20">
      <c r="A12" s="22">
        <v>8</v>
      </c>
      <c r="B12" s="23" t="s">
        <v>892</v>
      </c>
      <c r="C12" s="23" t="s">
        <v>879</v>
      </c>
      <c r="D12" s="24">
        <f>COUNTIFS(Corpus!$F$2:$F$1045,B12,Corpus!$I$2:$I$1045,"National")</f>
        <v>20</v>
      </c>
      <c r="E12" s="24">
        <f>COUNTIFS(Corpus!$F$2:$F$1045,B12,Corpus!$I$2:$I$1045,"National",Corpus!$J$2:$J$1045,"&lt;&gt;Début du texte")</f>
        <v>19</v>
      </c>
      <c r="F12" s="24">
        <f>COUNTIFS(Corpus!$F$2:$F$1045,B12,Corpus!$I$2:$I$1045,"National",Corpus!$J$2:$J$1045,"Début du texte")</f>
        <v>1</v>
      </c>
      <c r="G12" s="24">
        <v>26</v>
      </c>
      <c r="H12" s="25">
        <f t="shared" si="0"/>
        <v>3.6297640653357534E-2</v>
      </c>
      <c r="I12" s="24">
        <f>COUNTIFS(Corpus!$F$2:$F$1045,B12,Corpus!$I$2:$I$1045,"National",Corpus!$C$2:$C$1045,2026)</f>
        <v>7</v>
      </c>
      <c r="J12" s="24">
        <f>COUNTIFS(Corpus!$F$2:$F$1045,B12,Corpus!$I$2:$I$1045,"National",Corpus!$B$2:$B$1045,"&gt;="&amp;DATE(2025,8,26))</f>
        <v>11</v>
      </c>
      <c r="K12" s="26">
        <v>44939</v>
      </c>
      <c r="L12" s="26">
        <v>46259</v>
      </c>
      <c r="M12" s="24">
        <v>0</v>
      </c>
      <c r="N12" s="23" t="s">
        <v>888</v>
      </c>
      <c r="O12" s="23" t="s">
        <v>881</v>
      </c>
      <c r="P12" s="23" t="s">
        <v>512</v>
      </c>
      <c r="Q12" s="24">
        <v>4</v>
      </c>
      <c r="R12" s="24">
        <f>SUMIFS(Corpus!$O$2:$O$1045,Corpus!$F$2:$F$1045,B12,Corpus!$I$2:$I$1045,"National")</f>
        <v>486</v>
      </c>
      <c r="S12" s="24">
        <v>19</v>
      </c>
      <c r="T12" s="24">
        <v>1</v>
      </c>
    </row>
    <row r="13" spans="1:20">
      <c r="A13" s="22">
        <v>9</v>
      </c>
      <c r="B13" s="23" t="s">
        <v>893</v>
      </c>
      <c r="C13" s="23" t="s">
        <v>879</v>
      </c>
      <c r="D13" s="24">
        <f>COUNTIFS(Corpus!$F$2:$F$1045,B13,Corpus!$I$2:$I$1045,"National")</f>
        <v>16</v>
      </c>
      <c r="E13" s="24">
        <f>COUNTIFS(Corpus!$F$2:$F$1045,B13,Corpus!$I$2:$I$1045,"National",Corpus!$J$2:$J$1045,"&lt;&gt;Début du texte")</f>
        <v>11</v>
      </c>
      <c r="F13" s="24">
        <f>COUNTIFS(Corpus!$F$2:$F$1045,B13,Corpus!$I$2:$I$1045,"National",Corpus!$J$2:$J$1045,"Début du texte")</f>
        <v>5</v>
      </c>
      <c r="G13" s="24">
        <v>27</v>
      </c>
      <c r="H13" s="25">
        <f t="shared" si="0"/>
        <v>2.9038112522686024E-2</v>
      </c>
      <c r="I13" s="24">
        <f>COUNTIFS(Corpus!$F$2:$F$1045,B13,Corpus!$I$2:$I$1045,"National",Corpus!$C$2:$C$1045,2026)</f>
        <v>4</v>
      </c>
      <c r="J13" s="24">
        <f>COUNTIFS(Corpus!$F$2:$F$1045,B13,Corpus!$I$2:$I$1045,"National",Corpus!$B$2:$B$1045,"&gt;="&amp;DATE(2025,8,26))</f>
        <v>4</v>
      </c>
      <c r="K13" s="26">
        <v>44082</v>
      </c>
      <c r="L13" s="26">
        <v>46245</v>
      </c>
      <c r="M13" s="24">
        <v>14</v>
      </c>
      <c r="N13" s="23" t="s">
        <v>888</v>
      </c>
      <c r="O13" s="23" t="s">
        <v>881</v>
      </c>
      <c r="P13" s="23" t="s">
        <v>512</v>
      </c>
      <c r="Q13" s="24">
        <v>4</v>
      </c>
      <c r="R13" s="24">
        <f>SUMIFS(Corpus!$O$2:$O$1045,Corpus!$F$2:$F$1045,B13,Corpus!$I$2:$I$1045,"National")</f>
        <v>314</v>
      </c>
      <c r="S13" s="24">
        <v>11</v>
      </c>
      <c r="T13" s="24">
        <v>5</v>
      </c>
    </row>
    <row r="14" spans="1:20">
      <c r="A14" s="22">
        <v>10</v>
      </c>
      <c r="B14" s="23" t="s">
        <v>894</v>
      </c>
      <c r="C14" s="23" t="s">
        <v>895</v>
      </c>
      <c r="D14" s="24">
        <f>COUNTIFS(Corpus!$F$2:$F$1045,B14,Corpus!$I$2:$I$1045,"National")</f>
        <v>15</v>
      </c>
      <c r="E14" s="24">
        <f>COUNTIFS(Corpus!$F$2:$F$1045,B14,Corpus!$I$2:$I$1045,"National",Corpus!$J$2:$J$1045,"&lt;&gt;Début du texte")</f>
        <v>14</v>
      </c>
      <c r="F14" s="24">
        <f>COUNTIFS(Corpus!$F$2:$F$1045,B14,Corpus!$I$2:$I$1045,"National",Corpus!$J$2:$J$1045,"Début du texte")</f>
        <v>1</v>
      </c>
      <c r="G14" s="24">
        <v>21</v>
      </c>
      <c r="H14" s="25">
        <f t="shared" si="0"/>
        <v>2.7223230490018149E-2</v>
      </c>
      <c r="I14" s="24">
        <f>COUNTIFS(Corpus!$F$2:$F$1045,B14,Corpus!$I$2:$I$1045,"National",Corpus!$C$2:$C$1045,2026)</f>
        <v>7</v>
      </c>
      <c r="J14" s="24">
        <f>COUNTIFS(Corpus!$F$2:$F$1045,B14,Corpus!$I$2:$I$1045,"National",Corpus!$B$2:$B$1045,"&gt;="&amp;DATE(2025,8,26))</f>
        <v>8</v>
      </c>
      <c r="K14" s="26">
        <v>44686</v>
      </c>
      <c r="L14" s="26">
        <v>46258</v>
      </c>
      <c r="M14" s="24">
        <v>1</v>
      </c>
      <c r="N14" s="23" t="s">
        <v>888</v>
      </c>
      <c r="O14" s="23" t="s">
        <v>881</v>
      </c>
      <c r="P14" s="23" t="s">
        <v>522</v>
      </c>
      <c r="Q14" s="24">
        <v>6</v>
      </c>
      <c r="R14" s="24">
        <f>SUMIFS(Corpus!$O$2:$O$1045,Corpus!$F$2:$F$1045,B14,Corpus!$I$2:$I$1045,"National")</f>
        <v>355</v>
      </c>
      <c r="S14" s="24">
        <v>13</v>
      </c>
      <c r="T14" s="24">
        <v>2</v>
      </c>
    </row>
    <row r="15" spans="1:20">
      <c r="A15" s="22">
        <v>11</v>
      </c>
      <c r="B15" s="23" t="s">
        <v>896</v>
      </c>
      <c r="C15" s="23" t="s">
        <v>883</v>
      </c>
      <c r="D15" s="24">
        <f>COUNTIFS(Corpus!$F$2:$F$1045,B15,Corpus!$I$2:$I$1045,"National")</f>
        <v>12</v>
      </c>
      <c r="E15" s="24">
        <f>COUNTIFS(Corpus!$F$2:$F$1045,B15,Corpus!$I$2:$I$1045,"National",Corpus!$J$2:$J$1045,"&lt;&gt;Début du texte")</f>
        <v>12</v>
      </c>
      <c r="F15" s="24">
        <f>COUNTIFS(Corpus!$F$2:$F$1045,B15,Corpus!$I$2:$I$1045,"National",Corpus!$J$2:$J$1045,"Début du texte")</f>
        <v>0</v>
      </c>
      <c r="G15" s="24">
        <v>13</v>
      </c>
      <c r="H15" s="25">
        <f t="shared" si="0"/>
        <v>2.1778584392014518E-2</v>
      </c>
      <c r="I15" s="24">
        <f>COUNTIFS(Corpus!$F$2:$F$1045,B15,Corpus!$I$2:$I$1045,"National",Corpus!$C$2:$C$1045,2026)</f>
        <v>2</v>
      </c>
      <c r="J15" s="24">
        <f>COUNTIFS(Corpus!$F$2:$F$1045,B15,Corpus!$I$2:$I$1045,"National",Corpus!$B$2:$B$1045,"&gt;="&amp;DATE(2025,8,26))</f>
        <v>3</v>
      </c>
      <c r="K15" s="26">
        <v>44577</v>
      </c>
      <c r="L15" s="26">
        <v>46207</v>
      </c>
      <c r="M15" s="24">
        <v>52</v>
      </c>
      <c r="N15" s="23" t="s">
        <v>897</v>
      </c>
      <c r="O15" s="23" t="s">
        <v>898</v>
      </c>
      <c r="P15" s="23" t="s">
        <v>512</v>
      </c>
      <c r="Q15" s="24">
        <v>4</v>
      </c>
      <c r="R15" s="24">
        <f>SUMIFS(Corpus!$O$2:$O$1045,Corpus!$F$2:$F$1045,B15,Corpus!$I$2:$I$1045,"National")</f>
        <v>223</v>
      </c>
      <c r="S15" s="24">
        <v>12</v>
      </c>
      <c r="T15" s="24">
        <v>0</v>
      </c>
    </row>
    <row r="16" spans="1:20">
      <c r="A16" s="22">
        <v>12</v>
      </c>
      <c r="B16" s="23" t="s">
        <v>899</v>
      </c>
      <c r="C16" s="23" t="s">
        <v>886</v>
      </c>
      <c r="D16" s="24">
        <f>COUNTIFS(Corpus!$F$2:$F$1045,B16,Corpus!$I$2:$I$1045,"National")</f>
        <v>11</v>
      </c>
      <c r="E16" s="24">
        <f>COUNTIFS(Corpus!$F$2:$F$1045,B16,Corpus!$I$2:$I$1045,"National",Corpus!$J$2:$J$1045,"&lt;&gt;Début du texte")</f>
        <v>11</v>
      </c>
      <c r="F16" s="24">
        <f>COUNTIFS(Corpus!$F$2:$F$1045,B16,Corpus!$I$2:$I$1045,"National",Corpus!$J$2:$J$1045,"Début du texte")</f>
        <v>0</v>
      </c>
      <c r="G16" s="24">
        <v>19</v>
      </c>
      <c r="H16" s="25">
        <f t="shared" si="0"/>
        <v>1.9963702359346643E-2</v>
      </c>
      <c r="I16" s="24">
        <f>COUNTIFS(Corpus!$F$2:$F$1045,B16,Corpus!$I$2:$I$1045,"National",Corpus!$C$2:$C$1045,2026)</f>
        <v>2</v>
      </c>
      <c r="J16" s="24">
        <f>COUNTIFS(Corpus!$F$2:$F$1045,B16,Corpus!$I$2:$I$1045,"National",Corpus!$B$2:$B$1045,"&gt;="&amp;DATE(2025,8,26))</f>
        <v>3</v>
      </c>
      <c r="K16" s="26">
        <v>45089</v>
      </c>
      <c r="L16" s="26">
        <v>46216</v>
      </c>
      <c r="M16" s="24">
        <v>43</v>
      </c>
      <c r="N16" s="23" t="s">
        <v>897</v>
      </c>
      <c r="O16" s="23" t="s">
        <v>898</v>
      </c>
      <c r="P16" s="23" t="s">
        <v>515</v>
      </c>
      <c r="Q16" s="24">
        <v>5</v>
      </c>
      <c r="R16" s="24">
        <f>SUMIFS(Corpus!$O$2:$O$1045,Corpus!$F$2:$F$1045,B16,Corpus!$I$2:$I$1045,"National")</f>
        <v>188</v>
      </c>
      <c r="S16" s="24">
        <v>11</v>
      </c>
      <c r="T16" s="24">
        <v>0</v>
      </c>
    </row>
    <row r="17" spans="1:20">
      <c r="A17" s="22">
        <v>13</v>
      </c>
      <c r="B17" s="23" t="s">
        <v>900</v>
      </c>
      <c r="C17" s="23" t="s">
        <v>883</v>
      </c>
      <c r="D17" s="24">
        <f>COUNTIFS(Corpus!$F$2:$F$1045,B17,Corpus!$I$2:$I$1045,"National")</f>
        <v>10</v>
      </c>
      <c r="E17" s="24">
        <f>COUNTIFS(Corpus!$F$2:$F$1045,B17,Corpus!$I$2:$I$1045,"National",Corpus!$J$2:$J$1045,"&lt;&gt;Début du texte")</f>
        <v>9</v>
      </c>
      <c r="F17" s="24">
        <f>COUNTIFS(Corpus!$F$2:$F$1045,B17,Corpus!$I$2:$I$1045,"National",Corpus!$J$2:$J$1045,"Début du texte")</f>
        <v>1</v>
      </c>
      <c r="G17" s="24">
        <v>11</v>
      </c>
      <c r="H17" s="25">
        <f t="shared" si="0"/>
        <v>1.8148820326678767E-2</v>
      </c>
      <c r="I17" s="24">
        <f>COUNTIFS(Corpus!$F$2:$F$1045,B17,Corpus!$I$2:$I$1045,"National",Corpus!$C$2:$C$1045,2026)</f>
        <v>1</v>
      </c>
      <c r="J17" s="24">
        <f>COUNTIFS(Corpus!$F$2:$F$1045,B17,Corpus!$I$2:$I$1045,"National",Corpus!$B$2:$B$1045,"&gt;="&amp;DATE(2025,8,26))</f>
        <v>1</v>
      </c>
      <c r="K17" s="26">
        <v>45302</v>
      </c>
      <c r="L17" s="26">
        <v>46259</v>
      </c>
      <c r="M17" s="24">
        <v>0</v>
      </c>
      <c r="N17" s="23" t="s">
        <v>897</v>
      </c>
      <c r="O17" s="23" t="s">
        <v>901</v>
      </c>
      <c r="P17" s="23" t="s">
        <v>533</v>
      </c>
      <c r="Q17" s="24">
        <v>5</v>
      </c>
      <c r="R17" s="24">
        <f>SUMIFS(Corpus!$O$2:$O$1045,Corpus!$F$2:$F$1045,B17,Corpus!$I$2:$I$1045,"National")</f>
        <v>184</v>
      </c>
      <c r="S17" s="24">
        <v>9</v>
      </c>
      <c r="T17" s="24">
        <v>1</v>
      </c>
    </row>
    <row r="18" spans="1:20">
      <c r="A18" s="22">
        <v>14</v>
      </c>
      <c r="B18" s="23" t="s">
        <v>902</v>
      </c>
      <c r="C18" s="23" t="s">
        <v>886</v>
      </c>
      <c r="D18" s="24">
        <f>COUNTIFS(Corpus!$F$2:$F$1045,B18,Corpus!$I$2:$I$1045,"National")</f>
        <v>10</v>
      </c>
      <c r="E18" s="24">
        <f>COUNTIFS(Corpus!$F$2:$F$1045,B18,Corpus!$I$2:$I$1045,"National",Corpus!$J$2:$J$1045,"&lt;&gt;Début du texte")</f>
        <v>9</v>
      </c>
      <c r="F18" s="24">
        <f>COUNTIFS(Corpus!$F$2:$F$1045,B18,Corpus!$I$2:$I$1045,"National",Corpus!$J$2:$J$1045,"Début du texte")</f>
        <v>1</v>
      </c>
      <c r="G18" s="24">
        <v>23</v>
      </c>
      <c r="H18" s="25">
        <f t="shared" si="0"/>
        <v>1.8148820326678767E-2</v>
      </c>
      <c r="I18" s="24">
        <f>COUNTIFS(Corpus!$F$2:$F$1045,B18,Corpus!$I$2:$I$1045,"National",Corpus!$C$2:$C$1045,2026)</f>
        <v>4</v>
      </c>
      <c r="J18" s="24">
        <f>COUNTIFS(Corpus!$F$2:$F$1045,B18,Corpus!$I$2:$I$1045,"National",Corpus!$B$2:$B$1045,"&gt;="&amp;DATE(2025,8,26))</f>
        <v>4</v>
      </c>
      <c r="K18" s="26">
        <v>45539</v>
      </c>
      <c r="L18" s="26">
        <v>46231</v>
      </c>
      <c r="M18" s="24">
        <v>28</v>
      </c>
      <c r="N18" s="23" t="s">
        <v>897</v>
      </c>
      <c r="O18" s="23" t="s">
        <v>898</v>
      </c>
      <c r="P18" s="23" t="s">
        <v>512</v>
      </c>
      <c r="Q18" s="24">
        <v>4</v>
      </c>
      <c r="R18" s="24">
        <f>SUMIFS(Corpus!$O$2:$O$1045,Corpus!$F$2:$F$1045,B18,Corpus!$I$2:$I$1045,"National")</f>
        <v>201</v>
      </c>
      <c r="S18" s="24">
        <v>9</v>
      </c>
      <c r="T18" s="24">
        <v>1</v>
      </c>
    </row>
    <row r="19" spans="1:20">
      <c r="A19" s="22">
        <v>15</v>
      </c>
      <c r="B19" s="23" t="s">
        <v>903</v>
      </c>
      <c r="C19" s="23" t="s">
        <v>886</v>
      </c>
      <c r="D19" s="24">
        <f>COUNTIFS(Corpus!$F$2:$F$1045,B19,Corpus!$I$2:$I$1045,"National")</f>
        <v>10</v>
      </c>
      <c r="E19" s="24">
        <f>COUNTIFS(Corpus!$F$2:$F$1045,B19,Corpus!$I$2:$I$1045,"National",Corpus!$J$2:$J$1045,"&lt;&gt;Début du texte")</f>
        <v>8</v>
      </c>
      <c r="F19" s="24">
        <f>COUNTIFS(Corpus!$F$2:$F$1045,B19,Corpus!$I$2:$I$1045,"National",Corpus!$J$2:$J$1045,"Début du texte")</f>
        <v>2</v>
      </c>
      <c r="G19" s="24">
        <v>11</v>
      </c>
      <c r="H19" s="25">
        <f t="shared" si="0"/>
        <v>1.8148820326678767E-2</v>
      </c>
      <c r="I19" s="24">
        <f>COUNTIFS(Corpus!$F$2:$F$1045,B19,Corpus!$I$2:$I$1045,"National",Corpus!$C$2:$C$1045,2026)</f>
        <v>2</v>
      </c>
      <c r="J19" s="24">
        <f>COUNTIFS(Corpus!$F$2:$F$1045,B19,Corpus!$I$2:$I$1045,"National",Corpus!$B$2:$B$1045,"&gt;="&amp;DATE(2025,8,26))</f>
        <v>2</v>
      </c>
      <c r="K19" s="26">
        <v>45184</v>
      </c>
      <c r="L19" s="26">
        <v>46241</v>
      </c>
      <c r="M19" s="24">
        <v>18</v>
      </c>
      <c r="N19" s="23" t="s">
        <v>897</v>
      </c>
      <c r="O19" s="23" t="s">
        <v>898</v>
      </c>
      <c r="P19" s="23" t="s">
        <v>512</v>
      </c>
      <c r="Q19" s="24">
        <v>5</v>
      </c>
      <c r="R19" s="24">
        <f>SUMIFS(Corpus!$O$2:$O$1045,Corpus!$F$2:$F$1045,B19,Corpus!$I$2:$I$1045,"National")</f>
        <v>177</v>
      </c>
      <c r="S19" s="24">
        <v>8</v>
      </c>
      <c r="T19" s="24">
        <v>2</v>
      </c>
    </row>
    <row r="20" spans="1:20">
      <c r="A20" s="22">
        <v>16</v>
      </c>
      <c r="B20" s="23" t="s">
        <v>904</v>
      </c>
      <c r="C20" s="23" t="s">
        <v>886</v>
      </c>
      <c r="D20" s="24">
        <f>COUNTIFS(Corpus!$F$2:$F$1045,B20,Corpus!$I$2:$I$1045,"National")</f>
        <v>10</v>
      </c>
      <c r="E20" s="24">
        <f>COUNTIFS(Corpus!$F$2:$F$1045,B20,Corpus!$I$2:$I$1045,"National",Corpus!$J$2:$J$1045,"&lt;&gt;Début du texte")</f>
        <v>8</v>
      </c>
      <c r="F20" s="24">
        <f>COUNTIFS(Corpus!$F$2:$F$1045,B20,Corpus!$I$2:$I$1045,"National",Corpus!$J$2:$J$1045,"Début du texte")</f>
        <v>2</v>
      </c>
      <c r="G20" s="24">
        <v>21</v>
      </c>
      <c r="H20" s="25">
        <f t="shared" si="0"/>
        <v>1.8148820326678767E-2</v>
      </c>
      <c r="I20" s="24">
        <f>COUNTIFS(Corpus!$F$2:$F$1045,B20,Corpus!$I$2:$I$1045,"National",Corpus!$C$2:$C$1045,2026)</f>
        <v>4</v>
      </c>
      <c r="J20" s="24">
        <f>COUNTIFS(Corpus!$F$2:$F$1045,B20,Corpus!$I$2:$I$1045,"National",Corpus!$B$2:$B$1045,"&gt;="&amp;DATE(2025,8,26))</f>
        <v>5</v>
      </c>
      <c r="K20" s="26">
        <v>44929</v>
      </c>
      <c r="L20" s="26">
        <v>46230</v>
      </c>
      <c r="M20" s="24">
        <v>29</v>
      </c>
      <c r="N20" s="23" t="s">
        <v>897</v>
      </c>
      <c r="O20" s="23" t="s">
        <v>898</v>
      </c>
      <c r="P20" s="23" t="s">
        <v>512</v>
      </c>
      <c r="Q20" s="24">
        <v>6</v>
      </c>
      <c r="R20" s="24">
        <f>SUMIFS(Corpus!$O$2:$O$1045,Corpus!$F$2:$F$1045,B20,Corpus!$I$2:$I$1045,"National")</f>
        <v>422</v>
      </c>
      <c r="S20" s="24">
        <v>8</v>
      </c>
      <c r="T20" s="24">
        <v>2</v>
      </c>
    </row>
    <row r="21" spans="1:20">
      <c r="A21" s="22">
        <v>17</v>
      </c>
      <c r="B21" s="23" t="s">
        <v>905</v>
      </c>
      <c r="C21" s="23" t="s">
        <v>895</v>
      </c>
      <c r="D21" s="24">
        <f>COUNTIFS(Corpus!$F$2:$F$1045,B21,Corpus!$I$2:$I$1045,"National")</f>
        <v>7</v>
      </c>
      <c r="E21" s="24">
        <f>COUNTIFS(Corpus!$F$2:$F$1045,B21,Corpus!$I$2:$I$1045,"National",Corpus!$J$2:$J$1045,"&lt;&gt;Début du texte")</f>
        <v>6</v>
      </c>
      <c r="F21" s="24">
        <f>COUNTIFS(Corpus!$F$2:$F$1045,B21,Corpus!$I$2:$I$1045,"National",Corpus!$J$2:$J$1045,"Début du texte")</f>
        <v>1</v>
      </c>
      <c r="G21" s="24">
        <v>15</v>
      </c>
      <c r="H21" s="25">
        <f t="shared" si="0"/>
        <v>1.2704174228675136E-2</v>
      </c>
      <c r="I21" s="24">
        <f>COUNTIFS(Corpus!$F$2:$F$1045,B21,Corpus!$I$2:$I$1045,"National",Corpus!$C$2:$C$1045,2026)</f>
        <v>3</v>
      </c>
      <c r="J21" s="24">
        <f>COUNTIFS(Corpus!$F$2:$F$1045,B21,Corpus!$I$2:$I$1045,"National",Corpus!$B$2:$B$1045,"&gt;="&amp;DATE(2025,8,26))</f>
        <v>3</v>
      </c>
      <c r="K21" s="26">
        <v>45179</v>
      </c>
      <c r="L21" s="26">
        <v>46207</v>
      </c>
      <c r="M21" s="24">
        <v>52</v>
      </c>
      <c r="N21" s="23" t="s">
        <v>897</v>
      </c>
      <c r="O21" s="23" t="s">
        <v>898</v>
      </c>
      <c r="P21" s="23" t="s">
        <v>515</v>
      </c>
      <c r="Q21" s="24">
        <v>4</v>
      </c>
      <c r="R21" s="24">
        <f>SUMIFS(Corpus!$O$2:$O$1045,Corpus!$F$2:$F$1045,B21,Corpus!$I$2:$I$1045,"National")</f>
        <v>288</v>
      </c>
      <c r="S21" s="24">
        <v>6</v>
      </c>
      <c r="T21" s="24">
        <v>1</v>
      </c>
    </row>
    <row r="22" spans="1:20">
      <c r="A22" s="22">
        <v>18</v>
      </c>
      <c r="B22" s="23" t="s">
        <v>906</v>
      </c>
      <c r="C22" s="23" t="s">
        <v>895</v>
      </c>
      <c r="D22" s="24">
        <f>COUNTIFS(Corpus!$F$2:$F$1045,B22,Corpus!$I$2:$I$1045,"National")</f>
        <v>7</v>
      </c>
      <c r="E22" s="24">
        <f>COUNTIFS(Corpus!$F$2:$F$1045,B22,Corpus!$I$2:$I$1045,"National",Corpus!$J$2:$J$1045,"&lt;&gt;Début du texte")</f>
        <v>5</v>
      </c>
      <c r="F22" s="24">
        <f>COUNTIFS(Corpus!$F$2:$F$1045,B22,Corpus!$I$2:$I$1045,"National",Corpus!$J$2:$J$1045,"Début du texte")</f>
        <v>2</v>
      </c>
      <c r="G22" s="24">
        <v>10</v>
      </c>
      <c r="H22" s="25">
        <f t="shared" si="0"/>
        <v>1.2704174228675136E-2</v>
      </c>
      <c r="I22" s="24">
        <f>COUNTIFS(Corpus!$F$2:$F$1045,B22,Corpus!$I$2:$I$1045,"National",Corpus!$C$2:$C$1045,2026)</f>
        <v>2</v>
      </c>
      <c r="J22" s="24">
        <f>COUNTIFS(Corpus!$F$2:$F$1045,B22,Corpus!$I$2:$I$1045,"National",Corpus!$B$2:$B$1045,"&gt;="&amp;DATE(2025,8,26))</f>
        <v>2</v>
      </c>
      <c r="K22" s="26">
        <v>45458</v>
      </c>
      <c r="L22" s="26">
        <v>46253</v>
      </c>
      <c r="M22" s="24">
        <v>6</v>
      </c>
      <c r="N22" s="23" t="s">
        <v>897</v>
      </c>
      <c r="O22" s="23" t="s">
        <v>898</v>
      </c>
      <c r="P22" s="23" t="s">
        <v>530</v>
      </c>
      <c r="Q22" s="24">
        <v>5</v>
      </c>
      <c r="R22" s="24">
        <f>SUMIFS(Corpus!$O$2:$O$1045,Corpus!$F$2:$F$1045,B22,Corpus!$I$2:$I$1045,"National")</f>
        <v>188</v>
      </c>
      <c r="S22" s="24">
        <v>5</v>
      </c>
      <c r="T22" s="24">
        <v>2</v>
      </c>
    </row>
    <row r="23" spans="1:20">
      <c r="A23" s="22">
        <v>19</v>
      </c>
      <c r="B23" s="23" t="s">
        <v>907</v>
      </c>
      <c r="C23" s="23" t="s">
        <v>879</v>
      </c>
      <c r="D23" s="24">
        <f>COUNTIFS(Corpus!$F$2:$F$1045,B23,Corpus!$I$2:$I$1045,"National")</f>
        <v>6</v>
      </c>
      <c r="E23" s="24">
        <f>COUNTIFS(Corpus!$F$2:$F$1045,B23,Corpus!$I$2:$I$1045,"National",Corpus!$J$2:$J$1045,"&lt;&gt;Début du texte")</f>
        <v>6</v>
      </c>
      <c r="F23" s="24">
        <f>COUNTIFS(Corpus!$F$2:$F$1045,B23,Corpus!$I$2:$I$1045,"National",Corpus!$J$2:$J$1045,"Début du texte")</f>
        <v>0</v>
      </c>
      <c r="G23" s="24">
        <v>9</v>
      </c>
      <c r="H23" s="25">
        <f t="shared" si="0"/>
        <v>1.0889292196007259E-2</v>
      </c>
      <c r="I23" s="24">
        <f>COUNTIFS(Corpus!$F$2:$F$1045,B23,Corpus!$I$2:$I$1045,"National",Corpus!$C$2:$C$1045,2026)</f>
        <v>1</v>
      </c>
      <c r="J23" s="24">
        <f>COUNTIFS(Corpus!$F$2:$F$1045,B23,Corpus!$I$2:$I$1045,"National",Corpus!$B$2:$B$1045,"&gt;="&amp;DATE(2025,8,26))</f>
        <v>1</v>
      </c>
      <c r="K23" s="26">
        <v>44583</v>
      </c>
      <c r="L23" s="26">
        <v>46053</v>
      </c>
      <c r="M23" s="24">
        <v>206</v>
      </c>
      <c r="N23" s="23" t="s">
        <v>897</v>
      </c>
      <c r="O23" s="23" t="s">
        <v>901</v>
      </c>
      <c r="P23" s="23" t="s">
        <v>526</v>
      </c>
      <c r="Q23" s="24">
        <v>5</v>
      </c>
      <c r="R23" s="24">
        <f>SUMIFS(Corpus!$O$2:$O$1045,Corpus!$F$2:$F$1045,B23,Corpus!$I$2:$I$1045,"National")</f>
        <v>192</v>
      </c>
      <c r="S23" s="24">
        <v>6</v>
      </c>
      <c r="T23" s="24">
        <v>0</v>
      </c>
    </row>
    <row r="24" spans="1:20">
      <c r="A24" s="22">
        <v>20</v>
      </c>
      <c r="B24" s="23" t="s">
        <v>908</v>
      </c>
      <c r="C24" s="23" t="s">
        <v>886</v>
      </c>
      <c r="D24" s="24">
        <f>COUNTIFS(Corpus!$F$2:$F$1045,B24,Corpus!$I$2:$I$1045,"National")</f>
        <v>6</v>
      </c>
      <c r="E24" s="24">
        <f>COUNTIFS(Corpus!$F$2:$F$1045,B24,Corpus!$I$2:$I$1045,"National",Corpus!$J$2:$J$1045,"&lt;&gt;Début du texte")</f>
        <v>6</v>
      </c>
      <c r="F24" s="24">
        <f>COUNTIFS(Corpus!$F$2:$F$1045,B24,Corpus!$I$2:$I$1045,"National",Corpus!$J$2:$J$1045,"Début du texte")</f>
        <v>0</v>
      </c>
      <c r="G24" s="24">
        <v>8</v>
      </c>
      <c r="H24" s="25">
        <f t="shared" si="0"/>
        <v>1.0889292196007259E-2</v>
      </c>
      <c r="I24" s="24">
        <f>COUNTIFS(Corpus!$F$2:$F$1045,B24,Corpus!$I$2:$I$1045,"National",Corpus!$C$2:$C$1045,2026)</f>
        <v>4</v>
      </c>
      <c r="J24" s="24">
        <f>COUNTIFS(Corpus!$F$2:$F$1045,B24,Corpus!$I$2:$I$1045,"National",Corpus!$B$2:$B$1045,"&gt;="&amp;DATE(2025,8,26))</f>
        <v>5</v>
      </c>
      <c r="K24" s="26">
        <v>45664</v>
      </c>
      <c r="L24" s="26">
        <v>46257</v>
      </c>
      <c r="M24" s="24">
        <v>2</v>
      </c>
      <c r="N24" s="23" t="s">
        <v>897</v>
      </c>
      <c r="O24" s="23" t="s">
        <v>898</v>
      </c>
      <c r="P24" s="23" t="s">
        <v>519</v>
      </c>
      <c r="Q24" s="24">
        <v>4</v>
      </c>
      <c r="R24" s="24">
        <f>SUMIFS(Corpus!$O$2:$O$1045,Corpus!$F$2:$F$1045,B24,Corpus!$I$2:$I$1045,"National")</f>
        <v>138</v>
      </c>
      <c r="S24" s="24">
        <v>6</v>
      </c>
      <c r="T24" s="24">
        <v>0</v>
      </c>
    </row>
    <row r="25" spans="1:20">
      <c r="A25" s="22">
        <v>21</v>
      </c>
      <c r="B25" s="23" t="s">
        <v>909</v>
      </c>
      <c r="C25" s="23" t="s">
        <v>883</v>
      </c>
      <c r="D25" s="24">
        <f>COUNTIFS(Corpus!$F$2:$F$1045,B25,Corpus!$I$2:$I$1045,"National")</f>
        <v>5</v>
      </c>
      <c r="E25" s="24">
        <f>COUNTIFS(Corpus!$F$2:$F$1045,B25,Corpus!$I$2:$I$1045,"National",Corpus!$J$2:$J$1045,"&lt;&gt;Début du texte")</f>
        <v>4</v>
      </c>
      <c r="F25" s="24">
        <f>COUNTIFS(Corpus!$F$2:$F$1045,B25,Corpus!$I$2:$I$1045,"National",Corpus!$J$2:$J$1045,"Début du texte")</f>
        <v>1</v>
      </c>
      <c r="G25" s="24">
        <v>11</v>
      </c>
      <c r="H25" s="25">
        <f t="shared" si="0"/>
        <v>9.0744101633393835E-3</v>
      </c>
      <c r="I25" s="24">
        <f>COUNTIFS(Corpus!$F$2:$F$1045,B25,Corpus!$I$2:$I$1045,"National",Corpus!$C$2:$C$1045,2026)</f>
        <v>1</v>
      </c>
      <c r="J25" s="24">
        <f>COUNTIFS(Corpus!$F$2:$F$1045,B25,Corpus!$I$2:$I$1045,"National",Corpus!$B$2:$B$1045,"&gt;="&amp;DATE(2025,8,26))</f>
        <v>1</v>
      </c>
      <c r="K25" s="26">
        <v>45072</v>
      </c>
      <c r="L25" s="26">
        <v>46205</v>
      </c>
      <c r="M25" s="24">
        <v>54</v>
      </c>
      <c r="N25" s="23" t="s">
        <v>910</v>
      </c>
      <c r="O25" s="23" t="s">
        <v>901</v>
      </c>
      <c r="P25" s="23" t="s">
        <v>515</v>
      </c>
      <c r="Q25" s="24">
        <v>5</v>
      </c>
      <c r="R25" s="24">
        <f>SUMIFS(Corpus!$O$2:$O$1045,Corpus!$F$2:$F$1045,B25,Corpus!$I$2:$I$1045,"National")</f>
        <v>60</v>
      </c>
      <c r="S25" s="24">
        <v>4</v>
      </c>
      <c r="T25" s="24">
        <v>1</v>
      </c>
    </row>
    <row r="26" spans="1:20">
      <c r="A26" s="22">
        <v>22</v>
      </c>
      <c r="B26" s="23" t="s">
        <v>911</v>
      </c>
      <c r="C26" s="23" t="s">
        <v>883</v>
      </c>
      <c r="D26" s="24">
        <f>COUNTIFS(Corpus!$F$2:$F$1045,B26,Corpus!$I$2:$I$1045,"National")</f>
        <v>5</v>
      </c>
      <c r="E26" s="24">
        <f>COUNTIFS(Corpus!$F$2:$F$1045,B26,Corpus!$I$2:$I$1045,"National",Corpus!$J$2:$J$1045,"&lt;&gt;Début du texte")</f>
        <v>4</v>
      </c>
      <c r="F26" s="24">
        <f>COUNTIFS(Corpus!$F$2:$F$1045,B26,Corpus!$I$2:$I$1045,"National",Corpus!$J$2:$J$1045,"Début du texte")</f>
        <v>1</v>
      </c>
      <c r="G26" s="24">
        <v>6</v>
      </c>
      <c r="H26" s="25">
        <f t="shared" si="0"/>
        <v>9.0744101633393835E-3</v>
      </c>
      <c r="I26" s="24">
        <f>COUNTIFS(Corpus!$F$2:$F$1045,B26,Corpus!$I$2:$I$1045,"National",Corpus!$C$2:$C$1045,2026)</f>
        <v>3</v>
      </c>
      <c r="J26" s="24">
        <f>COUNTIFS(Corpus!$F$2:$F$1045,B26,Corpus!$I$2:$I$1045,"National",Corpus!$B$2:$B$1045,"&gt;="&amp;DATE(2025,8,26))</f>
        <v>3</v>
      </c>
      <c r="K26" s="26">
        <v>45644</v>
      </c>
      <c r="L26" s="26">
        <v>46214</v>
      </c>
      <c r="M26" s="24">
        <v>45</v>
      </c>
      <c r="N26" s="23" t="s">
        <v>910</v>
      </c>
      <c r="O26" s="23" t="s">
        <v>901</v>
      </c>
      <c r="P26" s="23" t="s">
        <v>522</v>
      </c>
      <c r="Q26" s="24">
        <v>3</v>
      </c>
      <c r="R26" s="24">
        <f>SUMIFS(Corpus!$O$2:$O$1045,Corpus!$F$2:$F$1045,B26,Corpus!$I$2:$I$1045,"National")</f>
        <v>117</v>
      </c>
      <c r="S26" s="24">
        <v>4</v>
      </c>
      <c r="T26" s="24">
        <v>1</v>
      </c>
    </row>
    <row r="27" spans="1:20">
      <c r="A27" s="22">
        <v>23</v>
      </c>
      <c r="B27" s="23" t="s">
        <v>912</v>
      </c>
      <c r="C27" s="23" t="s">
        <v>883</v>
      </c>
      <c r="D27" s="24">
        <f>COUNTIFS(Corpus!$F$2:$F$1045,B27,Corpus!$I$2:$I$1045,"National")</f>
        <v>4</v>
      </c>
      <c r="E27" s="24">
        <f>COUNTIFS(Corpus!$F$2:$F$1045,B27,Corpus!$I$2:$I$1045,"National",Corpus!$J$2:$J$1045,"&lt;&gt;Début du texte")</f>
        <v>4</v>
      </c>
      <c r="F27" s="24">
        <f>COUNTIFS(Corpus!$F$2:$F$1045,B27,Corpus!$I$2:$I$1045,"National",Corpus!$J$2:$J$1045,"Début du texte")</f>
        <v>0</v>
      </c>
      <c r="G27" s="24">
        <v>4</v>
      </c>
      <c r="H27" s="25">
        <f t="shared" si="0"/>
        <v>7.2595281306715061E-3</v>
      </c>
      <c r="I27" s="24">
        <f>COUNTIFS(Corpus!$F$2:$F$1045,B27,Corpus!$I$2:$I$1045,"National",Corpus!$C$2:$C$1045,2026)</f>
        <v>1</v>
      </c>
      <c r="J27" s="24">
        <f>COUNTIFS(Corpus!$F$2:$F$1045,B27,Corpus!$I$2:$I$1045,"National",Corpus!$B$2:$B$1045,"&gt;="&amp;DATE(2025,8,26))</f>
        <v>2</v>
      </c>
      <c r="K27" s="26">
        <v>45306</v>
      </c>
      <c r="L27" s="26">
        <v>46252</v>
      </c>
      <c r="M27" s="24">
        <v>7</v>
      </c>
      <c r="N27" s="23" t="s">
        <v>910</v>
      </c>
      <c r="O27" s="23" t="s">
        <v>901</v>
      </c>
      <c r="P27" s="23" t="s">
        <v>530</v>
      </c>
      <c r="Q27" s="24">
        <v>3</v>
      </c>
      <c r="R27" s="24">
        <f>SUMIFS(Corpus!$O$2:$O$1045,Corpus!$F$2:$F$1045,B27,Corpus!$I$2:$I$1045,"National")</f>
        <v>80</v>
      </c>
      <c r="S27" s="24">
        <v>4</v>
      </c>
      <c r="T27" s="24">
        <v>0</v>
      </c>
    </row>
    <row r="28" spans="1:20">
      <c r="A28" s="22">
        <v>24</v>
      </c>
      <c r="B28" s="23" t="s">
        <v>913</v>
      </c>
      <c r="C28" s="23" t="s">
        <v>895</v>
      </c>
      <c r="D28" s="24">
        <f>COUNTIFS(Corpus!$F$2:$F$1045,B28,Corpus!$I$2:$I$1045,"National")</f>
        <v>4</v>
      </c>
      <c r="E28" s="24">
        <f>COUNTIFS(Corpus!$F$2:$F$1045,B28,Corpus!$I$2:$I$1045,"National",Corpus!$J$2:$J$1045,"&lt;&gt;Début du texte")</f>
        <v>4</v>
      </c>
      <c r="F28" s="24">
        <f>COUNTIFS(Corpus!$F$2:$F$1045,B28,Corpus!$I$2:$I$1045,"National",Corpus!$J$2:$J$1045,"Début du texte")</f>
        <v>0</v>
      </c>
      <c r="G28" s="24">
        <v>12</v>
      </c>
      <c r="H28" s="25">
        <f t="shared" si="0"/>
        <v>7.2595281306715061E-3</v>
      </c>
      <c r="I28" s="24">
        <f>COUNTIFS(Corpus!$F$2:$F$1045,B28,Corpus!$I$2:$I$1045,"National",Corpus!$C$2:$C$1045,2026)</f>
        <v>3</v>
      </c>
      <c r="J28" s="24">
        <f>COUNTIFS(Corpus!$F$2:$F$1045,B28,Corpus!$I$2:$I$1045,"National",Corpus!$B$2:$B$1045,"&gt;="&amp;DATE(2025,8,26))</f>
        <v>3</v>
      </c>
      <c r="K28" s="26">
        <v>43784</v>
      </c>
      <c r="L28" s="26">
        <v>46237</v>
      </c>
      <c r="M28" s="24">
        <v>22</v>
      </c>
      <c r="N28" s="23" t="s">
        <v>910</v>
      </c>
      <c r="O28" s="23" t="s">
        <v>901</v>
      </c>
      <c r="P28" s="23" t="s">
        <v>519</v>
      </c>
      <c r="Q28" s="24">
        <v>4</v>
      </c>
      <c r="R28" s="24">
        <f>SUMIFS(Corpus!$O$2:$O$1045,Corpus!$F$2:$F$1045,B28,Corpus!$I$2:$I$1045,"National")</f>
        <v>86</v>
      </c>
      <c r="S28" s="24">
        <v>4</v>
      </c>
      <c r="T28" s="24">
        <v>0</v>
      </c>
    </row>
    <row r="29" spans="1:20">
      <c r="A29" s="22">
        <v>25</v>
      </c>
      <c r="B29" s="23" t="s">
        <v>914</v>
      </c>
      <c r="C29" s="23" t="s">
        <v>886</v>
      </c>
      <c r="D29" s="24">
        <f>COUNTIFS(Corpus!$F$2:$F$1045,B29,Corpus!$I$2:$I$1045,"National")</f>
        <v>4</v>
      </c>
      <c r="E29" s="24">
        <f>COUNTIFS(Corpus!$F$2:$F$1045,B29,Corpus!$I$2:$I$1045,"National",Corpus!$J$2:$J$1045,"&lt;&gt;Début du texte")</f>
        <v>4</v>
      </c>
      <c r="F29" s="24">
        <f>COUNTIFS(Corpus!$F$2:$F$1045,B29,Corpus!$I$2:$I$1045,"National",Corpus!$J$2:$J$1045,"Début du texte")</f>
        <v>0</v>
      </c>
      <c r="G29" s="24">
        <v>7</v>
      </c>
      <c r="H29" s="25">
        <f t="shared" si="0"/>
        <v>7.2595281306715061E-3</v>
      </c>
      <c r="I29" s="24">
        <f>COUNTIFS(Corpus!$F$2:$F$1045,B29,Corpus!$I$2:$I$1045,"National",Corpus!$C$2:$C$1045,2026)</f>
        <v>3</v>
      </c>
      <c r="J29" s="24">
        <f>COUNTIFS(Corpus!$F$2:$F$1045,B29,Corpus!$I$2:$I$1045,"National",Corpus!$B$2:$B$1045,"&gt;="&amp;DATE(2025,8,26))</f>
        <v>3</v>
      </c>
      <c r="K29" s="26">
        <v>45759</v>
      </c>
      <c r="L29" s="26">
        <v>46259</v>
      </c>
      <c r="M29" s="24">
        <v>0</v>
      </c>
      <c r="N29" s="23" t="s">
        <v>910</v>
      </c>
      <c r="O29" s="23" t="s">
        <v>901</v>
      </c>
      <c r="P29" s="23" t="s">
        <v>519</v>
      </c>
      <c r="Q29" s="24">
        <v>4</v>
      </c>
      <c r="R29" s="24">
        <f>SUMIFS(Corpus!$O$2:$O$1045,Corpus!$F$2:$F$1045,B29,Corpus!$I$2:$I$1045,"National")</f>
        <v>55</v>
      </c>
      <c r="S29" s="24">
        <v>3</v>
      </c>
      <c r="T29" s="24">
        <v>1</v>
      </c>
    </row>
    <row r="30" spans="1:20">
      <c r="A30" s="22">
        <v>26</v>
      </c>
      <c r="B30" s="23" t="s">
        <v>915</v>
      </c>
      <c r="C30" s="23" t="s">
        <v>890</v>
      </c>
      <c r="D30" s="24">
        <f>COUNTIFS(Corpus!$F$2:$F$1045,B30,Corpus!$I$2:$I$1045,"National")</f>
        <v>4</v>
      </c>
      <c r="E30" s="24">
        <f>COUNTIFS(Corpus!$F$2:$F$1045,B30,Corpus!$I$2:$I$1045,"National",Corpus!$J$2:$J$1045,"&lt;&gt;Début du texte")</f>
        <v>4</v>
      </c>
      <c r="F30" s="24">
        <f>COUNTIFS(Corpus!$F$2:$F$1045,B30,Corpus!$I$2:$I$1045,"National",Corpus!$J$2:$J$1045,"Début du texte")</f>
        <v>0</v>
      </c>
      <c r="G30" s="24">
        <v>5</v>
      </c>
      <c r="H30" s="25">
        <f t="shared" si="0"/>
        <v>7.2595281306715061E-3</v>
      </c>
      <c r="I30" s="24">
        <f>COUNTIFS(Corpus!$F$2:$F$1045,B30,Corpus!$I$2:$I$1045,"National",Corpus!$C$2:$C$1045,2026)</f>
        <v>1</v>
      </c>
      <c r="J30" s="24">
        <f>COUNTIFS(Corpus!$F$2:$F$1045,B30,Corpus!$I$2:$I$1045,"National",Corpus!$B$2:$B$1045,"&gt;="&amp;DATE(2025,8,26))</f>
        <v>2</v>
      </c>
      <c r="K30" s="26">
        <v>45333</v>
      </c>
      <c r="L30" s="26">
        <v>46204</v>
      </c>
      <c r="M30" s="24">
        <v>55</v>
      </c>
      <c r="N30" s="23" t="s">
        <v>910</v>
      </c>
      <c r="O30" s="23" t="s">
        <v>901</v>
      </c>
      <c r="P30" s="23" t="s">
        <v>515</v>
      </c>
      <c r="Q30" s="24">
        <v>3</v>
      </c>
      <c r="R30" s="24">
        <f>SUMIFS(Corpus!$O$2:$O$1045,Corpus!$F$2:$F$1045,B30,Corpus!$I$2:$I$1045,"National")</f>
        <v>129</v>
      </c>
      <c r="S30" s="24">
        <v>4</v>
      </c>
      <c r="T30" s="24">
        <v>0</v>
      </c>
    </row>
    <row r="31" spans="1:20">
      <c r="A31" s="22">
        <v>27</v>
      </c>
      <c r="B31" s="23" t="s">
        <v>916</v>
      </c>
      <c r="C31" s="23" t="s">
        <v>879</v>
      </c>
      <c r="D31" s="24">
        <f>COUNTIFS(Corpus!$F$2:$F$1045,B31,Corpus!$I$2:$I$1045,"National")</f>
        <v>4</v>
      </c>
      <c r="E31" s="24">
        <f>COUNTIFS(Corpus!$F$2:$F$1045,B31,Corpus!$I$2:$I$1045,"National",Corpus!$J$2:$J$1045,"&lt;&gt;Début du texte")</f>
        <v>3</v>
      </c>
      <c r="F31" s="24">
        <f>COUNTIFS(Corpus!$F$2:$F$1045,B31,Corpus!$I$2:$I$1045,"National",Corpus!$J$2:$J$1045,"Début du texte")</f>
        <v>1</v>
      </c>
      <c r="G31" s="24">
        <v>5</v>
      </c>
      <c r="H31" s="25">
        <f t="shared" si="0"/>
        <v>7.2595281306715061E-3</v>
      </c>
      <c r="I31" s="24">
        <f>COUNTIFS(Corpus!$F$2:$F$1045,B31,Corpus!$I$2:$I$1045,"National",Corpus!$C$2:$C$1045,2026)</f>
        <v>0</v>
      </c>
      <c r="J31" s="24">
        <f>COUNTIFS(Corpus!$F$2:$F$1045,B31,Corpus!$I$2:$I$1045,"National",Corpus!$B$2:$B$1045,"&gt;="&amp;DATE(2025,8,26))</f>
        <v>0</v>
      </c>
      <c r="K31" s="26">
        <v>44973</v>
      </c>
      <c r="L31" s="26">
        <v>45663</v>
      </c>
      <c r="M31" s="24">
        <v>596</v>
      </c>
      <c r="N31" s="23" t="s">
        <v>910</v>
      </c>
      <c r="O31" s="23" t="s">
        <v>917</v>
      </c>
      <c r="P31" s="23" t="s">
        <v>512</v>
      </c>
      <c r="Q31" s="24">
        <v>2</v>
      </c>
      <c r="R31" s="24">
        <f>SUMIFS(Corpus!$O$2:$O$1045,Corpus!$F$2:$F$1045,B31,Corpus!$I$2:$I$1045,"National")</f>
        <v>37</v>
      </c>
      <c r="S31" s="24">
        <v>3</v>
      </c>
      <c r="T31" s="24">
        <v>1</v>
      </c>
    </row>
    <row r="32" spans="1:20">
      <c r="A32" s="22">
        <v>28</v>
      </c>
      <c r="B32" s="23" t="s">
        <v>918</v>
      </c>
      <c r="C32" s="23" t="s">
        <v>883</v>
      </c>
      <c r="D32" s="24">
        <f>COUNTIFS(Corpus!$F$2:$F$1045,B32,Corpus!$I$2:$I$1045,"National")</f>
        <v>3</v>
      </c>
      <c r="E32" s="24">
        <f>COUNTIFS(Corpus!$F$2:$F$1045,B32,Corpus!$I$2:$I$1045,"National",Corpus!$J$2:$J$1045,"&lt;&gt;Début du texte")</f>
        <v>3</v>
      </c>
      <c r="F32" s="24">
        <f>COUNTIFS(Corpus!$F$2:$F$1045,B32,Corpus!$I$2:$I$1045,"National",Corpus!$J$2:$J$1045,"Début du texte")</f>
        <v>0</v>
      </c>
      <c r="G32" s="24">
        <v>8</v>
      </c>
      <c r="H32" s="25">
        <f t="shared" si="0"/>
        <v>5.4446460980036296E-3</v>
      </c>
      <c r="I32" s="24">
        <f>COUNTIFS(Corpus!$F$2:$F$1045,B32,Corpus!$I$2:$I$1045,"National",Corpus!$C$2:$C$1045,2026)</f>
        <v>1</v>
      </c>
      <c r="J32" s="24">
        <f>COUNTIFS(Corpus!$F$2:$F$1045,B32,Corpus!$I$2:$I$1045,"National",Corpus!$B$2:$B$1045,"&gt;="&amp;DATE(2025,8,26))</f>
        <v>1</v>
      </c>
      <c r="K32" s="26">
        <v>44760</v>
      </c>
      <c r="L32" s="26">
        <v>46245</v>
      </c>
      <c r="M32" s="24">
        <v>14</v>
      </c>
      <c r="N32" s="23" t="s">
        <v>910</v>
      </c>
      <c r="O32" s="23" t="s">
        <v>901</v>
      </c>
      <c r="P32" s="23" t="s">
        <v>515</v>
      </c>
      <c r="Q32" s="24">
        <v>2</v>
      </c>
      <c r="R32" s="24">
        <f>SUMIFS(Corpus!$O$2:$O$1045,Corpus!$F$2:$F$1045,B32,Corpus!$I$2:$I$1045,"National")</f>
        <v>67</v>
      </c>
      <c r="S32" s="24">
        <v>3</v>
      </c>
      <c r="T32" s="24">
        <v>0</v>
      </c>
    </row>
    <row r="33" spans="1:20">
      <c r="A33" s="22">
        <v>29</v>
      </c>
      <c r="B33" s="23" t="s">
        <v>919</v>
      </c>
      <c r="C33" s="23" t="s">
        <v>883</v>
      </c>
      <c r="D33" s="24">
        <f>COUNTIFS(Corpus!$F$2:$F$1045,B33,Corpus!$I$2:$I$1045,"National")</f>
        <v>3</v>
      </c>
      <c r="E33" s="24">
        <f>COUNTIFS(Corpus!$F$2:$F$1045,B33,Corpus!$I$2:$I$1045,"National",Corpus!$J$2:$J$1045,"&lt;&gt;Début du texte")</f>
        <v>3</v>
      </c>
      <c r="F33" s="24">
        <f>COUNTIFS(Corpus!$F$2:$F$1045,B33,Corpus!$I$2:$I$1045,"National",Corpus!$J$2:$J$1045,"Début du texte")</f>
        <v>0</v>
      </c>
      <c r="G33" s="24">
        <v>3</v>
      </c>
      <c r="H33" s="25">
        <f t="shared" si="0"/>
        <v>5.4446460980036296E-3</v>
      </c>
      <c r="I33" s="24">
        <f>COUNTIFS(Corpus!$F$2:$F$1045,B33,Corpus!$I$2:$I$1045,"National",Corpus!$C$2:$C$1045,2026)</f>
        <v>3</v>
      </c>
      <c r="J33" s="24">
        <f>COUNTIFS(Corpus!$F$2:$F$1045,B33,Corpus!$I$2:$I$1045,"National",Corpus!$B$2:$B$1045,"&gt;="&amp;DATE(2025,8,26))</f>
        <v>3</v>
      </c>
      <c r="K33" s="26">
        <v>46102</v>
      </c>
      <c r="L33" s="26">
        <v>46230</v>
      </c>
      <c r="M33" s="24">
        <v>29</v>
      </c>
      <c r="N33" s="23" t="s">
        <v>910</v>
      </c>
      <c r="O33" s="23" t="s">
        <v>901</v>
      </c>
      <c r="P33" s="23" t="s">
        <v>519</v>
      </c>
      <c r="Q33" s="24">
        <v>2</v>
      </c>
      <c r="R33" s="24">
        <f>SUMIFS(Corpus!$O$2:$O$1045,Corpus!$F$2:$F$1045,B33,Corpus!$I$2:$I$1045,"National")</f>
        <v>70</v>
      </c>
      <c r="S33" s="24">
        <v>3</v>
      </c>
      <c r="T33" s="24">
        <v>0</v>
      </c>
    </row>
    <row r="34" spans="1:20">
      <c r="A34" s="22">
        <v>30</v>
      </c>
      <c r="B34" s="23" t="s">
        <v>920</v>
      </c>
      <c r="C34" s="23" t="s">
        <v>890</v>
      </c>
      <c r="D34" s="24">
        <f>COUNTIFS(Corpus!$F$2:$F$1045,B34,Corpus!$I$2:$I$1045,"National")</f>
        <v>3</v>
      </c>
      <c r="E34" s="24">
        <f>COUNTIFS(Corpus!$F$2:$F$1045,B34,Corpus!$I$2:$I$1045,"National",Corpus!$J$2:$J$1045,"&lt;&gt;Début du texte")</f>
        <v>3</v>
      </c>
      <c r="F34" s="24">
        <f>COUNTIFS(Corpus!$F$2:$F$1045,B34,Corpus!$I$2:$I$1045,"National",Corpus!$J$2:$J$1045,"Début du texte")</f>
        <v>0</v>
      </c>
      <c r="G34" s="24">
        <v>5</v>
      </c>
      <c r="H34" s="25">
        <f t="shared" si="0"/>
        <v>5.4446460980036296E-3</v>
      </c>
      <c r="I34" s="24">
        <f>COUNTIFS(Corpus!$F$2:$F$1045,B34,Corpus!$I$2:$I$1045,"National",Corpus!$C$2:$C$1045,2026)</f>
        <v>3</v>
      </c>
      <c r="J34" s="24">
        <f>COUNTIFS(Corpus!$F$2:$F$1045,B34,Corpus!$I$2:$I$1045,"National",Corpus!$B$2:$B$1045,"&gt;="&amp;DATE(2025,8,26))</f>
        <v>3</v>
      </c>
      <c r="K34" s="26">
        <v>46148</v>
      </c>
      <c r="L34" s="26">
        <v>46259</v>
      </c>
      <c r="M34" s="24">
        <v>0</v>
      </c>
      <c r="N34" s="23" t="s">
        <v>910</v>
      </c>
      <c r="O34" s="23" t="s">
        <v>901</v>
      </c>
      <c r="P34" s="23" t="s">
        <v>526</v>
      </c>
      <c r="Q34" s="24">
        <v>3</v>
      </c>
      <c r="R34" s="24">
        <f>SUMIFS(Corpus!$O$2:$O$1045,Corpus!$F$2:$F$1045,B34,Corpus!$I$2:$I$1045,"National")</f>
        <v>88</v>
      </c>
      <c r="S34" s="24">
        <v>3</v>
      </c>
      <c r="T34" s="24">
        <v>0</v>
      </c>
    </row>
    <row r="35" spans="1:20">
      <c r="A35" s="22">
        <v>31</v>
      </c>
      <c r="B35" s="23" t="s">
        <v>921</v>
      </c>
      <c r="C35" s="23" t="s">
        <v>895</v>
      </c>
      <c r="D35" s="24">
        <f>COUNTIFS(Corpus!$F$2:$F$1045,B35,Corpus!$I$2:$I$1045,"National")</f>
        <v>3</v>
      </c>
      <c r="E35" s="24">
        <f>COUNTIFS(Corpus!$F$2:$F$1045,B35,Corpus!$I$2:$I$1045,"National",Corpus!$J$2:$J$1045,"&lt;&gt;Début du texte")</f>
        <v>3</v>
      </c>
      <c r="F35" s="24">
        <f>COUNTIFS(Corpus!$F$2:$F$1045,B35,Corpus!$I$2:$I$1045,"National",Corpus!$J$2:$J$1045,"Début du texte")</f>
        <v>0</v>
      </c>
      <c r="G35" s="24">
        <v>3</v>
      </c>
      <c r="H35" s="25">
        <f t="shared" si="0"/>
        <v>5.4446460980036296E-3</v>
      </c>
      <c r="I35" s="24">
        <f>COUNTIFS(Corpus!$F$2:$F$1045,B35,Corpus!$I$2:$I$1045,"National",Corpus!$C$2:$C$1045,2026)</f>
        <v>2</v>
      </c>
      <c r="J35" s="24">
        <f>COUNTIFS(Corpus!$F$2:$F$1045,B35,Corpus!$I$2:$I$1045,"National",Corpus!$B$2:$B$1045,"&gt;="&amp;DATE(2025,8,26))</f>
        <v>2</v>
      </c>
      <c r="K35" s="26">
        <v>43971</v>
      </c>
      <c r="L35" s="26">
        <v>46236</v>
      </c>
      <c r="M35" s="24">
        <v>23</v>
      </c>
      <c r="N35" s="23" t="s">
        <v>910</v>
      </c>
      <c r="O35" s="23" t="s">
        <v>901</v>
      </c>
      <c r="P35" s="23" t="s">
        <v>515</v>
      </c>
      <c r="Q35" s="24">
        <v>2</v>
      </c>
      <c r="R35" s="24">
        <f>SUMIFS(Corpus!$O$2:$O$1045,Corpus!$F$2:$F$1045,B35,Corpus!$I$2:$I$1045,"National")</f>
        <v>117</v>
      </c>
      <c r="S35" s="24">
        <v>3</v>
      </c>
      <c r="T35" s="24">
        <v>0</v>
      </c>
    </row>
    <row r="36" spans="1:20">
      <c r="A36" s="22">
        <v>32</v>
      </c>
      <c r="B36" s="23" t="s">
        <v>922</v>
      </c>
      <c r="C36" s="23" t="s">
        <v>890</v>
      </c>
      <c r="D36" s="24">
        <f>COUNTIFS(Corpus!$F$2:$F$1045,B36,Corpus!$I$2:$I$1045,"National")</f>
        <v>3</v>
      </c>
      <c r="E36" s="24">
        <f>COUNTIFS(Corpus!$F$2:$F$1045,B36,Corpus!$I$2:$I$1045,"National",Corpus!$J$2:$J$1045,"&lt;&gt;Début du texte")</f>
        <v>2</v>
      </c>
      <c r="F36" s="24">
        <f>COUNTIFS(Corpus!$F$2:$F$1045,B36,Corpus!$I$2:$I$1045,"National",Corpus!$J$2:$J$1045,"Début du texte")</f>
        <v>1</v>
      </c>
      <c r="G36" s="24">
        <v>3</v>
      </c>
      <c r="H36" s="25">
        <f t="shared" si="0"/>
        <v>5.4446460980036296E-3</v>
      </c>
      <c r="I36" s="24">
        <f>COUNTIFS(Corpus!$F$2:$F$1045,B36,Corpus!$I$2:$I$1045,"National",Corpus!$C$2:$C$1045,2026)</f>
        <v>2</v>
      </c>
      <c r="J36" s="24">
        <f>COUNTIFS(Corpus!$F$2:$F$1045,B36,Corpus!$I$2:$I$1045,"National",Corpus!$B$2:$B$1045,"&gt;="&amp;DATE(2025,8,26))</f>
        <v>3</v>
      </c>
      <c r="K36" s="26">
        <v>45959</v>
      </c>
      <c r="L36" s="26">
        <v>46230</v>
      </c>
      <c r="M36" s="24">
        <v>29</v>
      </c>
      <c r="N36" s="23" t="s">
        <v>910</v>
      </c>
      <c r="O36" s="23" t="s">
        <v>901</v>
      </c>
      <c r="P36" s="23" t="s">
        <v>519</v>
      </c>
      <c r="Q36" s="24">
        <v>2</v>
      </c>
      <c r="R36" s="24">
        <f>SUMIFS(Corpus!$O$2:$O$1045,Corpus!$F$2:$F$1045,B36,Corpus!$I$2:$I$1045,"National")</f>
        <v>115</v>
      </c>
      <c r="S36" s="24">
        <v>2</v>
      </c>
      <c r="T36" s="24">
        <v>1</v>
      </c>
    </row>
    <row r="37" spans="1:20">
      <c r="A37" s="22">
        <v>33</v>
      </c>
      <c r="B37" s="23" t="s">
        <v>923</v>
      </c>
      <c r="C37" s="23" t="s">
        <v>890</v>
      </c>
      <c r="D37" s="24">
        <f>COUNTIFS(Corpus!$F$2:$F$1045,B37,Corpus!$I$2:$I$1045,"National")</f>
        <v>3</v>
      </c>
      <c r="E37" s="24">
        <f>COUNTIFS(Corpus!$F$2:$F$1045,B37,Corpus!$I$2:$I$1045,"National",Corpus!$J$2:$J$1045,"&lt;&gt;Début du texte")</f>
        <v>1</v>
      </c>
      <c r="F37" s="24">
        <f>COUNTIFS(Corpus!$F$2:$F$1045,B37,Corpus!$I$2:$I$1045,"National",Corpus!$J$2:$J$1045,"Début du texte")</f>
        <v>2</v>
      </c>
      <c r="G37" s="24">
        <v>4</v>
      </c>
      <c r="H37" s="25">
        <f t="shared" ref="H37:H59" si="1">IFERROR(D37/SUM($D$5:$D$59),0)</f>
        <v>5.4446460980036296E-3</v>
      </c>
      <c r="I37" s="24">
        <f>COUNTIFS(Corpus!$F$2:$F$1045,B37,Corpus!$I$2:$I$1045,"National",Corpus!$C$2:$C$1045,2026)</f>
        <v>0</v>
      </c>
      <c r="J37" s="24">
        <f>COUNTIFS(Corpus!$F$2:$F$1045,B37,Corpus!$I$2:$I$1045,"National",Corpus!$B$2:$B$1045,"&gt;="&amp;DATE(2025,8,26))</f>
        <v>0</v>
      </c>
      <c r="K37" s="26">
        <v>44691</v>
      </c>
      <c r="L37" s="26">
        <v>45871</v>
      </c>
      <c r="M37" s="24">
        <v>388</v>
      </c>
      <c r="N37" s="23" t="s">
        <v>910</v>
      </c>
      <c r="O37" s="23" t="s">
        <v>917</v>
      </c>
      <c r="P37" s="23" t="s">
        <v>512</v>
      </c>
      <c r="Q37" s="24">
        <v>2</v>
      </c>
      <c r="R37" s="24">
        <f>SUMIFS(Corpus!$O$2:$O$1045,Corpus!$F$2:$F$1045,B37,Corpus!$I$2:$I$1045,"National")</f>
        <v>35</v>
      </c>
      <c r="S37" s="24">
        <v>1</v>
      </c>
      <c r="T37" s="24">
        <v>2</v>
      </c>
    </row>
    <row r="38" spans="1:20">
      <c r="A38" s="22">
        <v>34</v>
      </c>
      <c r="B38" s="23" t="s">
        <v>924</v>
      </c>
      <c r="C38" s="23" t="s">
        <v>879</v>
      </c>
      <c r="D38" s="24">
        <f>COUNTIFS(Corpus!$F$2:$F$1045,B38,Corpus!$I$2:$I$1045,"National")</f>
        <v>2</v>
      </c>
      <c r="E38" s="24">
        <f>COUNTIFS(Corpus!$F$2:$F$1045,B38,Corpus!$I$2:$I$1045,"National",Corpus!$J$2:$J$1045,"&lt;&gt;Début du texte")</f>
        <v>2</v>
      </c>
      <c r="F38" s="24">
        <f>COUNTIFS(Corpus!$F$2:$F$1045,B38,Corpus!$I$2:$I$1045,"National",Corpus!$J$2:$J$1045,"Début du texte")</f>
        <v>0</v>
      </c>
      <c r="G38" s="24">
        <v>5</v>
      </c>
      <c r="H38" s="25">
        <f t="shared" si="1"/>
        <v>3.629764065335753E-3</v>
      </c>
      <c r="I38" s="24">
        <f>COUNTIFS(Corpus!$F$2:$F$1045,B38,Corpus!$I$2:$I$1045,"National",Corpus!$C$2:$C$1045,2026)</f>
        <v>0</v>
      </c>
      <c r="J38" s="24">
        <f>COUNTIFS(Corpus!$F$2:$F$1045,B38,Corpus!$I$2:$I$1045,"National",Corpus!$B$2:$B$1045,"&gt;="&amp;DATE(2025,8,26))</f>
        <v>1</v>
      </c>
      <c r="K38" s="26">
        <v>45579</v>
      </c>
      <c r="L38" s="26">
        <v>45906</v>
      </c>
      <c r="M38" s="24">
        <v>353</v>
      </c>
      <c r="N38" s="23" t="s">
        <v>925</v>
      </c>
      <c r="O38" s="23" t="s">
        <v>917</v>
      </c>
      <c r="P38" s="23" t="s">
        <v>515</v>
      </c>
      <c r="Q38" s="24">
        <v>1</v>
      </c>
      <c r="R38" s="24">
        <f>SUMIFS(Corpus!$O$2:$O$1045,Corpus!$F$2:$F$1045,B38,Corpus!$I$2:$I$1045,"National")</f>
        <v>43</v>
      </c>
      <c r="S38" s="24">
        <v>2</v>
      </c>
      <c r="T38" s="24">
        <v>0</v>
      </c>
    </row>
    <row r="39" spans="1:20">
      <c r="A39" s="22">
        <v>35</v>
      </c>
      <c r="B39" s="23" t="s">
        <v>926</v>
      </c>
      <c r="C39" s="23" t="s">
        <v>883</v>
      </c>
      <c r="D39" s="24">
        <f>COUNTIFS(Corpus!$F$2:$F$1045,B39,Corpus!$I$2:$I$1045,"National")</f>
        <v>2</v>
      </c>
      <c r="E39" s="24">
        <f>COUNTIFS(Corpus!$F$2:$F$1045,B39,Corpus!$I$2:$I$1045,"National",Corpus!$J$2:$J$1045,"&lt;&gt;Début du texte")</f>
        <v>2</v>
      </c>
      <c r="F39" s="24">
        <f>COUNTIFS(Corpus!$F$2:$F$1045,B39,Corpus!$I$2:$I$1045,"National",Corpus!$J$2:$J$1045,"Début du texte")</f>
        <v>0</v>
      </c>
      <c r="G39" s="24">
        <v>2</v>
      </c>
      <c r="H39" s="25">
        <f t="shared" si="1"/>
        <v>3.629764065335753E-3</v>
      </c>
      <c r="I39" s="24">
        <f>COUNTIFS(Corpus!$F$2:$F$1045,B39,Corpus!$I$2:$I$1045,"National",Corpus!$C$2:$C$1045,2026)</f>
        <v>0</v>
      </c>
      <c r="J39" s="24">
        <f>COUNTIFS(Corpus!$F$2:$F$1045,B39,Corpus!$I$2:$I$1045,"National",Corpus!$B$2:$B$1045,"&gt;="&amp;DATE(2025,8,26))</f>
        <v>0</v>
      </c>
      <c r="K39" s="26">
        <v>44712</v>
      </c>
      <c r="L39" s="26">
        <v>45661</v>
      </c>
      <c r="M39" s="24">
        <v>598</v>
      </c>
      <c r="N39" s="23" t="s">
        <v>925</v>
      </c>
      <c r="O39" s="23" t="s">
        <v>917</v>
      </c>
      <c r="P39" s="23" t="s">
        <v>512</v>
      </c>
      <c r="Q39" s="24">
        <v>2</v>
      </c>
      <c r="R39" s="24">
        <f>SUMIFS(Corpus!$O$2:$O$1045,Corpus!$F$2:$F$1045,B39,Corpus!$I$2:$I$1045,"National")</f>
        <v>53</v>
      </c>
      <c r="S39" s="24">
        <v>2</v>
      </c>
      <c r="T39" s="24">
        <v>0</v>
      </c>
    </row>
    <row r="40" spans="1:20">
      <c r="A40" s="22">
        <v>36</v>
      </c>
      <c r="B40" s="23" t="s">
        <v>927</v>
      </c>
      <c r="C40" s="23" t="s">
        <v>886</v>
      </c>
      <c r="D40" s="24">
        <f>COUNTIFS(Corpus!$F$2:$F$1045,B40,Corpus!$I$2:$I$1045,"National")</f>
        <v>2</v>
      </c>
      <c r="E40" s="24">
        <f>COUNTIFS(Corpus!$F$2:$F$1045,B40,Corpus!$I$2:$I$1045,"National",Corpus!$J$2:$J$1045,"&lt;&gt;Début du texte")</f>
        <v>2</v>
      </c>
      <c r="F40" s="24">
        <f>COUNTIFS(Corpus!$F$2:$F$1045,B40,Corpus!$I$2:$I$1045,"National",Corpus!$J$2:$J$1045,"Début du texte")</f>
        <v>0</v>
      </c>
      <c r="G40" s="24">
        <v>7</v>
      </c>
      <c r="H40" s="25">
        <f t="shared" si="1"/>
        <v>3.629764065335753E-3</v>
      </c>
      <c r="I40" s="24">
        <f>COUNTIFS(Corpus!$F$2:$F$1045,B40,Corpus!$I$2:$I$1045,"National",Corpus!$C$2:$C$1045,2026)</f>
        <v>1</v>
      </c>
      <c r="J40" s="24">
        <f>COUNTIFS(Corpus!$F$2:$F$1045,B40,Corpus!$I$2:$I$1045,"National",Corpus!$B$2:$B$1045,"&gt;="&amp;DATE(2025,8,26))</f>
        <v>1</v>
      </c>
      <c r="K40" s="26">
        <v>44675</v>
      </c>
      <c r="L40" s="26">
        <v>46241</v>
      </c>
      <c r="M40" s="24">
        <v>18</v>
      </c>
      <c r="N40" s="23" t="s">
        <v>925</v>
      </c>
      <c r="O40" s="23" t="s">
        <v>917</v>
      </c>
      <c r="P40" s="23" t="s">
        <v>519</v>
      </c>
      <c r="Q40" s="24">
        <v>2</v>
      </c>
      <c r="R40" s="24">
        <f>SUMIFS(Corpus!$O$2:$O$1045,Corpus!$F$2:$F$1045,B40,Corpus!$I$2:$I$1045,"National")</f>
        <v>50</v>
      </c>
      <c r="S40" s="24">
        <v>2</v>
      </c>
      <c r="T40" s="24">
        <v>0</v>
      </c>
    </row>
    <row r="41" spans="1:20">
      <c r="A41" s="22">
        <v>37</v>
      </c>
      <c r="B41" s="23" t="s">
        <v>928</v>
      </c>
      <c r="C41" s="23" t="s">
        <v>879</v>
      </c>
      <c r="D41" s="24">
        <f>COUNTIFS(Corpus!$F$2:$F$1045,B41,Corpus!$I$2:$I$1045,"National")</f>
        <v>2</v>
      </c>
      <c r="E41" s="24">
        <f>COUNTIFS(Corpus!$F$2:$F$1045,B41,Corpus!$I$2:$I$1045,"National",Corpus!$J$2:$J$1045,"&lt;&gt;Début du texte")</f>
        <v>1</v>
      </c>
      <c r="F41" s="24">
        <f>COUNTIFS(Corpus!$F$2:$F$1045,B41,Corpus!$I$2:$I$1045,"National",Corpus!$J$2:$J$1045,"Début du texte")</f>
        <v>1</v>
      </c>
      <c r="G41" s="24">
        <v>5</v>
      </c>
      <c r="H41" s="25">
        <f t="shared" si="1"/>
        <v>3.629764065335753E-3</v>
      </c>
      <c r="I41" s="24">
        <f>COUNTIFS(Corpus!$F$2:$F$1045,B41,Corpus!$I$2:$I$1045,"National",Corpus!$C$2:$C$1045,2026)</f>
        <v>1</v>
      </c>
      <c r="J41" s="24">
        <f>COUNTIFS(Corpus!$F$2:$F$1045,B41,Corpus!$I$2:$I$1045,"National",Corpus!$B$2:$B$1045,"&gt;="&amp;DATE(2025,8,26))</f>
        <v>1</v>
      </c>
      <c r="K41" s="26">
        <v>45092</v>
      </c>
      <c r="L41" s="26">
        <v>46241</v>
      </c>
      <c r="M41" s="24">
        <v>18</v>
      </c>
      <c r="N41" s="23" t="s">
        <v>925</v>
      </c>
      <c r="O41" s="23" t="s">
        <v>917</v>
      </c>
      <c r="P41" s="23" t="s">
        <v>512</v>
      </c>
      <c r="Q41" s="24">
        <v>2</v>
      </c>
      <c r="R41" s="24">
        <f>SUMIFS(Corpus!$O$2:$O$1045,Corpus!$F$2:$F$1045,B41,Corpus!$I$2:$I$1045,"National")</f>
        <v>73</v>
      </c>
      <c r="S41" s="24">
        <v>1</v>
      </c>
      <c r="T41" s="24">
        <v>1</v>
      </c>
    </row>
    <row r="42" spans="1:20">
      <c r="A42" s="22">
        <v>38</v>
      </c>
      <c r="B42" s="23" t="s">
        <v>929</v>
      </c>
      <c r="C42" s="23" t="s">
        <v>895</v>
      </c>
      <c r="D42" s="24">
        <f>COUNTIFS(Corpus!$F$2:$F$1045,B42,Corpus!$I$2:$I$1045,"National")</f>
        <v>1</v>
      </c>
      <c r="E42" s="24">
        <f>COUNTIFS(Corpus!$F$2:$F$1045,B42,Corpus!$I$2:$I$1045,"National",Corpus!$J$2:$J$1045,"&lt;&gt;Début du texte")</f>
        <v>1</v>
      </c>
      <c r="F42" s="24">
        <f>COUNTIFS(Corpus!$F$2:$F$1045,B42,Corpus!$I$2:$I$1045,"National",Corpus!$J$2:$J$1045,"Début du texte")</f>
        <v>0</v>
      </c>
      <c r="G42" s="24">
        <v>2</v>
      </c>
      <c r="H42" s="25">
        <f t="shared" si="1"/>
        <v>1.8148820326678765E-3</v>
      </c>
      <c r="I42" s="24">
        <f>COUNTIFS(Corpus!$F$2:$F$1045,B42,Corpus!$I$2:$I$1045,"National",Corpus!$C$2:$C$1045,2026)</f>
        <v>0</v>
      </c>
      <c r="J42" s="24">
        <f>COUNTIFS(Corpus!$F$2:$F$1045,B42,Corpus!$I$2:$I$1045,"National",Corpus!$B$2:$B$1045,"&gt;="&amp;DATE(2025,8,26))</f>
        <v>0</v>
      </c>
      <c r="K42" s="26">
        <v>45087</v>
      </c>
      <c r="L42" s="26">
        <v>45087</v>
      </c>
      <c r="M42" s="24">
        <v>1172</v>
      </c>
      <c r="N42" s="23" t="s">
        <v>925</v>
      </c>
      <c r="O42" s="23" t="s">
        <v>917</v>
      </c>
      <c r="P42" s="23" t="s">
        <v>522</v>
      </c>
      <c r="Q42" s="24">
        <v>1</v>
      </c>
      <c r="R42" s="24">
        <f>SUMIFS(Corpus!$O$2:$O$1045,Corpus!$F$2:$F$1045,B42,Corpus!$I$2:$I$1045,"National")</f>
        <v>4</v>
      </c>
      <c r="S42" s="24">
        <v>1</v>
      </c>
      <c r="T42" s="24">
        <v>0</v>
      </c>
    </row>
    <row r="43" spans="1:20">
      <c r="A43" s="22">
        <v>39</v>
      </c>
      <c r="B43" s="23" t="s">
        <v>930</v>
      </c>
      <c r="C43" s="23" t="s">
        <v>890</v>
      </c>
      <c r="D43" s="24">
        <f>COUNTIFS(Corpus!$F$2:$F$1045,B43,Corpus!$I$2:$I$1045,"National")</f>
        <v>1</v>
      </c>
      <c r="E43" s="24">
        <f>COUNTIFS(Corpus!$F$2:$F$1045,B43,Corpus!$I$2:$I$1045,"National",Corpus!$J$2:$J$1045,"&lt;&gt;Début du texte")</f>
        <v>1</v>
      </c>
      <c r="F43" s="24">
        <f>COUNTIFS(Corpus!$F$2:$F$1045,B43,Corpus!$I$2:$I$1045,"National",Corpus!$J$2:$J$1045,"Début du texte")</f>
        <v>0</v>
      </c>
      <c r="G43" s="24">
        <v>1</v>
      </c>
      <c r="H43" s="25">
        <f t="shared" si="1"/>
        <v>1.8148820326678765E-3</v>
      </c>
      <c r="I43" s="24">
        <f>COUNTIFS(Corpus!$F$2:$F$1045,B43,Corpus!$I$2:$I$1045,"National",Corpus!$C$2:$C$1045,2026)</f>
        <v>0</v>
      </c>
      <c r="J43" s="24">
        <f>COUNTIFS(Corpus!$F$2:$F$1045,B43,Corpus!$I$2:$I$1045,"National",Corpus!$B$2:$B$1045,"&gt;="&amp;DATE(2025,8,26))</f>
        <v>0</v>
      </c>
      <c r="K43" s="26">
        <v>45469</v>
      </c>
      <c r="L43" s="26">
        <v>45469</v>
      </c>
      <c r="M43" s="24">
        <v>790</v>
      </c>
      <c r="N43" s="23" t="s">
        <v>925</v>
      </c>
      <c r="O43" s="23" t="s">
        <v>917</v>
      </c>
      <c r="P43" s="23" t="s">
        <v>526</v>
      </c>
      <c r="Q43" s="24">
        <v>1</v>
      </c>
      <c r="R43" s="24">
        <f>SUMIFS(Corpus!$O$2:$O$1045,Corpus!$F$2:$F$1045,B43,Corpus!$I$2:$I$1045,"National")</f>
        <v>17</v>
      </c>
      <c r="S43" s="24">
        <v>1</v>
      </c>
      <c r="T43" s="24">
        <v>0</v>
      </c>
    </row>
    <row r="44" spans="1:20">
      <c r="A44" s="22">
        <v>40</v>
      </c>
      <c r="B44" s="23" t="s">
        <v>931</v>
      </c>
      <c r="C44" s="23" t="s">
        <v>890</v>
      </c>
      <c r="D44" s="24">
        <f>COUNTIFS(Corpus!$F$2:$F$1045,B44,Corpus!$I$2:$I$1045,"National")</f>
        <v>1</v>
      </c>
      <c r="E44" s="24">
        <f>COUNTIFS(Corpus!$F$2:$F$1045,B44,Corpus!$I$2:$I$1045,"National",Corpus!$J$2:$J$1045,"&lt;&gt;Début du texte")</f>
        <v>1</v>
      </c>
      <c r="F44" s="24">
        <f>COUNTIFS(Corpus!$F$2:$F$1045,B44,Corpus!$I$2:$I$1045,"National",Corpus!$J$2:$J$1045,"Début du texte")</f>
        <v>0</v>
      </c>
      <c r="G44" s="24">
        <v>3</v>
      </c>
      <c r="H44" s="25">
        <f t="shared" si="1"/>
        <v>1.8148820326678765E-3</v>
      </c>
      <c r="I44" s="24">
        <f>COUNTIFS(Corpus!$F$2:$F$1045,B44,Corpus!$I$2:$I$1045,"National",Corpus!$C$2:$C$1045,2026)</f>
        <v>0</v>
      </c>
      <c r="J44" s="24">
        <f>COUNTIFS(Corpus!$F$2:$F$1045,B44,Corpus!$I$2:$I$1045,"National",Corpus!$B$2:$B$1045,"&gt;="&amp;DATE(2025,8,26))</f>
        <v>0</v>
      </c>
      <c r="K44" s="26">
        <v>45380</v>
      </c>
      <c r="L44" s="26">
        <v>45380</v>
      </c>
      <c r="M44" s="24">
        <v>879</v>
      </c>
      <c r="N44" s="23" t="s">
        <v>925</v>
      </c>
      <c r="O44" s="23" t="s">
        <v>917</v>
      </c>
      <c r="P44" s="23" t="s">
        <v>526</v>
      </c>
      <c r="Q44" s="24">
        <v>1</v>
      </c>
      <c r="R44" s="24">
        <f>SUMIFS(Corpus!$O$2:$O$1045,Corpus!$F$2:$F$1045,B44,Corpus!$I$2:$I$1045,"National")</f>
        <v>12</v>
      </c>
      <c r="S44" s="24">
        <v>1</v>
      </c>
      <c r="T44" s="24">
        <v>0</v>
      </c>
    </row>
    <row r="45" spans="1:20">
      <c r="A45" s="22">
        <v>41</v>
      </c>
      <c r="B45" s="23" t="s">
        <v>932</v>
      </c>
      <c r="C45" s="23" t="s">
        <v>886</v>
      </c>
      <c r="D45" s="24">
        <f>COUNTIFS(Corpus!$F$2:$F$1045,B45,Corpus!$I$2:$I$1045,"National")</f>
        <v>1</v>
      </c>
      <c r="E45" s="24">
        <f>COUNTIFS(Corpus!$F$2:$F$1045,B45,Corpus!$I$2:$I$1045,"National",Corpus!$J$2:$J$1045,"&lt;&gt;Début du texte")</f>
        <v>1</v>
      </c>
      <c r="F45" s="24">
        <f>COUNTIFS(Corpus!$F$2:$F$1045,B45,Corpus!$I$2:$I$1045,"National",Corpus!$J$2:$J$1045,"Début du texte")</f>
        <v>0</v>
      </c>
      <c r="G45" s="24">
        <v>3</v>
      </c>
      <c r="H45" s="25">
        <f t="shared" si="1"/>
        <v>1.8148820326678765E-3</v>
      </c>
      <c r="I45" s="24">
        <f>COUNTIFS(Corpus!$F$2:$F$1045,B45,Corpus!$I$2:$I$1045,"National",Corpus!$C$2:$C$1045,2026)</f>
        <v>1</v>
      </c>
      <c r="J45" s="24">
        <f>COUNTIFS(Corpus!$F$2:$F$1045,B45,Corpus!$I$2:$I$1045,"National",Corpus!$B$2:$B$1045,"&gt;="&amp;DATE(2025,8,26))</f>
        <v>1</v>
      </c>
      <c r="K45" s="26">
        <v>46251</v>
      </c>
      <c r="L45" s="26">
        <v>46251</v>
      </c>
      <c r="M45" s="24">
        <v>8</v>
      </c>
      <c r="N45" s="23" t="s">
        <v>925</v>
      </c>
      <c r="O45" s="23" t="s">
        <v>917</v>
      </c>
      <c r="P45" s="23" t="s">
        <v>512</v>
      </c>
      <c r="Q45" s="24">
        <v>1</v>
      </c>
      <c r="R45" s="24">
        <f>SUMIFS(Corpus!$O$2:$O$1045,Corpus!$F$2:$F$1045,B45,Corpus!$I$2:$I$1045,"National")</f>
        <v>58</v>
      </c>
      <c r="S45" s="24">
        <v>1</v>
      </c>
      <c r="T45" s="24">
        <v>0</v>
      </c>
    </row>
    <row r="46" spans="1:20">
      <c r="A46" s="22">
        <v>42</v>
      </c>
      <c r="B46" s="23" t="s">
        <v>933</v>
      </c>
      <c r="C46" s="23" t="s">
        <v>886</v>
      </c>
      <c r="D46" s="24">
        <f>COUNTIFS(Corpus!$F$2:$F$1045,B46,Corpus!$I$2:$I$1045,"National")</f>
        <v>1</v>
      </c>
      <c r="E46" s="24">
        <f>COUNTIFS(Corpus!$F$2:$F$1045,B46,Corpus!$I$2:$I$1045,"National",Corpus!$J$2:$J$1045,"&lt;&gt;Début du texte")</f>
        <v>1</v>
      </c>
      <c r="F46" s="24">
        <f>COUNTIFS(Corpus!$F$2:$F$1045,B46,Corpus!$I$2:$I$1045,"National",Corpus!$J$2:$J$1045,"Début du texte")</f>
        <v>0</v>
      </c>
      <c r="G46" s="24">
        <v>1</v>
      </c>
      <c r="H46" s="25">
        <f t="shared" si="1"/>
        <v>1.8148820326678765E-3</v>
      </c>
      <c r="I46" s="24">
        <f>COUNTIFS(Corpus!$F$2:$F$1045,B46,Corpus!$I$2:$I$1045,"National",Corpus!$C$2:$C$1045,2026)</f>
        <v>1</v>
      </c>
      <c r="J46" s="24">
        <f>COUNTIFS(Corpus!$F$2:$F$1045,B46,Corpus!$I$2:$I$1045,"National",Corpus!$B$2:$B$1045,"&gt;="&amp;DATE(2025,8,26))</f>
        <v>1</v>
      </c>
      <c r="K46" s="26">
        <v>46259</v>
      </c>
      <c r="L46" s="26">
        <v>46259</v>
      </c>
      <c r="M46" s="24">
        <v>0</v>
      </c>
      <c r="N46" s="23" t="s">
        <v>925</v>
      </c>
      <c r="O46" s="23" t="s">
        <v>917</v>
      </c>
      <c r="P46" s="23" t="s">
        <v>522</v>
      </c>
      <c r="Q46" s="24">
        <v>1</v>
      </c>
      <c r="R46" s="24">
        <f>SUMIFS(Corpus!$O$2:$O$1045,Corpus!$F$2:$F$1045,B46,Corpus!$I$2:$I$1045,"National")</f>
        <v>10</v>
      </c>
      <c r="S46" s="24">
        <v>1</v>
      </c>
      <c r="T46" s="24">
        <v>0</v>
      </c>
    </row>
    <row r="47" spans="1:20">
      <c r="A47" s="22">
        <v>43</v>
      </c>
      <c r="B47" s="23" t="s">
        <v>934</v>
      </c>
      <c r="C47" s="23" t="s">
        <v>890</v>
      </c>
      <c r="D47" s="24">
        <f>COUNTIFS(Corpus!$F$2:$F$1045,B47,Corpus!$I$2:$I$1045,"National")</f>
        <v>1</v>
      </c>
      <c r="E47" s="24">
        <f>COUNTIFS(Corpus!$F$2:$F$1045,B47,Corpus!$I$2:$I$1045,"National",Corpus!$J$2:$J$1045,"&lt;&gt;Début du texte")</f>
        <v>1</v>
      </c>
      <c r="F47" s="24">
        <f>COUNTIFS(Corpus!$F$2:$F$1045,B47,Corpus!$I$2:$I$1045,"National",Corpus!$J$2:$J$1045,"Début du texte")</f>
        <v>0</v>
      </c>
      <c r="G47" s="24">
        <v>1</v>
      </c>
      <c r="H47" s="25">
        <f t="shared" si="1"/>
        <v>1.8148820326678765E-3</v>
      </c>
      <c r="I47" s="24">
        <f>COUNTIFS(Corpus!$F$2:$F$1045,B47,Corpus!$I$2:$I$1045,"National",Corpus!$C$2:$C$1045,2026)</f>
        <v>1</v>
      </c>
      <c r="J47" s="24">
        <f>COUNTIFS(Corpus!$F$2:$F$1045,B47,Corpus!$I$2:$I$1045,"National",Corpus!$B$2:$B$1045,"&gt;="&amp;DATE(2025,8,26))</f>
        <v>1</v>
      </c>
      <c r="K47" s="26">
        <v>46259</v>
      </c>
      <c r="L47" s="26">
        <v>46259</v>
      </c>
      <c r="M47" s="24">
        <v>0</v>
      </c>
      <c r="N47" s="23" t="s">
        <v>925</v>
      </c>
      <c r="O47" s="23" t="s">
        <v>917</v>
      </c>
      <c r="P47" s="23" t="s">
        <v>512</v>
      </c>
      <c r="Q47" s="24">
        <v>1</v>
      </c>
      <c r="R47" s="24">
        <f>SUMIFS(Corpus!$O$2:$O$1045,Corpus!$F$2:$F$1045,B47,Corpus!$I$2:$I$1045,"National")</f>
        <v>4</v>
      </c>
      <c r="S47" s="24">
        <v>1</v>
      </c>
      <c r="T47" s="24">
        <v>0</v>
      </c>
    </row>
    <row r="48" spans="1:20">
      <c r="A48" s="22">
        <v>44</v>
      </c>
      <c r="B48" s="23" t="s">
        <v>935</v>
      </c>
      <c r="C48" s="23" t="s">
        <v>883</v>
      </c>
      <c r="D48" s="24">
        <f>COUNTIFS(Corpus!$F$2:$F$1045,B48,Corpus!$I$2:$I$1045,"National")</f>
        <v>1</v>
      </c>
      <c r="E48" s="24">
        <f>COUNTIFS(Corpus!$F$2:$F$1045,B48,Corpus!$I$2:$I$1045,"National",Corpus!$J$2:$J$1045,"&lt;&gt;Début du texte")</f>
        <v>1</v>
      </c>
      <c r="F48" s="24">
        <f>COUNTIFS(Corpus!$F$2:$F$1045,B48,Corpus!$I$2:$I$1045,"National",Corpus!$J$2:$J$1045,"Début du texte")</f>
        <v>0</v>
      </c>
      <c r="G48" s="24">
        <v>1</v>
      </c>
      <c r="H48" s="25">
        <f t="shared" si="1"/>
        <v>1.8148820326678765E-3</v>
      </c>
      <c r="I48" s="24">
        <f>COUNTIFS(Corpus!$F$2:$F$1045,B48,Corpus!$I$2:$I$1045,"National",Corpus!$C$2:$C$1045,2026)</f>
        <v>0</v>
      </c>
      <c r="J48" s="24">
        <f>COUNTIFS(Corpus!$F$2:$F$1045,B48,Corpus!$I$2:$I$1045,"National",Corpus!$B$2:$B$1045,"&gt;="&amp;DATE(2025,8,26))</f>
        <v>0</v>
      </c>
      <c r="K48" s="26">
        <v>45080</v>
      </c>
      <c r="L48" s="26">
        <v>45080</v>
      </c>
      <c r="M48" s="24">
        <v>1179</v>
      </c>
      <c r="N48" s="23" t="s">
        <v>925</v>
      </c>
      <c r="O48" s="23" t="s">
        <v>917</v>
      </c>
      <c r="P48" s="23" t="s">
        <v>526</v>
      </c>
      <c r="Q48" s="24">
        <v>1</v>
      </c>
      <c r="R48" s="24">
        <f>SUMIFS(Corpus!$O$2:$O$1045,Corpus!$F$2:$F$1045,B48,Corpus!$I$2:$I$1045,"National")</f>
        <v>13</v>
      </c>
      <c r="S48" s="24">
        <v>1</v>
      </c>
      <c r="T48" s="24">
        <v>0</v>
      </c>
    </row>
    <row r="49" spans="1:20">
      <c r="A49" s="22">
        <v>45</v>
      </c>
      <c r="B49" s="23" t="s">
        <v>936</v>
      </c>
      <c r="C49" s="23" t="s">
        <v>890</v>
      </c>
      <c r="D49" s="24">
        <f>COUNTIFS(Corpus!$F$2:$F$1045,B49,Corpus!$I$2:$I$1045,"National")</f>
        <v>1</v>
      </c>
      <c r="E49" s="24">
        <f>COUNTIFS(Corpus!$F$2:$F$1045,B49,Corpus!$I$2:$I$1045,"National",Corpus!$J$2:$J$1045,"&lt;&gt;Début du texte")</f>
        <v>1</v>
      </c>
      <c r="F49" s="24">
        <f>COUNTIFS(Corpus!$F$2:$F$1045,B49,Corpus!$I$2:$I$1045,"National",Corpus!$J$2:$J$1045,"Début du texte")</f>
        <v>0</v>
      </c>
      <c r="G49" s="24">
        <v>1</v>
      </c>
      <c r="H49" s="25">
        <f t="shared" si="1"/>
        <v>1.8148820326678765E-3</v>
      </c>
      <c r="I49" s="24">
        <f>COUNTIFS(Corpus!$F$2:$F$1045,B49,Corpus!$I$2:$I$1045,"National",Corpus!$C$2:$C$1045,2026)</f>
        <v>1</v>
      </c>
      <c r="J49" s="24">
        <f>COUNTIFS(Corpus!$F$2:$F$1045,B49,Corpus!$I$2:$I$1045,"National",Corpus!$B$2:$B$1045,"&gt;="&amp;DATE(2025,8,26))</f>
        <v>1</v>
      </c>
      <c r="K49" s="26">
        <v>46225</v>
      </c>
      <c r="L49" s="26">
        <v>46225</v>
      </c>
      <c r="M49" s="24">
        <v>34</v>
      </c>
      <c r="N49" s="23" t="s">
        <v>925</v>
      </c>
      <c r="O49" s="23" t="s">
        <v>917</v>
      </c>
      <c r="P49" s="23" t="s">
        <v>519</v>
      </c>
      <c r="Q49" s="24">
        <v>1</v>
      </c>
      <c r="R49" s="24">
        <f>SUMIFS(Corpus!$O$2:$O$1045,Corpus!$F$2:$F$1045,B49,Corpus!$I$2:$I$1045,"National")</f>
        <v>51</v>
      </c>
      <c r="S49" s="24">
        <v>1</v>
      </c>
      <c r="T49" s="24">
        <v>0</v>
      </c>
    </row>
    <row r="50" spans="1:20">
      <c r="A50" s="22">
        <v>46</v>
      </c>
      <c r="B50" s="23" t="s">
        <v>937</v>
      </c>
      <c r="C50" s="23" t="s">
        <v>883</v>
      </c>
      <c r="D50" s="24">
        <f>COUNTIFS(Corpus!$F$2:$F$1045,B50,Corpus!$I$2:$I$1045,"National")</f>
        <v>1</v>
      </c>
      <c r="E50" s="24">
        <f>COUNTIFS(Corpus!$F$2:$F$1045,B50,Corpus!$I$2:$I$1045,"National",Corpus!$J$2:$J$1045,"&lt;&gt;Début du texte")</f>
        <v>1</v>
      </c>
      <c r="F50" s="24">
        <f>COUNTIFS(Corpus!$F$2:$F$1045,B50,Corpus!$I$2:$I$1045,"National",Corpus!$J$2:$J$1045,"Début du texte")</f>
        <v>0</v>
      </c>
      <c r="G50" s="24">
        <v>2</v>
      </c>
      <c r="H50" s="25">
        <f t="shared" si="1"/>
        <v>1.8148820326678765E-3</v>
      </c>
      <c r="I50" s="24">
        <f>COUNTIFS(Corpus!$F$2:$F$1045,B50,Corpus!$I$2:$I$1045,"National",Corpus!$C$2:$C$1045,2026)</f>
        <v>0</v>
      </c>
      <c r="J50" s="24">
        <f>COUNTIFS(Corpus!$F$2:$F$1045,B50,Corpus!$I$2:$I$1045,"National",Corpus!$B$2:$B$1045,"&gt;="&amp;DATE(2025,8,26))</f>
        <v>0</v>
      </c>
      <c r="K50" s="26">
        <v>45457</v>
      </c>
      <c r="L50" s="26">
        <v>45457</v>
      </c>
      <c r="M50" s="24">
        <v>802</v>
      </c>
      <c r="N50" s="23" t="s">
        <v>925</v>
      </c>
      <c r="O50" s="23" t="s">
        <v>917</v>
      </c>
      <c r="P50" s="23" t="s">
        <v>526</v>
      </c>
      <c r="Q50" s="24">
        <v>1</v>
      </c>
      <c r="R50" s="24">
        <f>SUMIFS(Corpus!$O$2:$O$1045,Corpus!$F$2:$F$1045,B50,Corpus!$I$2:$I$1045,"National")</f>
        <v>2</v>
      </c>
      <c r="S50" s="24">
        <v>1</v>
      </c>
      <c r="T50" s="24">
        <v>0</v>
      </c>
    </row>
    <row r="51" spans="1:20">
      <c r="A51" s="22">
        <v>47</v>
      </c>
      <c r="B51" s="23" t="s">
        <v>938</v>
      </c>
      <c r="C51" s="23" t="s">
        <v>886</v>
      </c>
      <c r="D51" s="24">
        <f>COUNTIFS(Corpus!$F$2:$F$1045,B51,Corpus!$I$2:$I$1045,"National")</f>
        <v>1</v>
      </c>
      <c r="E51" s="24">
        <f>COUNTIFS(Corpus!$F$2:$F$1045,B51,Corpus!$I$2:$I$1045,"National",Corpus!$J$2:$J$1045,"&lt;&gt;Début du texte")</f>
        <v>1</v>
      </c>
      <c r="F51" s="24">
        <f>COUNTIFS(Corpus!$F$2:$F$1045,B51,Corpus!$I$2:$I$1045,"National",Corpus!$J$2:$J$1045,"Début du texte")</f>
        <v>0</v>
      </c>
      <c r="G51" s="24">
        <v>3</v>
      </c>
      <c r="H51" s="25">
        <f t="shared" si="1"/>
        <v>1.8148820326678765E-3</v>
      </c>
      <c r="I51" s="24">
        <f>COUNTIFS(Corpus!$F$2:$F$1045,B51,Corpus!$I$2:$I$1045,"National",Corpus!$C$2:$C$1045,2026)</f>
        <v>1</v>
      </c>
      <c r="J51" s="24">
        <f>COUNTIFS(Corpus!$F$2:$F$1045,B51,Corpus!$I$2:$I$1045,"National",Corpus!$B$2:$B$1045,"&gt;="&amp;DATE(2025,8,26))</f>
        <v>1</v>
      </c>
      <c r="K51" s="26">
        <v>46252</v>
      </c>
      <c r="L51" s="26">
        <v>46252</v>
      </c>
      <c r="M51" s="24">
        <v>7</v>
      </c>
      <c r="N51" s="23" t="s">
        <v>925</v>
      </c>
      <c r="O51" s="23" t="s">
        <v>917</v>
      </c>
      <c r="P51" s="23" t="s">
        <v>512</v>
      </c>
      <c r="Q51" s="24">
        <v>1</v>
      </c>
      <c r="R51" s="24">
        <f>SUMIFS(Corpus!$O$2:$O$1045,Corpus!$F$2:$F$1045,B51,Corpus!$I$2:$I$1045,"National")</f>
        <v>16</v>
      </c>
      <c r="S51" s="24">
        <v>1</v>
      </c>
      <c r="T51" s="24">
        <v>0</v>
      </c>
    </row>
    <row r="52" spans="1:20">
      <c r="A52" s="22">
        <v>48</v>
      </c>
      <c r="B52" s="23" t="s">
        <v>939</v>
      </c>
      <c r="C52" s="23" t="s">
        <v>890</v>
      </c>
      <c r="D52" s="24">
        <f>COUNTIFS(Corpus!$F$2:$F$1045,B52,Corpus!$I$2:$I$1045,"National")</f>
        <v>1</v>
      </c>
      <c r="E52" s="24">
        <f>COUNTIFS(Corpus!$F$2:$F$1045,B52,Corpus!$I$2:$I$1045,"National",Corpus!$J$2:$J$1045,"&lt;&gt;Début du texte")</f>
        <v>1</v>
      </c>
      <c r="F52" s="24">
        <f>COUNTIFS(Corpus!$F$2:$F$1045,B52,Corpus!$I$2:$I$1045,"National",Corpus!$J$2:$J$1045,"Début du texte")</f>
        <v>0</v>
      </c>
      <c r="G52" s="24">
        <v>4</v>
      </c>
      <c r="H52" s="25">
        <f t="shared" si="1"/>
        <v>1.8148820326678765E-3</v>
      </c>
      <c r="I52" s="24">
        <f>COUNTIFS(Corpus!$F$2:$F$1045,B52,Corpus!$I$2:$I$1045,"National",Corpus!$C$2:$C$1045,2026)</f>
        <v>1</v>
      </c>
      <c r="J52" s="24">
        <f>COUNTIFS(Corpus!$F$2:$F$1045,B52,Corpus!$I$2:$I$1045,"National",Corpus!$B$2:$B$1045,"&gt;="&amp;DATE(2025,8,26))</f>
        <v>1</v>
      </c>
      <c r="K52" s="26">
        <v>46248</v>
      </c>
      <c r="L52" s="26">
        <v>46248</v>
      </c>
      <c r="M52" s="24">
        <v>11</v>
      </c>
      <c r="N52" s="23" t="s">
        <v>925</v>
      </c>
      <c r="O52" s="23" t="s">
        <v>917</v>
      </c>
      <c r="P52" s="23" t="s">
        <v>515</v>
      </c>
      <c r="Q52" s="24">
        <v>1</v>
      </c>
      <c r="R52" s="24">
        <f>SUMIFS(Corpus!$O$2:$O$1045,Corpus!$F$2:$F$1045,B52,Corpus!$I$2:$I$1045,"National")</f>
        <v>47</v>
      </c>
      <c r="S52" s="24">
        <v>1</v>
      </c>
      <c r="T52" s="24">
        <v>0</v>
      </c>
    </row>
    <row r="53" spans="1:20">
      <c r="A53" s="22">
        <v>49</v>
      </c>
      <c r="B53" s="23" t="s">
        <v>940</v>
      </c>
      <c r="C53" s="23" t="s">
        <v>879</v>
      </c>
      <c r="D53" s="24">
        <f>COUNTIFS(Corpus!$F$2:$F$1045,B53,Corpus!$I$2:$I$1045,"National")</f>
        <v>1</v>
      </c>
      <c r="E53" s="24">
        <f>COUNTIFS(Corpus!$F$2:$F$1045,B53,Corpus!$I$2:$I$1045,"National",Corpus!$J$2:$J$1045,"&lt;&gt;Début du texte")</f>
        <v>1</v>
      </c>
      <c r="F53" s="24">
        <f>COUNTIFS(Corpus!$F$2:$F$1045,B53,Corpus!$I$2:$I$1045,"National",Corpus!$J$2:$J$1045,"Début du texte")</f>
        <v>0</v>
      </c>
      <c r="G53" s="24">
        <v>4</v>
      </c>
      <c r="H53" s="25">
        <f t="shared" si="1"/>
        <v>1.8148820326678765E-3</v>
      </c>
      <c r="I53" s="24">
        <f>COUNTIFS(Corpus!$F$2:$F$1045,B53,Corpus!$I$2:$I$1045,"National",Corpus!$C$2:$C$1045,2026)</f>
        <v>0</v>
      </c>
      <c r="J53" s="24">
        <f>COUNTIFS(Corpus!$F$2:$F$1045,B53,Corpus!$I$2:$I$1045,"National",Corpus!$B$2:$B$1045,"&gt;="&amp;DATE(2025,8,26))</f>
        <v>1</v>
      </c>
      <c r="K53" s="26">
        <v>45920</v>
      </c>
      <c r="L53" s="26">
        <v>45920</v>
      </c>
      <c r="M53" s="24">
        <v>339</v>
      </c>
      <c r="N53" s="23" t="s">
        <v>925</v>
      </c>
      <c r="O53" s="23" t="s">
        <v>917</v>
      </c>
      <c r="P53" s="23" t="s">
        <v>512</v>
      </c>
      <c r="Q53" s="24">
        <v>1</v>
      </c>
      <c r="R53" s="24">
        <f>SUMIFS(Corpus!$O$2:$O$1045,Corpus!$F$2:$F$1045,B53,Corpus!$I$2:$I$1045,"National")</f>
        <v>29</v>
      </c>
      <c r="S53" s="24">
        <v>1</v>
      </c>
      <c r="T53" s="24">
        <v>0</v>
      </c>
    </row>
    <row r="54" spans="1:20">
      <c r="A54" s="22">
        <v>50</v>
      </c>
      <c r="B54" s="23" t="s">
        <v>941</v>
      </c>
      <c r="C54" s="23" t="s">
        <v>886</v>
      </c>
      <c r="D54" s="24">
        <f>COUNTIFS(Corpus!$F$2:$F$1045,B54,Corpus!$I$2:$I$1045,"National")</f>
        <v>1</v>
      </c>
      <c r="E54" s="24">
        <f>COUNTIFS(Corpus!$F$2:$F$1045,B54,Corpus!$I$2:$I$1045,"National",Corpus!$J$2:$J$1045,"&lt;&gt;Début du texte")</f>
        <v>1</v>
      </c>
      <c r="F54" s="24">
        <f>COUNTIFS(Corpus!$F$2:$F$1045,B54,Corpus!$I$2:$I$1045,"National",Corpus!$J$2:$J$1045,"Début du texte")</f>
        <v>0</v>
      </c>
      <c r="G54" s="24">
        <v>2</v>
      </c>
      <c r="H54" s="25">
        <f t="shared" si="1"/>
        <v>1.8148820326678765E-3</v>
      </c>
      <c r="I54" s="24">
        <f>COUNTIFS(Corpus!$F$2:$F$1045,B54,Corpus!$I$2:$I$1045,"National",Corpus!$C$2:$C$1045,2026)</f>
        <v>0</v>
      </c>
      <c r="J54" s="24">
        <f>COUNTIFS(Corpus!$F$2:$F$1045,B54,Corpus!$I$2:$I$1045,"National",Corpus!$B$2:$B$1045,"&gt;="&amp;DATE(2025,8,26))</f>
        <v>0</v>
      </c>
      <c r="K54" s="26">
        <v>44981</v>
      </c>
      <c r="L54" s="26">
        <v>44981</v>
      </c>
      <c r="M54" s="24">
        <v>1278</v>
      </c>
      <c r="N54" s="23" t="s">
        <v>925</v>
      </c>
      <c r="O54" s="23" t="s">
        <v>917</v>
      </c>
      <c r="P54" s="23" t="s">
        <v>526</v>
      </c>
      <c r="Q54" s="24">
        <v>1</v>
      </c>
      <c r="R54" s="24">
        <f>SUMIFS(Corpus!$O$2:$O$1045,Corpus!$F$2:$F$1045,B54,Corpus!$I$2:$I$1045,"National")</f>
        <v>4</v>
      </c>
      <c r="S54" s="24">
        <v>1</v>
      </c>
      <c r="T54" s="24">
        <v>0</v>
      </c>
    </row>
    <row r="55" spans="1:20">
      <c r="A55" s="22">
        <v>51</v>
      </c>
      <c r="B55" s="23" t="s">
        <v>942</v>
      </c>
      <c r="C55" s="23" t="s">
        <v>883</v>
      </c>
      <c r="D55" s="24">
        <f>COUNTIFS(Corpus!$F$2:$F$1045,B55,Corpus!$I$2:$I$1045,"National")</f>
        <v>1</v>
      </c>
      <c r="E55" s="24">
        <f>COUNTIFS(Corpus!$F$2:$F$1045,B55,Corpus!$I$2:$I$1045,"National",Corpus!$J$2:$J$1045,"&lt;&gt;Début du texte")</f>
        <v>1</v>
      </c>
      <c r="F55" s="24">
        <f>COUNTIFS(Corpus!$F$2:$F$1045,B55,Corpus!$I$2:$I$1045,"National",Corpus!$J$2:$J$1045,"Début du texte")</f>
        <v>0</v>
      </c>
      <c r="G55" s="24">
        <v>2</v>
      </c>
      <c r="H55" s="25">
        <f t="shared" si="1"/>
        <v>1.8148820326678765E-3</v>
      </c>
      <c r="I55" s="24">
        <f>COUNTIFS(Corpus!$F$2:$F$1045,B55,Corpus!$I$2:$I$1045,"National",Corpus!$C$2:$C$1045,2026)</f>
        <v>0</v>
      </c>
      <c r="J55" s="24">
        <f>COUNTIFS(Corpus!$F$2:$F$1045,B55,Corpus!$I$2:$I$1045,"National",Corpus!$B$2:$B$1045,"&gt;="&amp;DATE(2025,8,26))</f>
        <v>0</v>
      </c>
      <c r="K55" s="26">
        <v>45822</v>
      </c>
      <c r="L55" s="26">
        <v>45822</v>
      </c>
      <c r="M55" s="24">
        <v>437</v>
      </c>
      <c r="N55" s="23" t="s">
        <v>925</v>
      </c>
      <c r="O55" s="23" t="s">
        <v>917</v>
      </c>
      <c r="P55" s="23" t="s">
        <v>515</v>
      </c>
      <c r="Q55" s="24">
        <v>1</v>
      </c>
      <c r="R55" s="24">
        <f>SUMIFS(Corpus!$O$2:$O$1045,Corpus!$F$2:$F$1045,B55,Corpus!$I$2:$I$1045,"National")</f>
        <v>36</v>
      </c>
      <c r="S55" s="24">
        <v>1</v>
      </c>
      <c r="T55" s="24">
        <v>0</v>
      </c>
    </row>
    <row r="56" spans="1:20">
      <c r="A56" s="22">
        <v>52</v>
      </c>
      <c r="B56" s="23" t="s">
        <v>943</v>
      </c>
      <c r="C56" s="23" t="s">
        <v>895</v>
      </c>
      <c r="D56" s="24">
        <f>COUNTIFS(Corpus!$F$2:$F$1045,B56,Corpus!$I$2:$I$1045,"National")</f>
        <v>0</v>
      </c>
      <c r="E56" s="24">
        <f>COUNTIFS(Corpus!$F$2:$F$1045,B56,Corpus!$I$2:$I$1045,"National",Corpus!$J$2:$J$1045,"&lt;&gt;Début du texte")</f>
        <v>0</v>
      </c>
      <c r="F56" s="24">
        <f>COUNTIFS(Corpus!$F$2:$F$1045,B56,Corpus!$I$2:$I$1045,"National",Corpus!$J$2:$J$1045,"Début du texte")</f>
        <v>0</v>
      </c>
      <c r="G56" s="24">
        <v>1</v>
      </c>
      <c r="H56" s="25">
        <f t="shared" si="1"/>
        <v>0</v>
      </c>
      <c r="I56" s="24">
        <f>COUNTIFS(Corpus!$F$2:$F$1045,B56,Corpus!$I$2:$I$1045,"National",Corpus!$C$2:$C$1045,2026)</f>
        <v>0</v>
      </c>
      <c r="J56" s="24">
        <f>COUNTIFS(Corpus!$F$2:$F$1045,B56,Corpus!$I$2:$I$1045,"National",Corpus!$B$2:$B$1045,"&gt;="&amp;DATE(2025,8,26))</f>
        <v>0</v>
      </c>
      <c r="K56" s="26"/>
      <c r="L56" s="26"/>
      <c r="M56" s="24"/>
      <c r="N56" s="23" t="s">
        <v>944</v>
      </c>
      <c r="O56" s="23" t="s">
        <v>945</v>
      </c>
      <c r="P56" s="23"/>
      <c r="Q56" s="24">
        <v>0</v>
      </c>
      <c r="R56" s="24">
        <f>SUMIFS(Corpus!$O$2:$O$1045,Corpus!$F$2:$F$1045,B56,Corpus!$I$2:$I$1045,"National")</f>
        <v>0</v>
      </c>
      <c r="S56" s="24">
        <v>0</v>
      </c>
      <c r="T56" s="24">
        <v>0</v>
      </c>
    </row>
    <row r="57" spans="1:20">
      <c r="A57" s="22">
        <v>53</v>
      </c>
      <c r="B57" s="23" t="s">
        <v>946</v>
      </c>
      <c r="C57" s="23" t="s">
        <v>895</v>
      </c>
      <c r="D57" s="24">
        <f>COUNTIFS(Corpus!$F$2:$F$1045,B57,Corpus!$I$2:$I$1045,"National")</f>
        <v>0</v>
      </c>
      <c r="E57" s="24">
        <f>COUNTIFS(Corpus!$F$2:$F$1045,B57,Corpus!$I$2:$I$1045,"National",Corpus!$J$2:$J$1045,"&lt;&gt;Début du texte")</f>
        <v>0</v>
      </c>
      <c r="F57" s="24">
        <f>COUNTIFS(Corpus!$F$2:$F$1045,B57,Corpus!$I$2:$I$1045,"National",Corpus!$J$2:$J$1045,"Début du texte")</f>
        <v>0</v>
      </c>
      <c r="G57" s="24">
        <v>0</v>
      </c>
      <c r="H57" s="25">
        <f t="shared" si="1"/>
        <v>0</v>
      </c>
      <c r="I57" s="24">
        <f>COUNTIFS(Corpus!$F$2:$F$1045,B57,Corpus!$I$2:$I$1045,"National",Corpus!$C$2:$C$1045,2026)</f>
        <v>0</v>
      </c>
      <c r="J57" s="24">
        <f>COUNTIFS(Corpus!$F$2:$F$1045,B57,Corpus!$I$2:$I$1045,"National",Corpus!$B$2:$B$1045,"&gt;="&amp;DATE(2025,8,26))</f>
        <v>0</v>
      </c>
      <c r="K57" s="26"/>
      <c r="L57" s="26"/>
      <c r="M57" s="24"/>
      <c r="N57" s="23" t="s">
        <v>944</v>
      </c>
      <c r="O57" s="23" t="s">
        <v>945</v>
      </c>
      <c r="P57" s="23"/>
      <c r="Q57" s="24">
        <v>0</v>
      </c>
      <c r="R57" s="24">
        <f>SUMIFS(Corpus!$O$2:$O$1045,Corpus!$F$2:$F$1045,B57,Corpus!$I$2:$I$1045,"National")</f>
        <v>0</v>
      </c>
      <c r="S57" s="24">
        <v>0</v>
      </c>
      <c r="T57" s="24">
        <v>0</v>
      </c>
    </row>
    <row r="58" spans="1:20">
      <c r="A58" s="22">
        <v>54</v>
      </c>
      <c r="B58" s="23" t="s">
        <v>947</v>
      </c>
      <c r="C58" s="23" t="s">
        <v>879</v>
      </c>
      <c r="D58" s="24">
        <f>COUNTIFS(Corpus!$F$2:$F$1045,B58,Corpus!$I$2:$I$1045,"National")</f>
        <v>0</v>
      </c>
      <c r="E58" s="24">
        <f>COUNTIFS(Corpus!$F$2:$F$1045,B58,Corpus!$I$2:$I$1045,"National",Corpus!$J$2:$J$1045,"&lt;&gt;Début du texte")</f>
        <v>0</v>
      </c>
      <c r="F58" s="24">
        <f>COUNTIFS(Corpus!$F$2:$F$1045,B58,Corpus!$I$2:$I$1045,"National",Corpus!$J$2:$J$1045,"Début du texte")</f>
        <v>0</v>
      </c>
      <c r="G58" s="24">
        <v>0</v>
      </c>
      <c r="H58" s="25">
        <f t="shared" si="1"/>
        <v>0</v>
      </c>
      <c r="I58" s="24">
        <f>COUNTIFS(Corpus!$F$2:$F$1045,B58,Corpus!$I$2:$I$1045,"National",Corpus!$C$2:$C$1045,2026)</f>
        <v>0</v>
      </c>
      <c r="J58" s="24">
        <f>COUNTIFS(Corpus!$F$2:$F$1045,B58,Corpus!$I$2:$I$1045,"National",Corpus!$B$2:$B$1045,"&gt;="&amp;DATE(2025,8,26))</f>
        <v>0</v>
      </c>
      <c r="K58" s="26"/>
      <c r="L58" s="26"/>
      <c r="M58" s="24"/>
      <c r="N58" s="23" t="s">
        <v>944</v>
      </c>
      <c r="O58" s="23" t="s">
        <v>945</v>
      </c>
      <c r="P58" s="23"/>
      <c r="Q58" s="24">
        <v>0</v>
      </c>
      <c r="R58" s="24">
        <f>SUMIFS(Corpus!$O$2:$O$1045,Corpus!$F$2:$F$1045,B58,Corpus!$I$2:$I$1045,"National")</f>
        <v>0</v>
      </c>
      <c r="S58" s="24">
        <v>0</v>
      </c>
      <c r="T58" s="24">
        <v>0</v>
      </c>
    </row>
    <row r="59" spans="1:20">
      <c r="A59" s="27">
        <v>55</v>
      </c>
      <c r="B59" s="28" t="s">
        <v>948</v>
      </c>
      <c r="C59" s="28" t="s">
        <v>886</v>
      </c>
      <c r="D59" s="29">
        <f>COUNTIFS(Corpus!$F$2:$F$1045,B59,Corpus!$I$2:$I$1045,"National")</f>
        <v>0</v>
      </c>
      <c r="E59" s="29">
        <f>COUNTIFS(Corpus!$F$2:$F$1045,B59,Corpus!$I$2:$I$1045,"National",Corpus!$J$2:$J$1045,"&lt;&gt;Début du texte")</f>
        <v>0</v>
      </c>
      <c r="F59" s="29">
        <f>COUNTIFS(Corpus!$F$2:$F$1045,B59,Corpus!$I$2:$I$1045,"National",Corpus!$J$2:$J$1045,"Début du texte")</f>
        <v>0</v>
      </c>
      <c r="G59" s="29">
        <v>0</v>
      </c>
      <c r="H59" s="30">
        <f t="shared" si="1"/>
        <v>0</v>
      </c>
      <c r="I59" s="29">
        <f>COUNTIFS(Corpus!$F$2:$F$1045,B59,Corpus!$I$2:$I$1045,"National",Corpus!$C$2:$C$1045,2026)</f>
        <v>0</v>
      </c>
      <c r="J59" s="29">
        <f>COUNTIFS(Corpus!$F$2:$F$1045,B59,Corpus!$I$2:$I$1045,"National",Corpus!$B$2:$B$1045,"&gt;="&amp;DATE(2025,8,26))</f>
        <v>0</v>
      </c>
      <c r="K59" s="31"/>
      <c r="L59" s="31"/>
      <c r="M59" s="29"/>
      <c r="N59" s="28" t="s">
        <v>944</v>
      </c>
      <c r="O59" s="28" t="s">
        <v>945</v>
      </c>
      <c r="P59" s="28"/>
      <c r="Q59" s="29">
        <v>0</v>
      </c>
      <c r="R59" s="29">
        <f>SUMIFS(Corpus!$O$2:$O$1045,Corpus!$F$2:$F$1045,B59,Corpus!$I$2:$I$1045,"National")</f>
        <v>0</v>
      </c>
      <c r="S59" s="29">
        <v>0</v>
      </c>
      <c r="T59" s="29">
        <v>0</v>
      </c>
    </row>
  </sheetData>
  <mergeCells count="2">
    <mergeCell ref="A1:T1"/>
    <mergeCell ref="A2:T2"/>
  </mergeCells>
  <conditionalFormatting sqref="D5:D59">
    <cfRule type="dataBar" priority="1">
      <dataBar>
        <cfvo type="min"/>
        <cfvo type="max"/>
        <color rgb="FF7AC142"/>
      </dataBar>
    </cfRule>
    <cfRule type="dataBar" priority="5">
      <dataBar>
        <cfvo type="min"/>
        <cfvo type="max"/>
        <color rgb="FF7AC142"/>
      </dataBar>
      <extLst>
        <ext xmlns:x14="http://schemas.microsoft.com/office/spreadsheetml/2009/9/main" uri="{B025F937-C7B1-47D3-B67F-A62EFF666E3E}">
          <x14:id>{B1D7D251-A41E-8631-38E6-0C996D8292C8}</x14:id>
        </ext>
      </extLst>
    </cfRule>
  </conditionalFormatting>
  <conditionalFormatting sqref="N5:N59">
    <cfRule type="containsText" dxfId="7" priority="4" operator="containsText" text="Nulle"/>
  </conditionalFormatting>
  <conditionalFormatting sqref="O5:O59">
    <cfRule type="containsText" dxfId="6" priority="2" operator="containsText" text="P1"/>
    <cfRule type="containsText" dxfId="5" priority="3" operator="containsText" text="P2"/>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D7D251-A41E-8631-38E6-0C996D8292C8}">
            <x14:dataBar>
              <x14:cfvo type="min"/>
              <x14:cfvo type="max"/>
              <x14:negativeFillColor auto="1"/>
              <x14:axisColor auto="1"/>
            </x14:dataBar>
          </x14:cfRule>
          <xm:sqref>D5:D59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045"/>
  <sheetViews>
    <sheetView showGridLines="0" zoomScale="80" zoomScaleNormal="80" workbookViewId="0"/>
  </sheetViews>
  <sheetFormatPr defaultRowHeight="14"/>
  <cols>
    <col min="1" max="1" width="6.08203125" customWidth="1"/>
    <col min="2" max="2" width="10" customWidth="1"/>
    <col min="3" max="3" width="6.08203125" customWidth="1"/>
    <col min="4" max="4" width="47.75" customWidth="1"/>
    <col min="5" max="5" width="36.6640625" customWidth="1"/>
    <col min="6" max="6" width="16.08203125" customWidth="1"/>
    <col min="7" max="7" width="25.58203125" customWidth="1"/>
    <col min="8" max="8" width="15" customWidth="1"/>
    <col min="9" max="10" width="16.6640625" customWidth="1"/>
    <col min="11" max="11" width="10" customWidth="1"/>
    <col min="12" max="12" width="17.75" customWidth="1"/>
    <col min="13" max="13" width="24.4140625" customWidth="1"/>
    <col min="14" max="14" width="10" customWidth="1"/>
    <col min="15" max="15" width="7.75" customWidth="1"/>
    <col min="16" max="16" width="14.4140625" customWidth="1"/>
    <col min="17" max="17" width="16.6640625" customWidth="1"/>
    <col min="18" max="18" width="34.4140625" customWidth="1"/>
  </cols>
  <sheetData>
    <row r="1" spans="1:18" ht="26">
      <c r="A1" s="4" t="s">
        <v>746</v>
      </c>
      <c r="B1" s="5" t="s">
        <v>949</v>
      </c>
      <c r="C1" s="5" t="s">
        <v>950</v>
      </c>
      <c r="D1" s="5" t="s">
        <v>951</v>
      </c>
      <c r="E1" s="5" t="s">
        <v>952</v>
      </c>
      <c r="F1" s="5" t="s">
        <v>953</v>
      </c>
      <c r="G1" s="5" t="s">
        <v>954</v>
      </c>
      <c r="H1" s="5" t="s">
        <v>862</v>
      </c>
      <c r="I1" s="5" t="s">
        <v>955</v>
      </c>
      <c r="J1" s="5" t="s">
        <v>956</v>
      </c>
      <c r="K1" s="5" t="s">
        <v>957</v>
      </c>
      <c r="L1" s="5" t="s">
        <v>958</v>
      </c>
      <c r="M1" s="5" t="s">
        <v>959</v>
      </c>
      <c r="N1" s="5" t="s">
        <v>960</v>
      </c>
      <c r="O1" s="5" t="s">
        <v>29</v>
      </c>
      <c r="P1" s="5" t="s">
        <v>28</v>
      </c>
      <c r="Q1" s="5" t="s">
        <v>961</v>
      </c>
      <c r="R1" s="6" t="s">
        <v>962</v>
      </c>
    </row>
    <row r="2" spans="1:18" ht="24">
      <c r="A2" s="32">
        <v>1501</v>
      </c>
      <c r="B2" s="33">
        <v>46259</v>
      </c>
      <c r="C2" s="32">
        <v>2026</v>
      </c>
      <c r="D2" s="34" t="s">
        <v>963</v>
      </c>
      <c r="E2" s="35" t="s">
        <v>964</v>
      </c>
      <c r="F2" s="35" t="s">
        <v>934</v>
      </c>
      <c r="G2" s="34"/>
      <c r="H2" s="35" t="s">
        <v>890</v>
      </c>
      <c r="I2" s="35" t="s">
        <v>965</v>
      </c>
      <c r="J2" s="35" t="s">
        <v>966</v>
      </c>
      <c r="K2" s="35" t="s">
        <v>888</v>
      </c>
      <c r="L2" s="35" t="s">
        <v>967</v>
      </c>
      <c r="M2" s="35" t="s">
        <v>512</v>
      </c>
      <c r="N2" s="35" t="s">
        <v>968</v>
      </c>
      <c r="O2" s="36">
        <v>4</v>
      </c>
      <c r="P2" s="35" t="s">
        <v>37</v>
      </c>
      <c r="Q2" s="35" t="s">
        <v>934</v>
      </c>
      <c r="R2" s="35" t="s">
        <v>969</v>
      </c>
    </row>
    <row r="3" spans="1:18" ht="24">
      <c r="A3" s="32">
        <v>1500</v>
      </c>
      <c r="B3" s="33">
        <v>46259</v>
      </c>
      <c r="C3" s="32">
        <v>2026</v>
      </c>
      <c r="D3" s="34" t="s">
        <v>970</v>
      </c>
      <c r="E3" s="35" t="s">
        <v>971</v>
      </c>
      <c r="F3" s="35" t="s">
        <v>885</v>
      </c>
      <c r="G3" s="34"/>
      <c r="H3" s="35" t="s">
        <v>886</v>
      </c>
      <c r="I3" s="35" t="s">
        <v>965</v>
      </c>
      <c r="J3" s="35" t="s">
        <v>966</v>
      </c>
      <c r="K3" s="35" t="s">
        <v>888</v>
      </c>
      <c r="L3" s="35" t="s">
        <v>972</v>
      </c>
      <c r="M3" s="35" t="s">
        <v>530</v>
      </c>
      <c r="N3" s="35" t="s">
        <v>968</v>
      </c>
      <c r="O3" s="36">
        <v>8</v>
      </c>
      <c r="P3" s="35" t="s">
        <v>37</v>
      </c>
      <c r="Q3" s="35" t="s">
        <v>885</v>
      </c>
      <c r="R3" s="35" t="s">
        <v>973</v>
      </c>
    </row>
    <row r="4" spans="1:18" ht="24">
      <c r="A4" s="32">
        <v>1499</v>
      </c>
      <c r="B4" s="33">
        <v>46259</v>
      </c>
      <c r="C4" s="32">
        <v>2026</v>
      </c>
      <c r="D4" s="34" t="s">
        <v>974</v>
      </c>
      <c r="E4" s="35" t="s">
        <v>975</v>
      </c>
      <c r="F4" s="35" t="s">
        <v>933</v>
      </c>
      <c r="G4" s="34"/>
      <c r="H4" s="35" t="s">
        <v>886</v>
      </c>
      <c r="I4" s="35" t="s">
        <v>965</v>
      </c>
      <c r="J4" s="35" t="s">
        <v>966</v>
      </c>
      <c r="K4" s="35" t="s">
        <v>888</v>
      </c>
      <c r="L4" s="35" t="s">
        <v>976</v>
      </c>
      <c r="M4" s="35" t="s">
        <v>522</v>
      </c>
      <c r="N4" s="35" t="s">
        <v>977</v>
      </c>
      <c r="O4" s="36">
        <v>10</v>
      </c>
      <c r="P4" s="35" t="s">
        <v>37</v>
      </c>
      <c r="Q4" s="35" t="s">
        <v>933</v>
      </c>
      <c r="R4" s="35" t="s">
        <v>978</v>
      </c>
    </row>
    <row r="5" spans="1:18" ht="24">
      <c r="A5" s="32">
        <v>1498</v>
      </c>
      <c r="B5" s="33">
        <v>46259</v>
      </c>
      <c r="C5" s="32">
        <v>2026</v>
      </c>
      <c r="D5" s="34" t="s">
        <v>979</v>
      </c>
      <c r="E5" s="35" t="s">
        <v>980</v>
      </c>
      <c r="F5" s="35" t="s">
        <v>914</v>
      </c>
      <c r="G5" s="34"/>
      <c r="H5" s="35" t="s">
        <v>886</v>
      </c>
      <c r="I5" s="35" t="s">
        <v>965</v>
      </c>
      <c r="J5" s="35" t="s">
        <v>966</v>
      </c>
      <c r="K5" s="35" t="s">
        <v>888</v>
      </c>
      <c r="L5" s="35" t="s">
        <v>981</v>
      </c>
      <c r="M5" s="35" t="s">
        <v>519</v>
      </c>
      <c r="N5" s="35" t="s">
        <v>968</v>
      </c>
      <c r="O5" s="36">
        <v>7</v>
      </c>
      <c r="P5" s="35" t="s">
        <v>37</v>
      </c>
      <c r="Q5" s="35" t="s">
        <v>982</v>
      </c>
      <c r="R5" s="35" t="s">
        <v>983</v>
      </c>
    </row>
    <row r="6" spans="1:18" ht="24">
      <c r="A6" s="32">
        <v>1497</v>
      </c>
      <c r="B6" s="33">
        <v>46259</v>
      </c>
      <c r="C6" s="32">
        <v>2026</v>
      </c>
      <c r="D6" s="34" t="s">
        <v>984</v>
      </c>
      <c r="E6" s="35" t="s">
        <v>985</v>
      </c>
      <c r="F6" s="35" t="s">
        <v>892</v>
      </c>
      <c r="G6" s="34"/>
      <c r="H6" s="35" t="s">
        <v>879</v>
      </c>
      <c r="I6" s="35" t="s">
        <v>965</v>
      </c>
      <c r="J6" s="35" t="s">
        <v>966</v>
      </c>
      <c r="K6" s="35" t="s">
        <v>888</v>
      </c>
      <c r="L6" s="35" t="s">
        <v>986</v>
      </c>
      <c r="M6" s="35" t="s">
        <v>512</v>
      </c>
      <c r="N6" s="35" t="s">
        <v>977</v>
      </c>
      <c r="O6" s="36">
        <v>3</v>
      </c>
      <c r="P6" s="35" t="s">
        <v>37</v>
      </c>
      <c r="Q6" s="35" t="s">
        <v>892</v>
      </c>
      <c r="R6" s="35" t="s">
        <v>987</v>
      </c>
    </row>
    <row r="7" spans="1:18" ht="24">
      <c r="A7" s="32">
        <v>1496</v>
      </c>
      <c r="B7" s="33">
        <v>46259</v>
      </c>
      <c r="C7" s="32">
        <v>2026</v>
      </c>
      <c r="D7" s="34" t="s">
        <v>988</v>
      </c>
      <c r="E7" s="35" t="s">
        <v>989</v>
      </c>
      <c r="F7" s="35" t="s">
        <v>878</v>
      </c>
      <c r="G7" s="34"/>
      <c r="H7" s="35" t="s">
        <v>879</v>
      </c>
      <c r="I7" s="35" t="s">
        <v>965</v>
      </c>
      <c r="J7" s="35" t="s">
        <v>966</v>
      </c>
      <c r="K7" s="35" t="s">
        <v>888</v>
      </c>
      <c r="L7" s="35" t="s">
        <v>990</v>
      </c>
      <c r="M7" s="35" t="s">
        <v>512</v>
      </c>
      <c r="N7" s="35" t="s">
        <v>977</v>
      </c>
      <c r="O7" s="36">
        <v>6</v>
      </c>
      <c r="P7" s="35" t="s">
        <v>37</v>
      </c>
      <c r="Q7" s="35" t="s">
        <v>878</v>
      </c>
      <c r="R7" s="35" t="s">
        <v>991</v>
      </c>
    </row>
    <row r="8" spans="1:18" ht="24">
      <c r="A8" s="32">
        <v>1495</v>
      </c>
      <c r="B8" s="33">
        <v>46259</v>
      </c>
      <c r="C8" s="32">
        <v>2026</v>
      </c>
      <c r="D8" s="34" t="s">
        <v>992</v>
      </c>
      <c r="E8" s="35" t="s">
        <v>993</v>
      </c>
      <c r="F8" s="35" t="s">
        <v>882</v>
      </c>
      <c r="G8" s="34"/>
      <c r="H8" s="35" t="s">
        <v>883</v>
      </c>
      <c r="I8" s="35" t="s">
        <v>965</v>
      </c>
      <c r="J8" s="35" t="s">
        <v>966</v>
      </c>
      <c r="K8" s="35" t="s">
        <v>888</v>
      </c>
      <c r="L8" s="35" t="s">
        <v>976</v>
      </c>
      <c r="M8" s="35" t="s">
        <v>522</v>
      </c>
      <c r="N8" s="35" t="s">
        <v>977</v>
      </c>
      <c r="O8" s="36">
        <v>6</v>
      </c>
      <c r="P8" s="35" t="s">
        <v>37</v>
      </c>
      <c r="Q8" s="35" t="s">
        <v>882</v>
      </c>
      <c r="R8" s="35" t="s">
        <v>994</v>
      </c>
    </row>
    <row r="9" spans="1:18" ht="24">
      <c r="A9" s="32">
        <v>1494</v>
      </c>
      <c r="B9" s="33">
        <v>46259</v>
      </c>
      <c r="C9" s="32">
        <v>2026</v>
      </c>
      <c r="D9" s="34" t="s">
        <v>995</v>
      </c>
      <c r="E9" s="35" t="s">
        <v>996</v>
      </c>
      <c r="F9" s="35" t="s">
        <v>900</v>
      </c>
      <c r="G9" s="34"/>
      <c r="H9" s="35" t="s">
        <v>883</v>
      </c>
      <c r="I9" s="35" t="s">
        <v>965</v>
      </c>
      <c r="J9" s="35" t="s">
        <v>966</v>
      </c>
      <c r="K9" s="35" t="s">
        <v>888</v>
      </c>
      <c r="L9" s="35" t="s">
        <v>997</v>
      </c>
      <c r="M9" s="35" t="s">
        <v>522</v>
      </c>
      <c r="N9" s="35" t="s">
        <v>977</v>
      </c>
      <c r="O9" s="36">
        <v>11</v>
      </c>
      <c r="P9" s="35" t="s">
        <v>37</v>
      </c>
      <c r="Q9" s="35" t="s">
        <v>900</v>
      </c>
      <c r="R9" s="35" t="s">
        <v>998</v>
      </c>
    </row>
    <row r="10" spans="1:18" ht="24">
      <c r="A10" s="32">
        <v>1493</v>
      </c>
      <c r="B10" s="33">
        <v>46259</v>
      </c>
      <c r="C10" s="32">
        <v>2026</v>
      </c>
      <c r="D10" s="34" t="s">
        <v>999</v>
      </c>
      <c r="E10" s="35" t="s">
        <v>1000</v>
      </c>
      <c r="F10" s="35" t="s">
        <v>920</v>
      </c>
      <c r="G10" s="34"/>
      <c r="H10" s="35" t="s">
        <v>890</v>
      </c>
      <c r="I10" s="35" t="s">
        <v>965</v>
      </c>
      <c r="J10" s="35" t="s">
        <v>966</v>
      </c>
      <c r="K10" s="35" t="s">
        <v>888</v>
      </c>
      <c r="L10" s="35" t="s">
        <v>1001</v>
      </c>
      <c r="M10" s="35" t="s">
        <v>526</v>
      </c>
      <c r="N10" s="35" t="s">
        <v>968</v>
      </c>
      <c r="O10" s="36">
        <v>8</v>
      </c>
      <c r="P10" s="35" t="s">
        <v>37</v>
      </c>
      <c r="Q10" s="35" t="s">
        <v>920</v>
      </c>
      <c r="R10" s="35" t="s">
        <v>1002</v>
      </c>
    </row>
    <row r="11" spans="1:18" ht="24">
      <c r="A11" s="32">
        <v>1492</v>
      </c>
      <c r="B11" s="33">
        <v>46259</v>
      </c>
      <c r="C11" s="32">
        <v>2026</v>
      </c>
      <c r="D11" s="34" t="s">
        <v>1003</v>
      </c>
      <c r="E11" s="35" t="s">
        <v>1004</v>
      </c>
      <c r="F11" s="35"/>
      <c r="G11" s="34"/>
      <c r="H11" s="35"/>
      <c r="I11" s="35" t="s">
        <v>1005</v>
      </c>
      <c r="J11" s="35" t="s">
        <v>1006</v>
      </c>
      <c r="K11" s="35" t="s">
        <v>1007</v>
      </c>
      <c r="L11" s="35" t="s">
        <v>1008</v>
      </c>
      <c r="M11" s="35" t="s">
        <v>526</v>
      </c>
      <c r="N11" s="35" t="s">
        <v>968</v>
      </c>
      <c r="O11" s="36">
        <v>5</v>
      </c>
      <c r="P11" s="35" t="s">
        <v>37</v>
      </c>
      <c r="Q11" s="35"/>
      <c r="R11" s="35" t="s">
        <v>1009</v>
      </c>
    </row>
    <row r="12" spans="1:18" ht="24">
      <c r="A12" s="32">
        <v>1491</v>
      </c>
      <c r="B12" s="33">
        <v>46258</v>
      </c>
      <c r="C12" s="32">
        <v>2026</v>
      </c>
      <c r="D12" s="34" t="s">
        <v>1010</v>
      </c>
      <c r="E12" s="35" t="s">
        <v>1011</v>
      </c>
      <c r="F12" s="35" t="s">
        <v>891</v>
      </c>
      <c r="G12" s="34"/>
      <c r="H12" s="35" t="s">
        <v>883</v>
      </c>
      <c r="I12" s="35" t="s">
        <v>965</v>
      </c>
      <c r="J12" s="35" t="s">
        <v>966</v>
      </c>
      <c r="K12" s="35" t="s">
        <v>888</v>
      </c>
      <c r="L12" s="35" t="s">
        <v>990</v>
      </c>
      <c r="M12" s="35" t="s">
        <v>530</v>
      </c>
      <c r="N12" s="35" t="s">
        <v>977</v>
      </c>
      <c r="O12" s="36">
        <v>10</v>
      </c>
      <c r="P12" s="35" t="s">
        <v>37</v>
      </c>
      <c r="Q12" s="35" t="s">
        <v>891</v>
      </c>
      <c r="R12" s="35" t="s">
        <v>1012</v>
      </c>
    </row>
    <row r="13" spans="1:18" ht="24">
      <c r="A13" s="32">
        <v>1490</v>
      </c>
      <c r="B13" s="33">
        <v>46258</v>
      </c>
      <c r="C13" s="32">
        <v>2026</v>
      </c>
      <c r="D13" s="34" t="s">
        <v>1013</v>
      </c>
      <c r="E13" s="35" t="s">
        <v>1014</v>
      </c>
      <c r="F13" s="35" t="s">
        <v>894</v>
      </c>
      <c r="G13" s="34"/>
      <c r="H13" s="35" t="s">
        <v>895</v>
      </c>
      <c r="I13" s="35" t="s">
        <v>965</v>
      </c>
      <c r="J13" s="35" t="s">
        <v>966</v>
      </c>
      <c r="K13" s="35" t="s">
        <v>888</v>
      </c>
      <c r="L13" s="35" t="s">
        <v>976</v>
      </c>
      <c r="M13" s="35" t="s">
        <v>522</v>
      </c>
      <c r="N13" s="35" t="s">
        <v>977</v>
      </c>
      <c r="O13" s="36">
        <v>46</v>
      </c>
      <c r="P13" s="35" t="s">
        <v>37</v>
      </c>
      <c r="Q13" s="35" t="s">
        <v>894</v>
      </c>
      <c r="R13" s="35" t="s">
        <v>1015</v>
      </c>
    </row>
    <row r="14" spans="1:18" ht="24">
      <c r="A14" s="32">
        <v>1489</v>
      </c>
      <c r="B14" s="33">
        <v>46258</v>
      </c>
      <c r="C14" s="32">
        <v>2026</v>
      </c>
      <c r="D14" s="34" t="s">
        <v>1016</v>
      </c>
      <c r="E14" s="35" t="s">
        <v>1017</v>
      </c>
      <c r="F14" s="35" t="s">
        <v>894</v>
      </c>
      <c r="G14" s="34"/>
      <c r="H14" s="35" t="s">
        <v>895</v>
      </c>
      <c r="I14" s="35" t="s">
        <v>965</v>
      </c>
      <c r="J14" s="35" t="s">
        <v>966</v>
      </c>
      <c r="K14" s="35" t="s">
        <v>888</v>
      </c>
      <c r="L14" s="35" t="s">
        <v>990</v>
      </c>
      <c r="M14" s="35" t="s">
        <v>512</v>
      </c>
      <c r="N14" s="35" t="s">
        <v>977</v>
      </c>
      <c r="O14" s="36">
        <v>13</v>
      </c>
      <c r="P14" s="35" t="s">
        <v>37</v>
      </c>
      <c r="Q14" s="35" t="s">
        <v>894</v>
      </c>
      <c r="R14" s="35" t="s">
        <v>1018</v>
      </c>
    </row>
    <row r="15" spans="1:18" ht="24">
      <c r="A15" s="32">
        <v>1488</v>
      </c>
      <c r="B15" s="33">
        <v>46257</v>
      </c>
      <c r="C15" s="32">
        <v>2026</v>
      </c>
      <c r="D15" s="34" t="s">
        <v>1019</v>
      </c>
      <c r="E15" s="35" t="s">
        <v>1020</v>
      </c>
      <c r="F15" s="35"/>
      <c r="G15" s="34"/>
      <c r="H15" s="35"/>
      <c r="I15" s="35" t="s">
        <v>1005</v>
      </c>
      <c r="J15" s="35" t="s">
        <v>1021</v>
      </c>
      <c r="K15" s="35" t="s">
        <v>888</v>
      </c>
      <c r="L15" s="35" t="s">
        <v>1022</v>
      </c>
      <c r="M15" s="35" t="s">
        <v>533</v>
      </c>
      <c r="N15" s="35" t="s">
        <v>968</v>
      </c>
      <c r="O15" s="36">
        <v>23</v>
      </c>
      <c r="P15" s="35" t="s">
        <v>37</v>
      </c>
      <c r="Q15" s="35"/>
      <c r="R15" s="35" t="s">
        <v>1023</v>
      </c>
    </row>
    <row r="16" spans="1:18" ht="24">
      <c r="A16" s="32">
        <v>1487</v>
      </c>
      <c r="B16" s="33">
        <v>46257</v>
      </c>
      <c r="C16" s="32">
        <v>2026</v>
      </c>
      <c r="D16" s="34" t="s">
        <v>1024</v>
      </c>
      <c r="E16" s="35" t="s">
        <v>1025</v>
      </c>
      <c r="F16" s="35" t="s">
        <v>887</v>
      </c>
      <c r="G16" s="34"/>
      <c r="H16" s="35" t="s">
        <v>883</v>
      </c>
      <c r="I16" s="35" t="s">
        <v>965</v>
      </c>
      <c r="J16" s="35" t="s">
        <v>966</v>
      </c>
      <c r="K16" s="35" t="s">
        <v>888</v>
      </c>
      <c r="L16" s="35" t="s">
        <v>1026</v>
      </c>
      <c r="M16" s="35" t="s">
        <v>522</v>
      </c>
      <c r="N16" s="35" t="s">
        <v>977</v>
      </c>
      <c r="O16" s="36">
        <v>15</v>
      </c>
      <c r="P16" s="35" t="s">
        <v>37</v>
      </c>
      <c r="Q16" s="35" t="s">
        <v>887</v>
      </c>
      <c r="R16" s="35" t="s">
        <v>1027</v>
      </c>
    </row>
    <row r="17" spans="1:18" ht="24">
      <c r="A17" s="32">
        <v>1486</v>
      </c>
      <c r="B17" s="33">
        <v>46257</v>
      </c>
      <c r="C17" s="32">
        <v>2026</v>
      </c>
      <c r="D17" s="34" t="s">
        <v>1028</v>
      </c>
      <c r="E17" s="35" t="s">
        <v>1029</v>
      </c>
      <c r="F17" s="35" t="s">
        <v>887</v>
      </c>
      <c r="G17" s="34"/>
      <c r="H17" s="35" t="s">
        <v>883</v>
      </c>
      <c r="I17" s="35" t="s">
        <v>965</v>
      </c>
      <c r="J17" s="35" t="s">
        <v>966</v>
      </c>
      <c r="K17" s="35" t="s">
        <v>888</v>
      </c>
      <c r="L17" s="35" t="s">
        <v>1030</v>
      </c>
      <c r="M17" s="35" t="s">
        <v>519</v>
      </c>
      <c r="N17" s="35" t="s">
        <v>977</v>
      </c>
      <c r="O17" s="36">
        <v>34</v>
      </c>
      <c r="P17" s="35" t="s">
        <v>37</v>
      </c>
      <c r="Q17" s="35" t="s">
        <v>887</v>
      </c>
      <c r="R17" s="35" t="s">
        <v>1031</v>
      </c>
    </row>
    <row r="18" spans="1:18" ht="24">
      <c r="A18" s="32">
        <v>1485</v>
      </c>
      <c r="B18" s="33">
        <v>46257</v>
      </c>
      <c r="C18" s="32">
        <v>2026</v>
      </c>
      <c r="D18" s="34" t="s">
        <v>1032</v>
      </c>
      <c r="E18" s="35" t="s">
        <v>1033</v>
      </c>
      <c r="F18" s="35" t="s">
        <v>908</v>
      </c>
      <c r="G18" s="34"/>
      <c r="H18" s="35" t="s">
        <v>886</v>
      </c>
      <c r="I18" s="35" t="s">
        <v>965</v>
      </c>
      <c r="J18" s="35" t="s">
        <v>966</v>
      </c>
      <c r="K18" s="35" t="s">
        <v>888</v>
      </c>
      <c r="L18" s="35" t="s">
        <v>1034</v>
      </c>
      <c r="M18" s="35" t="s">
        <v>515</v>
      </c>
      <c r="N18" s="35" t="s">
        <v>977</v>
      </c>
      <c r="O18" s="36">
        <v>26</v>
      </c>
      <c r="P18" s="35" t="s">
        <v>37</v>
      </c>
      <c r="Q18" s="35" t="s">
        <v>908</v>
      </c>
      <c r="R18" s="35" t="s">
        <v>1035</v>
      </c>
    </row>
    <row r="19" spans="1:18">
      <c r="A19" s="32">
        <v>1484</v>
      </c>
      <c r="B19" s="33">
        <v>46256</v>
      </c>
      <c r="C19" s="32">
        <v>2026</v>
      </c>
      <c r="D19" s="34" t="s">
        <v>1036</v>
      </c>
      <c r="E19" s="35" t="s">
        <v>1037</v>
      </c>
      <c r="F19" s="35"/>
      <c r="G19" s="34"/>
      <c r="H19" s="35"/>
      <c r="I19" s="35" t="s">
        <v>1038</v>
      </c>
      <c r="J19" s="35" t="s">
        <v>1006</v>
      </c>
      <c r="K19" s="35" t="s">
        <v>1007</v>
      </c>
      <c r="L19" s="35" t="s">
        <v>1022</v>
      </c>
      <c r="M19" s="35" t="s">
        <v>533</v>
      </c>
      <c r="N19" s="35" t="s">
        <v>968</v>
      </c>
      <c r="O19" s="36">
        <v>16</v>
      </c>
      <c r="P19" s="35" t="s">
        <v>37</v>
      </c>
      <c r="Q19" s="35"/>
      <c r="R19" s="35" t="s">
        <v>1039</v>
      </c>
    </row>
    <row r="20" spans="1:18" ht="24">
      <c r="A20" s="32">
        <v>1483</v>
      </c>
      <c r="B20" s="33">
        <v>46256</v>
      </c>
      <c r="C20" s="32">
        <v>2026</v>
      </c>
      <c r="D20" s="34" t="s">
        <v>1040</v>
      </c>
      <c r="E20" s="35" t="s">
        <v>1041</v>
      </c>
      <c r="F20" s="35" t="s">
        <v>891</v>
      </c>
      <c r="G20" s="34"/>
      <c r="H20" s="35" t="s">
        <v>883</v>
      </c>
      <c r="I20" s="35" t="s">
        <v>965</v>
      </c>
      <c r="J20" s="35" t="s">
        <v>966</v>
      </c>
      <c r="K20" s="35" t="s">
        <v>888</v>
      </c>
      <c r="L20" s="35" t="s">
        <v>976</v>
      </c>
      <c r="M20" s="35" t="s">
        <v>522</v>
      </c>
      <c r="N20" s="35" t="s">
        <v>968</v>
      </c>
      <c r="O20" s="36">
        <v>22</v>
      </c>
      <c r="P20" s="35" t="s">
        <v>37</v>
      </c>
      <c r="Q20" s="35" t="s">
        <v>891</v>
      </c>
      <c r="R20" s="35" t="s">
        <v>1042</v>
      </c>
    </row>
    <row r="21" spans="1:18" ht="24">
      <c r="A21" s="32">
        <v>1482</v>
      </c>
      <c r="B21" s="33">
        <v>46256</v>
      </c>
      <c r="C21" s="32">
        <v>2026</v>
      </c>
      <c r="D21" s="34" t="s">
        <v>1043</v>
      </c>
      <c r="E21" s="35" t="s">
        <v>1044</v>
      </c>
      <c r="F21" s="35"/>
      <c r="G21" s="34"/>
      <c r="H21" s="35"/>
      <c r="I21" s="35" t="s">
        <v>1005</v>
      </c>
      <c r="J21" s="35" t="s">
        <v>1021</v>
      </c>
      <c r="K21" s="35" t="s">
        <v>888</v>
      </c>
      <c r="L21" s="35" t="s">
        <v>1022</v>
      </c>
      <c r="M21" s="35" t="s">
        <v>533</v>
      </c>
      <c r="N21" s="35" t="s">
        <v>977</v>
      </c>
      <c r="O21" s="36">
        <v>23</v>
      </c>
      <c r="P21" s="35" t="s">
        <v>37</v>
      </c>
      <c r="Q21" s="35"/>
      <c r="R21" s="35" t="s">
        <v>1045</v>
      </c>
    </row>
    <row r="22" spans="1:18" ht="24">
      <c r="A22" s="32">
        <v>1481</v>
      </c>
      <c r="B22" s="33">
        <v>46256</v>
      </c>
      <c r="C22" s="32">
        <v>2026</v>
      </c>
      <c r="D22" s="34" t="s">
        <v>1046</v>
      </c>
      <c r="E22" s="35" t="s">
        <v>1047</v>
      </c>
      <c r="F22" s="35" t="s">
        <v>878</v>
      </c>
      <c r="G22" s="34"/>
      <c r="H22" s="35" t="s">
        <v>879</v>
      </c>
      <c r="I22" s="35" t="s">
        <v>965</v>
      </c>
      <c r="J22" s="35" t="s">
        <v>966</v>
      </c>
      <c r="K22" s="35" t="s">
        <v>888</v>
      </c>
      <c r="L22" s="35" t="s">
        <v>976</v>
      </c>
      <c r="M22" s="35" t="s">
        <v>522</v>
      </c>
      <c r="N22" s="35" t="s">
        <v>977</v>
      </c>
      <c r="O22" s="36">
        <v>61</v>
      </c>
      <c r="P22" s="35" t="s">
        <v>37</v>
      </c>
      <c r="Q22" s="35" t="s">
        <v>878</v>
      </c>
      <c r="R22" s="35" t="s">
        <v>1048</v>
      </c>
    </row>
    <row r="23" spans="1:18" ht="24">
      <c r="A23" s="32">
        <v>1480</v>
      </c>
      <c r="B23" s="33">
        <v>46256</v>
      </c>
      <c r="C23" s="32">
        <v>2026</v>
      </c>
      <c r="D23" s="34" t="s">
        <v>1049</v>
      </c>
      <c r="E23" s="35" t="s">
        <v>1050</v>
      </c>
      <c r="F23" s="35"/>
      <c r="G23" s="34"/>
      <c r="H23" s="35"/>
      <c r="I23" s="35" t="s">
        <v>1038</v>
      </c>
      <c r="J23" s="35" t="s">
        <v>1006</v>
      </c>
      <c r="K23" s="35" t="s">
        <v>1007</v>
      </c>
      <c r="L23" s="35" t="s">
        <v>1051</v>
      </c>
      <c r="M23" s="35" t="s">
        <v>533</v>
      </c>
      <c r="N23" s="35" t="s">
        <v>977</v>
      </c>
      <c r="O23" s="36">
        <v>18</v>
      </c>
      <c r="P23" s="35" t="s">
        <v>37</v>
      </c>
      <c r="Q23" s="35"/>
      <c r="R23" s="35" t="s">
        <v>1052</v>
      </c>
    </row>
    <row r="24" spans="1:18" ht="24">
      <c r="A24" s="32">
        <v>1479</v>
      </c>
      <c r="B24" s="33">
        <v>46255</v>
      </c>
      <c r="C24" s="32">
        <v>2026</v>
      </c>
      <c r="D24" s="34" t="s">
        <v>1053</v>
      </c>
      <c r="E24" s="35" t="s">
        <v>1054</v>
      </c>
      <c r="F24" s="35" t="s">
        <v>882</v>
      </c>
      <c r="G24" s="34"/>
      <c r="H24" s="35" t="s">
        <v>883</v>
      </c>
      <c r="I24" s="35" t="s">
        <v>965</v>
      </c>
      <c r="J24" s="35" t="s">
        <v>966</v>
      </c>
      <c r="K24" s="35" t="s">
        <v>888</v>
      </c>
      <c r="L24" s="35" t="s">
        <v>1055</v>
      </c>
      <c r="M24" s="35" t="s">
        <v>522</v>
      </c>
      <c r="N24" s="35" t="s">
        <v>977</v>
      </c>
      <c r="O24" s="36">
        <v>16</v>
      </c>
      <c r="P24" s="35" t="s">
        <v>37</v>
      </c>
      <c r="Q24" s="35" t="s">
        <v>882</v>
      </c>
      <c r="R24" s="35" t="s">
        <v>1056</v>
      </c>
    </row>
    <row r="25" spans="1:18" ht="24">
      <c r="A25" s="32">
        <v>1478</v>
      </c>
      <c r="B25" s="33">
        <v>46255</v>
      </c>
      <c r="C25" s="32">
        <v>2026</v>
      </c>
      <c r="D25" s="34" t="s">
        <v>1057</v>
      </c>
      <c r="E25" s="35" t="s">
        <v>1058</v>
      </c>
      <c r="F25" s="35"/>
      <c r="G25" s="34"/>
      <c r="H25" s="35"/>
      <c r="I25" s="35" t="s">
        <v>1005</v>
      </c>
      <c r="J25" s="35" t="s">
        <v>1021</v>
      </c>
      <c r="K25" s="35" t="s">
        <v>888</v>
      </c>
      <c r="L25" s="35" t="s">
        <v>1022</v>
      </c>
      <c r="M25" s="35" t="s">
        <v>533</v>
      </c>
      <c r="N25" s="35" t="s">
        <v>968</v>
      </c>
      <c r="O25" s="36">
        <v>36</v>
      </c>
      <c r="P25" s="35" t="s">
        <v>37</v>
      </c>
      <c r="Q25" s="35"/>
      <c r="R25" s="35" t="s">
        <v>1059</v>
      </c>
    </row>
    <row r="26" spans="1:18" ht="24">
      <c r="A26" s="32">
        <v>1477</v>
      </c>
      <c r="B26" s="33">
        <v>46255</v>
      </c>
      <c r="C26" s="32">
        <v>2026</v>
      </c>
      <c r="D26" s="34" t="s">
        <v>1060</v>
      </c>
      <c r="E26" s="35" t="s">
        <v>1061</v>
      </c>
      <c r="F26" s="35"/>
      <c r="G26" s="34"/>
      <c r="H26" s="35"/>
      <c r="I26" s="35" t="s">
        <v>1005</v>
      </c>
      <c r="J26" s="35" t="s">
        <v>1021</v>
      </c>
      <c r="K26" s="35" t="s">
        <v>888</v>
      </c>
      <c r="L26" s="35" t="s">
        <v>1062</v>
      </c>
      <c r="M26" s="35" t="s">
        <v>533</v>
      </c>
      <c r="N26" s="35" t="s">
        <v>977</v>
      </c>
      <c r="O26" s="36">
        <v>18</v>
      </c>
      <c r="P26" s="35" t="s">
        <v>37</v>
      </c>
      <c r="Q26" s="35"/>
      <c r="R26" s="35" t="s">
        <v>1063</v>
      </c>
    </row>
    <row r="27" spans="1:18">
      <c r="A27" s="32">
        <v>1476</v>
      </c>
      <c r="B27" s="33">
        <v>46255</v>
      </c>
      <c r="C27" s="32">
        <v>2026</v>
      </c>
      <c r="D27" s="34" t="s">
        <v>1064</v>
      </c>
      <c r="E27" s="35" t="s">
        <v>1065</v>
      </c>
      <c r="F27" s="35" t="s">
        <v>889</v>
      </c>
      <c r="G27" s="34"/>
      <c r="H27" s="35" t="s">
        <v>890</v>
      </c>
      <c r="I27" s="35" t="s">
        <v>965</v>
      </c>
      <c r="J27" s="35" t="s">
        <v>966</v>
      </c>
      <c r="K27" s="35" t="s">
        <v>888</v>
      </c>
      <c r="L27" s="35" t="s">
        <v>1008</v>
      </c>
      <c r="M27" s="35" t="s">
        <v>526</v>
      </c>
      <c r="N27" s="35" t="s">
        <v>968</v>
      </c>
      <c r="O27" s="36">
        <v>43</v>
      </c>
      <c r="P27" s="35" t="s">
        <v>37</v>
      </c>
      <c r="Q27" s="35" t="s">
        <v>1066</v>
      </c>
      <c r="R27" s="35" t="s">
        <v>1067</v>
      </c>
    </row>
    <row r="28" spans="1:18" ht="24">
      <c r="A28" s="32">
        <v>1475</v>
      </c>
      <c r="B28" s="33">
        <v>46255</v>
      </c>
      <c r="C28" s="32">
        <v>2026</v>
      </c>
      <c r="D28" s="34" t="s">
        <v>1068</v>
      </c>
      <c r="E28" s="35" t="s">
        <v>1069</v>
      </c>
      <c r="F28" s="35" t="s">
        <v>885</v>
      </c>
      <c r="G28" s="34"/>
      <c r="H28" s="35" t="s">
        <v>886</v>
      </c>
      <c r="I28" s="35" t="s">
        <v>965</v>
      </c>
      <c r="J28" s="35" t="s">
        <v>966</v>
      </c>
      <c r="K28" s="35" t="s">
        <v>888</v>
      </c>
      <c r="L28" s="35" t="s">
        <v>1070</v>
      </c>
      <c r="M28" s="35" t="s">
        <v>536</v>
      </c>
      <c r="N28" s="35" t="s">
        <v>977</v>
      </c>
      <c r="O28" s="36">
        <v>22</v>
      </c>
      <c r="P28" s="35" t="s">
        <v>360</v>
      </c>
      <c r="Q28" s="35" t="s">
        <v>885</v>
      </c>
      <c r="R28" s="35" t="s">
        <v>1071</v>
      </c>
    </row>
    <row r="29" spans="1:18" ht="24">
      <c r="A29" s="32">
        <v>1474</v>
      </c>
      <c r="B29" s="33">
        <v>46255</v>
      </c>
      <c r="C29" s="32">
        <v>2026</v>
      </c>
      <c r="D29" s="34" t="s">
        <v>1072</v>
      </c>
      <c r="E29" s="35" t="s">
        <v>1073</v>
      </c>
      <c r="F29" s="35" t="s">
        <v>887</v>
      </c>
      <c r="G29" s="34"/>
      <c r="H29" s="35" t="s">
        <v>883</v>
      </c>
      <c r="I29" s="35" t="s">
        <v>965</v>
      </c>
      <c r="J29" s="35" t="s">
        <v>966</v>
      </c>
      <c r="K29" s="35" t="s">
        <v>888</v>
      </c>
      <c r="L29" s="35" t="s">
        <v>972</v>
      </c>
      <c r="M29" s="35" t="s">
        <v>512</v>
      </c>
      <c r="N29" s="35" t="s">
        <v>977</v>
      </c>
      <c r="O29" s="36">
        <v>121</v>
      </c>
      <c r="P29" s="35" t="s">
        <v>37</v>
      </c>
      <c r="Q29" s="35" t="s">
        <v>887</v>
      </c>
      <c r="R29" s="35" t="s">
        <v>1074</v>
      </c>
    </row>
    <row r="30" spans="1:18" ht="24">
      <c r="A30" s="32">
        <v>1473</v>
      </c>
      <c r="B30" s="33">
        <v>46255</v>
      </c>
      <c r="C30" s="32">
        <v>2026</v>
      </c>
      <c r="D30" s="34" t="s">
        <v>1075</v>
      </c>
      <c r="E30" s="35" t="s">
        <v>1076</v>
      </c>
      <c r="F30" s="35" t="s">
        <v>878</v>
      </c>
      <c r="G30" s="34"/>
      <c r="H30" s="35" t="s">
        <v>879</v>
      </c>
      <c r="I30" s="35" t="s">
        <v>965</v>
      </c>
      <c r="J30" s="35" t="s">
        <v>966</v>
      </c>
      <c r="K30" s="35" t="s">
        <v>888</v>
      </c>
      <c r="L30" s="35" t="s">
        <v>1022</v>
      </c>
      <c r="M30" s="35" t="s">
        <v>533</v>
      </c>
      <c r="N30" s="35" t="s">
        <v>977</v>
      </c>
      <c r="O30" s="36">
        <v>75</v>
      </c>
      <c r="P30" s="35" t="s">
        <v>37</v>
      </c>
      <c r="Q30" s="35" t="s">
        <v>878</v>
      </c>
      <c r="R30" s="35" t="s">
        <v>1077</v>
      </c>
    </row>
    <row r="31" spans="1:18" ht="24">
      <c r="A31" s="32">
        <v>1472</v>
      </c>
      <c r="B31" s="33">
        <v>46254</v>
      </c>
      <c r="C31" s="32">
        <v>2026</v>
      </c>
      <c r="D31" s="34" t="s">
        <v>1078</v>
      </c>
      <c r="E31" s="35" t="s">
        <v>1079</v>
      </c>
      <c r="F31" s="35"/>
      <c r="G31" s="34"/>
      <c r="H31" s="35"/>
      <c r="I31" s="35" t="s">
        <v>1005</v>
      </c>
      <c r="J31" s="35" t="s">
        <v>1021</v>
      </c>
      <c r="K31" s="35" t="s">
        <v>888</v>
      </c>
      <c r="L31" s="35" t="s">
        <v>986</v>
      </c>
      <c r="M31" s="35" t="s">
        <v>512</v>
      </c>
      <c r="N31" s="35" t="s">
        <v>977</v>
      </c>
      <c r="O31" s="36">
        <v>52</v>
      </c>
      <c r="P31" s="35" t="s">
        <v>37</v>
      </c>
      <c r="Q31" s="35"/>
      <c r="R31" s="35" t="s">
        <v>1080</v>
      </c>
    </row>
    <row r="32" spans="1:18" ht="24">
      <c r="A32" s="32">
        <v>1471</v>
      </c>
      <c r="B32" s="33">
        <v>46254</v>
      </c>
      <c r="C32" s="32">
        <v>2026</v>
      </c>
      <c r="D32" s="34" t="s">
        <v>1081</v>
      </c>
      <c r="E32" s="35" t="s">
        <v>1082</v>
      </c>
      <c r="F32" s="35"/>
      <c r="G32" s="34"/>
      <c r="H32" s="35"/>
      <c r="I32" s="35" t="s">
        <v>1038</v>
      </c>
      <c r="J32" s="35" t="s">
        <v>1006</v>
      </c>
      <c r="K32" s="35" t="s">
        <v>1007</v>
      </c>
      <c r="L32" s="35" t="s">
        <v>1051</v>
      </c>
      <c r="M32" s="35" t="s">
        <v>533</v>
      </c>
      <c r="N32" s="35" t="s">
        <v>977</v>
      </c>
      <c r="O32" s="36">
        <v>181</v>
      </c>
      <c r="P32" s="35" t="s">
        <v>37</v>
      </c>
      <c r="Q32" s="35"/>
      <c r="R32" s="35" t="s">
        <v>1083</v>
      </c>
    </row>
    <row r="33" spans="1:18" ht="24">
      <c r="A33" s="32">
        <v>1470</v>
      </c>
      <c r="B33" s="33">
        <v>46254</v>
      </c>
      <c r="C33" s="32">
        <v>2026</v>
      </c>
      <c r="D33" s="34" t="s">
        <v>1084</v>
      </c>
      <c r="E33" s="35" t="s">
        <v>1085</v>
      </c>
      <c r="F33" s="35"/>
      <c r="G33" s="34"/>
      <c r="H33" s="35"/>
      <c r="I33" s="35" t="s">
        <v>1005</v>
      </c>
      <c r="J33" s="35" t="s">
        <v>1021</v>
      </c>
      <c r="K33" s="35" t="s">
        <v>888</v>
      </c>
      <c r="L33" s="35" t="s">
        <v>1086</v>
      </c>
      <c r="M33" s="35" t="s">
        <v>512</v>
      </c>
      <c r="N33" s="35" t="s">
        <v>977</v>
      </c>
      <c r="O33" s="36">
        <v>91</v>
      </c>
      <c r="P33" s="35" t="s">
        <v>37</v>
      </c>
      <c r="Q33" s="35"/>
      <c r="R33" s="35" t="s">
        <v>1087</v>
      </c>
    </row>
    <row r="34" spans="1:18" ht="24">
      <c r="A34" s="32">
        <v>1469</v>
      </c>
      <c r="B34" s="33">
        <v>46253</v>
      </c>
      <c r="C34" s="32">
        <v>2026</v>
      </c>
      <c r="D34" s="34" t="s">
        <v>1088</v>
      </c>
      <c r="E34" s="35" t="s">
        <v>1089</v>
      </c>
      <c r="F34" s="35" t="s">
        <v>906</v>
      </c>
      <c r="G34" s="34"/>
      <c r="H34" s="35" t="s">
        <v>895</v>
      </c>
      <c r="I34" s="35" t="s">
        <v>965</v>
      </c>
      <c r="J34" s="35" t="s">
        <v>966</v>
      </c>
      <c r="K34" s="35" t="s">
        <v>888</v>
      </c>
      <c r="L34" s="35" t="s">
        <v>1030</v>
      </c>
      <c r="M34" s="35" t="s">
        <v>519</v>
      </c>
      <c r="N34" s="35" t="s">
        <v>977</v>
      </c>
      <c r="O34" s="36">
        <v>18</v>
      </c>
      <c r="P34" s="35" t="s">
        <v>37</v>
      </c>
      <c r="Q34" s="35" t="s">
        <v>906</v>
      </c>
      <c r="R34" s="35" t="s">
        <v>1090</v>
      </c>
    </row>
    <row r="35" spans="1:18" ht="24">
      <c r="A35" s="32">
        <v>1468</v>
      </c>
      <c r="B35" s="33">
        <v>46253</v>
      </c>
      <c r="C35" s="32">
        <v>2026</v>
      </c>
      <c r="D35" s="34" t="s">
        <v>1091</v>
      </c>
      <c r="E35" s="35" t="s">
        <v>1092</v>
      </c>
      <c r="F35" s="35" t="s">
        <v>914</v>
      </c>
      <c r="G35" s="34"/>
      <c r="H35" s="35" t="s">
        <v>886</v>
      </c>
      <c r="I35" s="35" t="s">
        <v>965</v>
      </c>
      <c r="J35" s="35" t="s">
        <v>966</v>
      </c>
      <c r="K35" s="35" t="s">
        <v>888</v>
      </c>
      <c r="L35" s="35" t="s">
        <v>1093</v>
      </c>
      <c r="M35" s="35" t="s">
        <v>512</v>
      </c>
      <c r="N35" s="35" t="s">
        <v>968</v>
      </c>
      <c r="O35" s="36">
        <v>12</v>
      </c>
      <c r="P35" s="35" t="s">
        <v>360</v>
      </c>
      <c r="Q35" s="35" t="s">
        <v>982</v>
      </c>
      <c r="R35" s="35" t="s">
        <v>1094</v>
      </c>
    </row>
    <row r="36" spans="1:18">
      <c r="A36" s="32">
        <v>1467</v>
      </c>
      <c r="B36" s="33">
        <v>46252</v>
      </c>
      <c r="C36" s="32">
        <v>2026</v>
      </c>
      <c r="D36" s="34" t="s">
        <v>1095</v>
      </c>
      <c r="E36" s="35" t="s">
        <v>1096</v>
      </c>
      <c r="F36" s="35"/>
      <c r="G36" s="34"/>
      <c r="H36" s="35"/>
      <c r="I36" s="35" t="s">
        <v>1005</v>
      </c>
      <c r="J36" s="35" t="s">
        <v>1021</v>
      </c>
      <c r="K36" s="35" t="s">
        <v>888</v>
      </c>
      <c r="L36" s="35" t="s">
        <v>1097</v>
      </c>
      <c r="M36" s="35" t="s">
        <v>536</v>
      </c>
      <c r="N36" s="35" t="s">
        <v>977</v>
      </c>
      <c r="O36" s="36">
        <v>12</v>
      </c>
      <c r="P36" s="35" t="s">
        <v>360</v>
      </c>
      <c r="Q36" s="35"/>
      <c r="R36" s="35" t="s">
        <v>1098</v>
      </c>
    </row>
    <row r="37" spans="1:18" ht="24">
      <c r="A37" s="32">
        <v>1466</v>
      </c>
      <c r="B37" s="33">
        <v>46252</v>
      </c>
      <c r="C37" s="32">
        <v>2026</v>
      </c>
      <c r="D37" s="34" t="s">
        <v>1099</v>
      </c>
      <c r="E37" s="35" t="s">
        <v>1100</v>
      </c>
      <c r="F37" s="35" t="s">
        <v>912</v>
      </c>
      <c r="G37" s="34"/>
      <c r="H37" s="35" t="s">
        <v>883</v>
      </c>
      <c r="I37" s="35" t="s">
        <v>965</v>
      </c>
      <c r="J37" s="35" t="s">
        <v>966</v>
      </c>
      <c r="K37" s="35" t="s">
        <v>888</v>
      </c>
      <c r="L37" s="35" t="s">
        <v>1101</v>
      </c>
      <c r="M37" s="35" t="s">
        <v>530</v>
      </c>
      <c r="N37" s="35" t="s">
        <v>977</v>
      </c>
      <c r="O37" s="36">
        <v>20</v>
      </c>
      <c r="P37" s="35" t="s">
        <v>37</v>
      </c>
      <c r="Q37" s="35" t="s">
        <v>1102</v>
      </c>
      <c r="R37" s="35" t="s">
        <v>1103</v>
      </c>
    </row>
    <row r="38" spans="1:18" ht="24">
      <c r="A38" s="32">
        <v>1465</v>
      </c>
      <c r="B38" s="33">
        <v>46252</v>
      </c>
      <c r="C38" s="32">
        <v>2026</v>
      </c>
      <c r="D38" s="34" t="s">
        <v>1104</v>
      </c>
      <c r="E38" s="35" t="s">
        <v>1105</v>
      </c>
      <c r="F38" s="35" t="s">
        <v>908</v>
      </c>
      <c r="G38" s="34"/>
      <c r="H38" s="35" t="s">
        <v>886</v>
      </c>
      <c r="I38" s="35" t="s">
        <v>965</v>
      </c>
      <c r="J38" s="35" t="s">
        <v>966</v>
      </c>
      <c r="K38" s="35" t="s">
        <v>888</v>
      </c>
      <c r="L38" s="35" t="s">
        <v>1106</v>
      </c>
      <c r="M38" s="35" t="s">
        <v>519</v>
      </c>
      <c r="N38" s="35" t="s">
        <v>977</v>
      </c>
      <c r="O38" s="36">
        <v>19</v>
      </c>
      <c r="P38" s="35" t="s">
        <v>37</v>
      </c>
      <c r="Q38" s="35" t="s">
        <v>908</v>
      </c>
      <c r="R38" s="35" t="s">
        <v>1107</v>
      </c>
    </row>
    <row r="39" spans="1:18" ht="24">
      <c r="A39" s="32">
        <v>1464</v>
      </c>
      <c r="B39" s="33">
        <v>46252</v>
      </c>
      <c r="C39" s="32">
        <v>2026</v>
      </c>
      <c r="D39" s="34" t="s">
        <v>1108</v>
      </c>
      <c r="E39" s="35" t="s">
        <v>1109</v>
      </c>
      <c r="F39" s="35" t="s">
        <v>938</v>
      </c>
      <c r="G39" s="34"/>
      <c r="H39" s="35" t="s">
        <v>886</v>
      </c>
      <c r="I39" s="35" t="s">
        <v>965</v>
      </c>
      <c r="J39" s="35" t="s">
        <v>1110</v>
      </c>
      <c r="K39" s="35" t="s">
        <v>888</v>
      </c>
      <c r="L39" s="35" t="s">
        <v>1111</v>
      </c>
      <c r="M39" s="35" t="s">
        <v>512</v>
      </c>
      <c r="N39" s="35" t="s">
        <v>977</v>
      </c>
      <c r="O39" s="36">
        <v>16</v>
      </c>
      <c r="P39" s="35" t="s">
        <v>37</v>
      </c>
      <c r="Q39" s="35" t="s">
        <v>938</v>
      </c>
      <c r="R39" s="35" t="s">
        <v>1112</v>
      </c>
    </row>
    <row r="40" spans="1:18" ht="24">
      <c r="A40" s="32">
        <v>1463</v>
      </c>
      <c r="B40" s="33">
        <v>46251</v>
      </c>
      <c r="C40" s="32">
        <v>2026</v>
      </c>
      <c r="D40" s="34" t="s">
        <v>1113</v>
      </c>
      <c r="E40" s="35" t="s">
        <v>1114</v>
      </c>
      <c r="F40" s="35" t="s">
        <v>932</v>
      </c>
      <c r="G40" s="34"/>
      <c r="H40" s="35" t="s">
        <v>886</v>
      </c>
      <c r="I40" s="35" t="s">
        <v>965</v>
      </c>
      <c r="J40" s="35" t="s">
        <v>966</v>
      </c>
      <c r="K40" s="35" t="s">
        <v>888</v>
      </c>
      <c r="L40" s="35" t="s">
        <v>1115</v>
      </c>
      <c r="M40" s="35" t="s">
        <v>512</v>
      </c>
      <c r="N40" s="35" t="s">
        <v>977</v>
      </c>
      <c r="O40" s="36">
        <v>58</v>
      </c>
      <c r="P40" s="35" t="s">
        <v>37</v>
      </c>
      <c r="Q40" s="35" t="s">
        <v>932</v>
      </c>
      <c r="R40" s="35" t="s">
        <v>1116</v>
      </c>
    </row>
    <row r="41" spans="1:18">
      <c r="A41" s="32">
        <v>1462</v>
      </c>
      <c r="B41" s="33">
        <v>46251</v>
      </c>
      <c r="C41" s="32">
        <v>2026</v>
      </c>
      <c r="D41" s="34" t="s">
        <v>1117</v>
      </c>
      <c r="E41" s="35" t="s">
        <v>1118</v>
      </c>
      <c r="F41" s="35" t="s">
        <v>885</v>
      </c>
      <c r="G41" s="34"/>
      <c r="H41" s="35" t="s">
        <v>886</v>
      </c>
      <c r="I41" s="35" t="s">
        <v>965</v>
      </c>
      <c r="J41" s="35" t="s">
        <v>966</v>
      </c>
      <c r="K41" s="35" t="s">
        <v>888</v>
      </c>
      <c r="L41" s="35" t="s">
        <v>1119</v>
      </c>
      <c r="M41" s="35" t="s">
        <v>519</v>
      </c>
      <c r="N41" s="35" t="s">
        <v>968</v>
      </c>
      <c r="O41" s="36">
        <v>33</v>
      </c>
      <c r="P41" s="35" t="s">
        <v>360</v>
      </c>
      <c r="Q41" s="35" t="s">
        <v>885</v>
      </c>
      <c r="R41" s="35" t="s">
        <v>1120</v>
      </c>
    </row>
    <row r="42" spans="1:18" ht="24">
      <c r="A42" s="32">
        <v>1461</v>
      </c>
      <c r="B42" s="33">
        <v>46250</v>
      </c>
      <c r="C42" s="32">
        <v>2026</v>
      </c>
      <c r="D42" s="34" t="s">
        <v>1121</v>
      </c>
      <c r="E42" s="35" t="s">
        <v>1122</v>
      </c>
      <c r="F42" s="35" t="s">
        <v>889</v>
      </c>
      <c r="G42" s="34"/>
      <c r="H42" s="35" t="s">
        <v>890</v>
      </c>
      <c r="I42" s="35" t="s">
        <v>965</v>
      </c>
      <c r="J42" s="35" t="s">
        <v>1123</v>
      </c>
      <c r="K42" s="35" t="s">
        <v>897</v>
      </c>
      <c r="L42" s="35" t="s">
        <v>1051</v>
      </c>
      <c r="M42" s="35" t="s">
        <v>533</v>
      </c>
      <c r="N42" s="35" t="s">
        <v>977</v>
      </c>
      <c r="O42" s="36">
        <v>20</v>
      </c>
      <c r="P42" s="35" t="s">
        <v>37</v>
      </c>
      <c r="Q42" s="35"/>
      <c r="R42" s="35" t="s">
        <v>1124</v>
      </c>
    </row>
    <row r="43" spans="1:18" ht="24">
      <c r="A43" s="32">
        <v>1460</v>
      </c>
      <c r="B43" s="33">
        <v>46250</v>
      </c>
      <c r="C43" s="32">
        <v>2026</v>
      </c>
      <c r="D43" s="34" t="s">
        <v>1125</v>
      </c>
      <c r="E43" s="35" t="s">
        <v>1126</v>
      </c>
      <c r="F43" s="35" t="s">
        <v>882</v>
      </c>
      <c r="G43" s="34"/>
      <c r="H43" s="35" t="s">
        <v>883</v>
      </c>
      <c r="I43" s="35" t="s">
        <v>965</v>
      </c>
      <c r="J43" s="35" t="s">
        <v>966</v>
      </c>
      <c r="K43" s="35" t="s">
        <v>888</v>
      </c>
      <c r="L43" s="35" t="s">
        <v>1127</v>
      </c>
      <c r="M43" s="35" t="s">
        <v>515</v>
      </c>
      <c r="N43" s="35" t="s">
        <v>977</v>
      </c>
      <c r="O43" s="36">
        <v>29</v>
      </c>
      <c r="P43" s="35" t="s">
        <v>37</v>
      </c>
      <c r="Q43" s="35" t="s">
        <v>882</v>
      </c>
      <c r="R43" s="35" t="s">
        <v>1128</v>
      </c>
    </row>
    <row r="44" spans="1:18">
      <c r="A44" s="32">
        <v>1459</v>
      </c>
      <c r="B44" s="33">
        <v>46249</v>
      </c>
      <c r="C44" s="32">
        <v>2026</v>
      </c>
      <c r="D44" s="34" t="s">
        <v>1129</v>
      </c>
      <c r="E44" s="35" t="s">
        <v>1130</v>
      </c>
      <c r="F44" s="35"/>
      <c r="G44" s="34"/>
      <c r="H44" s="35"/>
      <c r="I44" s="35" t="s">
        <v>1038</v>
      </c>
      <c r="J44" s="35" t="s">
        <v>1006</v>
      </c>
      <c r="K44" s="35" t="s">
        <v>1007</v>
      </c>
      <c r="L44" s="35" t="s">
        <v>1022</v>
      </c>
      <c r="M44" s="35" t="s">
        <v>533</v>
      </c>
      <c r="N44" s="35" t="s">
        <v>968</v>
      </c>
      <c r="O44" s="36">
        <v>38</v>
      </c>
      <c r="P44" s="35" t="s">
        <v>37</v>
      </c>
      <c r="Q44" s="35"/>
      <c r="R44" s="35" t="s">
        <v>1131</v>
      </c>
    </row>
    <row r="45" spans="1:18" ht="24">
      <c r="A45" s="32">
        <v>1458</v>
      </c>
      <c r="B45" s="33">
        <v>46249</v>
      </c>
      <c r="C45" s="32">
        <v>2026</v>
      </c>
      <c r="D45" s="34" t="s">
        <v>1132</v>
      </c>
      <c r="E45" s="35" t="s">
        <v>1133</v>
      </c>
      <c r="F45" s="35"/>
      <c r="G45" s="34"/>
      <c r="H45" s="35" t="s">
        <v>883</v>
      </c>
      <c r="I45" s="35" t="s">
        <v>1134</v>
      </c>
      <c r="J45" s="35" t="s">
        <v>1135</v>
      </c>
      <c r="K45" s="35" t="s">
        <v>888</v>
      </c>
      <c r="L45" s="35" t="s">
        <v>972</v>
      </c>
      <c r="M45" s="35" t="s">
        <v>512</v>
      </c>
      <c r="N45" s="35" t="s">
        <v>977</v>
      </c>
      <c r="O45" s="36">
        <v>31</v>
      </c>
      <c r="P45" s="35" t="s">
        <v>37</v>
      </c>
      <c r="Q45" s="35"/>
      <c r="R45" s="35" t="s">
        <v>1136</v>
      </c>
    </row>
    <row r="46" spans="1:18" ht="24">
      <c r="A46" s="32">
        <v>1457</v>
      </c>
      <c r="B46" s="33">
        <v>46249</v>
      </c>
      <c r="C46" s="32">
        <v>2026</v>
      </c>
      <c r="D46" s="34" t="s">
        <v>1137</v>
      </c>
      <c r="E46" s="35" t="s">
        <v>1138</v>
      </c>
      <c r="F46" s="35" t="s">
        <v>889</v>
      </c>
      <c r="G46" s="34"/>
      <c r="H46" s="35" t="s">
        <v>890</v>
      </c>
      <c r="I46" s="35" t="s">
        <v>965</v>
      </c>
      <c r="J46" s="35" t="s">
        <v>966</v>
      </c>
      <c r="K46" s="35" t="s">
        <v>888</v>
      </c>
      <c r="L46" s="35" t="s">
        <v>1139</v>
      </c>
      <c r="M46" s="35" t="s">
        <v>519</v>
      </c>
      <c r="N46" s="35" t="s">
        <v>977</v>
      </c>
      <c r="O46" s="36">
        <v>18</v>
      </c>
      <c r="P46" s="35" t="s">
        <v>360</v>
      </c>
      <c r="Q46" s="35" t="s">
        <v>1066</v>
      </c>
      <c r="R46" s="35" t="s">
        <v>1140</v>
      </c>
    </row>
    <row r="47" spans="1:18" ht="24">
      <c r="A47" s="32">
        <v>1456</v>
      </c>
      <c r="B47" s="33">
        <v>46248</v>
      </c>
      <c r="C47" s="32">
        <v>2026</v>
      </c>
      <c r="D47" s="34" t="s">
        <v>1141</v>
      </c>
      <c r="E47" s="35" t="s">
        <v>1142</v>
      </c>
      <c r="F47" s="35"/>
      <c r="G47" s="34"/>
      <c r="H47" s="35"/>
      <c r="I47" s="35" t="s">
        <v>1038</v>
      </c>
      <c r="J47" s="35" t="s">
        <v>1006</v>
      </c>
      <c r="K47" s="35" t="s">
        <v>1007</v>
      </c>
      <c r="L47" s="35" t="s">
        <v>1143</v>
      </c>
      <c r="M47" s="35" t="s">
        <v>533</v>
      </c>
      <c r="N47" s="35" t="s">
        <v>968</v>
      </c>
      <c r="O47" s="36">
        <v>22</v>
      </c>
      <c r="P47" s="35" t="s">
        <v>37</v>
      </c>
      <c r="Q47" s="35"/>
      <c r="R47" s="35" t="s">
        <v>1144</v>
      </c>
    </row>
    <row r="48" spans="1:18" ht="24">
      <c r="A48" s="32">
        <v>1455</v>
      </c>
      <c r="B48" s="33">
        <v>46248</v>
      </c>
      <c r="C48" s="32">
        <v>2026</v>
      </c>
      <c r="D48" s="34" t="s">
        <v>1145</v>
      </c>
      <c r="E48" s="35" t="s">
        <v>1146</v>
      </c>
      <c r="F48" s="35"/>
      <c r="G48" s="34"/>
      <c r="H48" s="35"/>
      <c r="I48" s="35" t="s">
        <v>1038</v>
      </c>
      <c r="J48" s="35" t="s">
        <v>1006</v>
      </c>
      <c r="K48" s="35" t="s">
        <v>1007</v>
      </c>
      <c r="L48" s="35" t="s">
        <v>1143</v>
      </c>
      <c r="M48" s="35" t="s">
        <v>533</v>
      </c>
      <c r="N48" s="35" t="s">
        <v>977</v>
      </c>
      <c r="O48" s="36">
        <v>66</v>
      </c>
      <c r="P48" s="35" t="s">
        <v>37</v>
      </c>
      <c r="Q48" s="35"/>
      <c r="R48" s="35" t="s">
        <v>1147</v>
      </c>
    </row>
    <row r="49" spans="1:18" ht="24">
      <c r="A49" s="32">
        <v>1454</v>
      </c>
      <c r="B49" s="33">
        <v>46248</v>
      </c>
      <c r="C49" s="32">
        <v>2026</v>
      </c>
      <c r="D49" s="34" t="s">
        <v>1148</v>
      </c>
      <c r="E49" s="35" t="s">
        <v>1149</v>
      </c>
      <c r="F49" s="35" t="s">
        <v>939</v>
      </c>
      <c r="G49" s="34"/>
      <c r="H49" s="35" t="s">
        <v>890</v>
      </c>
      <c r="I49" s="35" t="s">
        <v>965</v>
      </c>
      <c r="J49" s="35" t="s">
        <v>966</v>
      </c>
      <c r="K49" s="35" t="s">
        <v>888</v>
      </c>
      <c r="L49" s="35" t="s">
        <v>1150</v>
      </c>
      <c r="M49" s="35" t="s">
        <v>515</v>
      </c>
      <c r="N49" s="35" t="s">
        <v>968</v>
      </c>
      <c r="O49" s="36">
        <v>47</v>
      </c>
      <c r="P49" s="35" t="s">
        <v>360</v>
      </c>
      <c r="Q49" s="35" t="s">
        <v>1151</v>
      </c>
      <c r="R49" s="35" t="s">
        <v>1152</v>
      </c>
    </row>
    <row r="50" spans="1:18" ht="24">
      <c r="A50" s="32">
        <v>1453</v>
      </c>
      <c r="B50" s="33">
        <v>46246</v>
      </c>
      <c r="C50" s="32">
        <v>2026</v>
      </c>
      <c r="D50" s="34" t="s">
        <v>1153</v>
      </c>
      <c r="E50" s="35" t="s">
        <v>1154</v>
      </c>
      <c r="F50" s="35"/>
      <c r="G50" s="34"/>
      <c r="H50" s="35"/>
      <c r="I50" s="35" t="s">
        <v>1038</v>
      </c>
      <c r="J50" s="35" t="s">
        <v>1006</v>
      </c>
      <c r="K50" s="35" t="s">
        <v>1007</v>
      </c>
      <c r="L50" s="35" t="s">
        <v>1101</v>
      </c>
      <c r="M50" s="35" t="s">
        <v>530</v>
      </c>
      <c r="N50" s="35" t="s">
        <v>977</v>
      </c>
      <c r="O50" s="36">
        <v>63</v>
      </c>
      <c r="P50" s="35" t="s">
        <v>37</v>
      </c>
      <c r="Q50" s="35"/>
      <c r="R50" s="35" t="s">
        <v>1155</v>
      </c>
    </row>
    <row r="51" spans="1:18" ht="24">
      <c r="A51" s="32">
        <v>1452</v>
      </c>
      <c r="B51" s="33">
        <v>46246</v>
      </c>
      <c r="C51" s="32">
        <v>2026</v>
      </c>
      <c r="D51" s="34" t="s">
        <v>1156</v>
      </c>
      <c r="E51" s="35" t="s">
        <v>1157</v>
      </c>
      <c r="F51" s="35" t="s">
        <v>889</v>
      </c>
      <c r="G51" s="34"/>
      <c r="H51" s="35" t="s">
        <v>890</v>
      </c>
      <c r="I51" s="35" t="s">
        <v>965</v>
      </c>
      <c r="J51" s="35" t="s">
        <v>1110</v>
      </c>
      <c r="K51" s="35" t="s">
        <v>888</v>
      </c>
      <c r="L51" s="35" t="s">
        <v>1158</v>
      </c>
      <c r="M51" s="35" t="s">
        <v>515</v>
      </c>
      <c r="N51" s="35" t="s">
        <v>977</v>
      </c>
      <c r="O51" s="36">
        <v>28</v>
      </c>
      <c r="P51" s="35" t="s">
        <v>360</v>
      </c>
      <c r="Q51" s="35"/>
      <c r="R51" s="35" t="s">
        <v>1159</v>
      </c>
    </row>
    <row r="52" spans="1:18" ht="24">
      <c r="A52" s="32">
        <v>1451</v>
      </c>
      <c r="B52" s="33">
        <v>46246</v>
      </c>
      <c r="C52" s="32">
        <v>2026</v>
      </c>
      <c r="D52" s="34" t="s">
        <v>1160</v>
      </c>
      <c r="E52" s="35" t="s">
        <v>1161</v>
      </c>
      <c r="F52" s="35" t="s">
        <v>885</v>
      </c>
      <c r="G52" s="34"/>
      <c r="H52" s="35" t="s">
        <v>886</v>
      </c>
      <c r="I52" s="35" t="s">
        <v>965</v>
      </c>
      <c r="J52" s="35" t="s">
        <v>966</v>
      </c>
      <c r="K52" s="35" t="s">
        <v>888</v>
      </c>
      <c r="L52" s="35" t="s">
        <v>1119</v>
      </c>
      <c r="M52" s="35" t="s">
        <v>519</v>
      </c>
      <c r="N52" s="35" t="s">
        <v>968</v>
      </c>
      <c r="O52" s="36">
        <v>43</v>
      </c>
      <c r="P52" s="35" t="s">
        <v>37</v>
      </c>
      <c r="Q52" s="35" t="s">
        <v>885</v>
      </c>
      <c r="R52" s="35" t="s">
        <v>1162</v>
      </c>
    </row>
    <row r="53" spans="1:18" ht="24">
      <c r="A53" s="32">
        <v>1450</v>
      </c>
      <c r="B53" s="33">
        <v>46245</v>
      </c>
      <c r="C53" s="32">
        <v>2026</v>
      </c>
      <c r="D53" s="34" t="s">
        <v>1163</v>
      </c>
      <c r="E53" s="35" t="s">
        <v>1164</v>
      </c>
      <c r="F53" s="35"/>
      <c r="G53" s="34"/>
      <c r="H53" s="35" t="s">
        <v>883</v>
      </c>
      <c r="I53" s="35" t="s">
        <v>1134</v>
      </c>
      <c r="J53" s="35" t="s">
        <v>1135</v>
      </c>
      <c r="K53" s="35" t="s">
        <v>888</v>
      </c>
      <c r="L53" s="35" t="s">
        <v>972</v>
      </c>
      <c r="M53" s="35" t="s">
        <v>512</v>
      </c>
      <c r="N53" s="35" t="s">
        <v>968</v>
      </c>
      <c r="O53" s="36">
        <v>46</v>
      </c>
      <c r="P53" s="35" t="s">
        <v>37</v>
      </c>
      <c r="Q53" s="35"/>
      <c r="R53" s="35" t="s">
        <v>1165</v>
      </c>
    </row>
    <row r="54" spans="1:18" ht="24">
      <c r="A54" s="32">
        <v>1449</v>
      </c>
      <c r="B54" s="33">
        <v>46245</v>
      </c>
      <c r="C54" s="32">
        <v>2026</v>
      </c>
      <c r="D54" s="34" t="s">
        <v>1166</v>
      </c>
      <c r="E54" s="35" t="s">
        <v>1167</v>
      </c>
      <c r="F54" s="35" t="s">
        <v>918</v>
      </c>
      <c r="G54" s="34"/>
      <c r="H54" s="35" t="s">
        <v>883</v>
      </c>
      <c r="I54" s="35" t="s">
        <v>965</v>
      </c>
      <c r="J54" s="35" t="s">
        <v>1110</v>
      </c>
      <c r="K54" s="35" t="s">
        <v>888</v>
      </c>
      <c r="L54" s="35" t="s">
        <v>1168</v>
      </c>
      <c r="M54" s="35" t="s">
        <v>536</v>
      </c>
      <c r="N54" s="35" t="s">
        <v>968</v>
      </c>
      <c r="O54" s="36">
        <v>34</v>
      </c>
      <c r="P54" s="35" t="s">
        <v>37</v>
      </c>
      <c r="Q54" s="35"/>
      <c r="R54" s="35" t="s">
        <v>1169</v>
      </c>
    </row>
    <row r="55" spans="1:18">
      <c r="A55" s="32">
        <v>1448</v>
      </c>
      <c r="B55" s="33">
        <v>46245</v>
      </c>
      <c r="C55" s="32">
        <v>2026</v>
      </c>
      <c r="D55" s="34" t="s">
        <v>1170</v>
      </c>
      <c r="E55" s="35" t="s">
        <v>1171</v>
      </c>
      <c r="F55" s="35"/>
      <c r="G55" s="34"/>
      <c r="H55" s="35"/>
      <c r="I55" s="35" t="s">
        <v>1038</v>
      </c>
      <c r="J55" s="35" t="s">
        <v>1006</v>
      </c>
      <c r="K55" s="35" t="s">
        <v>1007</v>
      </c>
      <c r="L55" s="35" t="s">
        <v>972</v>
      </c>
      <c r="M55" s="35" t="s">
        <v>512</v>
      </c>
      <c r="N55" s="35" t="s">
        <v>977</v>
      </c>
      <c r="O55" s="36">
        <v>27</v>
      </c>
      <c r="P55" s="35" t="s">
        <v>37</v>
      </c>
      <c r="Q55" s="35"/>
      <c r="R55" s="35" t="s">
        <v>1172</v>
      </c>
    </row>
    <row r="56" spans="1:18" ht="24">
      <c r="A56" s="32">
        <v>1447</v>
      </c>
      <c r="B56" s="33">
        <v>46245</v>
      </c>
      <c r="C56" s="32">
        <v>2026</v>
      </c>
      <c r="D56" s="34" t="s">
        <v>1173</v>
      </c>
      <c r="E56" s="35" t="s">
        <v>1174</v>
      </c>
      <c r="F56" s="35"/>
      <c r="G56" s="34"/>
      <c r="H56" s="35"/>
      <c r="I56" s="35" t="s">
        <v>1005</v>
      </c>
      <c r="J56" s="35" t="s">
        <v>1021</v>
      </c>
      <c r="K56" s="35" t="s">
        <v>888</v>
      </c>
      <c r="L56" s="35" t="s">
        <v>1055</v>
      </c>
      <c r="M56" s="35" t="s">
        <v>522</v>
      </c>
      <c r="N56" s="35" t="s">
        <v>968</v>
      </c>
      <c r="O56" s="36">
        <v>24</v>
      </c>
      <c r="P56" s="35" t="s">
        <v>360</v>
      </c>
      <c r="Q56" s="35"/>
      <c r="R56" s="35" t="s">
        <v>1175</v>
      </c>
    </row>
    <row r="57" spans="1:18" ht="24">
      <c r="A57" s="32">
        <v>1446</v>
      </c>
      <c r="B57" s="33">
        <v>46245</v>
      </c>
      <c r="C57" s="32">
        <v>2026</v>
      </c>
      <c r="D57" s="34" t="s">
        <v>1176</v>
      </c>
      <c r="E57" s="35" t="s">
        <v>1177</v>
      </c>
      <c r="F57" s="35" t="s">
        <v>891</v>
      </c>
      <c r="G57" s="34"/>
      <c r="H57" s="35" t="s">
        <v>883</v>
      </c>
      <c r="I57" s="35" t="s">
        <v>965</v>
      </c>
      <c r="J57" s="35" t="s">
        <v>966</v>
      </c>
      <c r="K57" s="35" t="s">
        <v>888</v>
      </c>
      <c r="L57" s="35" t="s">
        <v>1106</v>
      </c>
      <c r="M57" s="35" t="s">
        <v>519</v>
      </c>
      <c r="N57" s="35" t="s">
        <v>968</v>
      </c>
      <c r="O57" s="36">
        <v>28</v>
      </c>
      <c r="P57" s="35" t="s">
        <v>37</v>
      </c>
      <c r="Q57" s="35" t="s">
        <v>891</v>
      </c>
      <c r="R57" s="35" t="s">
        <v>1178</v>
      </c>
    </row>
    <row r="58" spans="1:18" ht="24">
      <c r="A58" s="32">
        <v>1445</v>
      </c>
      <c r="B58" s="33">
        <v>46245</v>
      </c>
      <c r="C58" s="32">
        <v>2026</v>
      </c>
      <c r="D58" s="34" t="s">
        <v>1179</v>
      </c>
      <c r="E58" s="35" t="s">
        <v>1180</v>
      </c>
      <c r="F58" s="35" t="s">
        <v>884</v>
      </c>
      <c r="G58" s="34"/>
      <c r="H58" s="35" t="s">
        <v>883</v>
      </c>
      <c r="I58" s="35" t="s">
        <v>965</v>
      </c>
      <c r="J58" s="35" t="s">
        <v>966</v>
      </c>
      <c r="K58" s="35" t="s">
        <v>888</v>
      </c>
      <c r="L58" s="35" t="s">
        <v>976</v>
      </c>
      <c r="M58" s="35" t="s">
        <v>522</v>
      </c>
      <c r="N58" s="35" t="s">
        <v>977</v>
      </c>
      <c r="O58" s="36">
        <v>48</v>
      </c>
      <c r="P58" s="35" t="s">
        <v>37</v>
      </c>
      <c r="Q58" s="35" t="s">
        <v>884</v>
      </c>
      <c r="R58" s="35" t="s">
        <v>1181</v>
      </c>
    </row>
    <row r="59" spans="1:18" ht="24">
      <c r="A59" s="32">
        <v>1444</v>
      </c>
      <c r="B59" s="33">
        <v>46245</v>
      </c>
      <c r="C59" s="32">
        <v>2026</v>
      </c>
      <c r="D59" s="34" t="s">
        <v>1182</v>
      </c>
      <c r="E59" s="35" t="s">
        <v>1183</v>
      </c>
      <c r="F59" s="35" t="s">
        <v>893</v>
      </c>
      <c r="G59" s="34"/>
      <c r="H59" s="35" t="s">
        <v>879</v>
      </c>
      <c r="I59" s="35" t="s">
        <v>965</v>
      </c>
      <c r="J59" s="35" t="s">
        <v>966</v>
      </c>
      <c r="K59" s="35" t="s">
        <v>888</v>
      </c>
      <c r="L59" s="35" t="s">
        <v>1119</v>
      </c>
      <c r="M59" s="35" t="s">
        <v>519</v>
      </c>
      <c r="N59" s="35" t="s">
        <v>977</v>
      </c>
      <c r="O59" s="36">
        <v>40</v>
      </c>
      <c r="P59" s="35" t="s">
        <v>37</v>
      </c>
      <c r="Q59" s="35" t="s">
        <v>893</v>
      </c>
      <c r="R59" s="35" t="s">
        <v>1184</v>
      </c>
    </row>
    <row r="60" spans="1:18" ht="24">
      <c r="A60" s="32">
        <v>1442</v>
      </c>
      <c r="B60" s="33">
        <v>46243</v>
      </c>
      <c r="C60" s="32">
        <v>2026</v>
      </c>
      <c r="D60" s="34" t="s">
        <v>1185</v>
      </c>
      <c r="E60" s="35" t="s">
        <v>1186</v>
      </c>
      <c r="F60" s="35" t="s">
        <v>885</v>
      </c>
      <c r="G60" s="34"/>
      <c r="H60" s="35" t="s">
        <v>886</v>
      </c>
      <c r="I60" s="35" t="s">
        <v>965</v>
      </c>
      <c r="J60" s="35" t="s">
        <v>966</v>
      </c>
      <c r="K60" s="35" t="s">
        <v>888</v>
      </c>
      <c r="L60" s="35" t="s">
        <v>976</v>
      </c>
      <c r="M60" s="35" t="s">
        <v>522</v>
      </c>
      <c r="N60" s="35" t="s">
        <v>968</v>
      </c>
      <c r="O60" s="36">
        <v>45</v>
      </c>
      <c r="P60" s="35" t="s">
        <v>37</v>
      </c>
      <c r="Q60" s="35" t="s">
        <v>885</v>
      </c>
      <c r="R60" s="35" t="s">
        <v>1187</v>
      </c>
    </row>
    <row r="61" spans="1:18" ht="24">
      <c r="A61" s="32">
        <v>1441</v>
      </c>
      <c r="B61" s="33">
        <v>46243</v>
      </c>
      <c r="C61" s="32">
        <v>2026</v>
      </c>
      <c r="D61" s="34" t="s">
        <v>1188</v>
      </c>
      <c r="E61" s="35" t="s">
        <v>1189</v>
      </c>
      <c r="F61" s="35"/>
      <c r="G61" s="34"/>
      <c r="H61" s="35" t="s">
        <v>886</v>
      </c>
      <c r="I61" s="35" t="s">
        <v>1134</v>
      </c>
      <c r="J61" s="35" t="s">
        <v>1135</v>
      </c>
      <c r="K61" s="35" t="s">
        <v>888</v>
      </c>
      <c r="L61" s="35" t="s">
        <v>1086</v>
      </c>
      <c r="M61" s="35" t="s">
        <v>512</v>
      </c>
      <c r="N61" s="35" t="s">
        <v>968</v>
      </c>
      <c r="O61" s="36">
        <v>50</v>
      </c>
      <c r="P61" s="35" t="s">
        <v>37</v>
      </c>
      <c r="Q61" s="35"/>
      <c r="R61" s="35" t="s">
        <v>1190</v>
      </c>
    </row>
    <row r="62" spans="1:18" ht="24">
      <c r="A62" s="32">
        <v>1440</v>
      </c>
      <c r="B62" s="33">
        <v>46242</v>
      </c>
      <c r="C62" s="32">
        <v>2026</v>
      </c>
      <c r="D62" s="34" t="s">
        <v>1191</v>
      </c>
      <c r="E62" s="35" t="s">
        <v>1192</v>
      </c>
      <c r="F62" s="35" t="s">
        <v>892</v>
      </c>
      <c r="G62" s="34"/>
      <c r="H62" s="35" t="s">
        <v>879</v>
      </c>
      <c r="I62" s="35" t="s">
        <v>965</v>
      </c>
      <c r="J62" s="35" t="s">
        <v>966</v>
      </c>
      <c r="K62" s="35" t="s">
        <v>888</v>
      </c>
      <c r="L62" s="35" t="s">
        <v>1030</v>
      </c>
      <c r="M62" s="35" t="s">
        <v>519</v>
      </c>
      <c r="N62" s="35" t="s">
        <v>977</v>
      </c>
      <c r="O62" s="36">
        <v>39</v>
      </c>
      <c r="P62" s="35" t="s">
        <v>37</v>
      </c>
      <c r="Q62" s="35" t="s">
        <v>892</v>
      </c>
      <c r="R62" s="35" t="s">
        <v>1193</v>
      </c>
    </row>
    <row r="63" spans="1:18" ht="24">
      <c r="A63" s="32">
        <v>1439</v>
      </c>
      <c r="B63" s="33">
        <v>46241</v>
      </c>
      <c r="C63" s="32">
        <v>2026</v>
      </c>
      <c r="D63" s="34" t="s">
        <v>1194</v>
      </c>
      <c r="E63" s="35" t="s">
        <v>1195</v>
      </c>
      <c r="F63" s="35" t="s">
        <v>927</v>
      </c>
      <c r="G63" s="34"/>
      <c r="H63" s="35" t="s">
        <v>886</v>
      </c>
      <c r="I63" s="35" t="s">
        <v>965</v>
      </c>
      <c r="J63" s="35" t="s">
        <v>966</v>
      </c>
      <c r="K63" s="35" t="s">
        <v>888</v>
      </c>
      <c r="L63" s="35" t="s">
        <v>1119</v>
      </c>
      <c r="M63" s="35" t="s">
        <v>519</v>
      </c>
      <c r="N63" s="35" t="s">
        <v>968</v>
      </c>
      <c r="O63" s="36">
        <v>47</v>
      </c>
      <c r="P63" s="35" t="s">
        <v>37</v>
      </c>
      <c r="Q63" s="35" t="s">
        <v>1196</v>
      </c>
      <c r="R63" s="35" t="s">
        <v>1197</v>
      </c>
    </row>
    <row r="64" spans="1:18" ht="24">
      <c r="A64" s="32">
        <v>1438</v>
      </c>
      <c r="B64" s="33">
        <v>46241</v>
      </c>
      <c r="C64" s="32">
        <v>2026</v>
      </c>
      <c r="D64" s="34" t="s">
        <v>1198</v>
      </c>
      <c r="E64" s="35" t="s">
        <v>1199</v>
      </c>
      <c r="F64" s="35" t="s">
        <v>928</v>
      </c>
      <c r="G64" s="34"/>
      <c r="H64" s="35" t="s">
        <v>879</v>
      </c>
      <c r="I64" s="35" t="s">
        <v>965</v>
      </c>
      <c r="J64" s="35" t="s">
        <v>966</v>
      </c>
      <c r="K64" s="35" t="s">
        <v>888</v>
      </c>
      <c r="L64" s="35" t="s">
        <v>1086</v>
      </c>
      <c r="M64" s="35" t="s">
        <v>512</v>
      </c>
      <c r="N64" s="35" t="s">
        <v>977</v>
      </c>
      <c r="O64" s="36">
        <v>45</v>
      </c>
      <c r="P64" s="35" t="s">
        <v>37</v>
      </c>
      <c r="Q64" s="35" t="s">
        <v>1200</v>
      </c>
      <c r="R64" s="35" t="s">
        <v>1201</v>
      </c>
    </row>
    <row r="65" spans="1:18" ht="24">
      <c r="A65" s="32">
        <v>1437</v>
      </c>
      <c r="B65" s="33">
        <v>46241</v>
      </c>
      <c r="C65" s="32">
        <v>2026</v>
      </c>
      <c r="D65" s="34" t="s">
        <v>1202</v>
      </c>
      <c r="E65" s="35" t="s">
        <v>1203</v>
      </c>
      <c r="F65" s="35" t="s">
        <v>885</v>
      </c>
      <c r="G65" s="34"/>
      <c r="H65" s="35" t="s">
        <v>886</v>
      </c>
      <c r="I65" s="35" t="s">
        <v>965</v>
      </c>
      <c r="J65" s="35" t="s">
        <v>966</v>
      </c>
      <c r="K65" s="35" t="s">
        <v>888</v>
      </c>
      <c r="L65" s="35" t="s">
        <v>1097</v>
      </c>
      <c r="M65" s="35" t="s">
        <v>536</v>
      </c>
      <c r="N65" s="35" t="s">
        <v>968</v>
      </c>
      <c r="O65" s="36">
        <v>31</v>
      </c>
      <c r="P65" s="35" t="s">
        <v>37</v>
      </c>
      <c r="Q65" s="35" t="s">
        <v>885</v>
      </c>
      <c r="R65" s="35" t="s">
        <v>1204</v>
      </c>
    </row>
    <row r="66" spans="1:18" ht="24">
      <c r="A66" s="32">
        <v>1436</v>
      </c>
      <c r="B66" s="33">
        <v>46241</v>
      </c>
      <c r="C66" s="32">
        <v>2026</v>
      </c>
      <c r="D66" s="34" t="s">
        <v>1205</v>
      </c>
      <c r="E66" s="35" t="s">
        <v>1206</v>
      </c>
      <c r="F66" s="35"/>
      <c r="G66" s="34"/>
      <c r="H66" s="35"/>
      <c r="I66" s="35" t="s">
        <v>1005</v>
      </c>
      <c r="J66" s="35" t="s">
        <v>1021</v>
      </c>
      <c r="K66" s="35" t="s">
        <v>888</v>
      </c>
      <c r="L66" s="35" t="s">
        <v>1086</v>
      </c>
      <c r="M66" s="35" t="s">
        <v>512</v>
      </c>
      <c r="N66" s="35" t="s">
        <v>977</v>
      </c>
      <c r="O66" s="36">
        <v>46</v>
      </c>
      <c r="P66" s="35" t="s">
        <v>37</v>
      </c>
      <c r="Q66" s="35"/>
      <c r="R66" s="35" t="s">
        <v>1207</v>
      </c>
    </row>
    <row r="67" spans="1:18">
      <c r="A67" s="32">
        <v>1435</v>
      </c>
      <c r="B67" s="33">
        <v>46241</v>
      </c>
      <c r="C67" s="32">
        <v>2026</v>
      </c>
      <c r="D67" s="34" t="s">
        <v>1208</v>
      </c>
      <c r="E67" s="35" t="s">
        <v>1209</v>
      </c>
      <c r="F67" s="35" t="s">
        <v>903</v>
      </c>
      <c r="G67" s="34"/>
      <c r="H67" s="35" t="s">
        <v>886</v>
      </c>
      <c r="I67" s="35" t="s">
        <v>965</v>
      </c>
      <c r="J67" s="35" t="s">
        <v>966</v>
      </c>
      <c r="K67" s="35" t="s">
        <v>888</v>
      </c>
      <c r="L67" s="35" t="s">
        <v>1119</v>
      </c>
      <c r="M67" s="35" t="s">
        <v>519</v>
      </c>
      <c r="N67" s="35" t="s">
        <v>977</v>
      </c>
      <c r="O67" s="36">
        <v>38</v>
      </c>
      <c r="P67" s="35" t="s">
        <v>37</v>
      </c>
      <c r="Q67" s="35" t="s">
        <v>903</v>
      </c>
      <c r="R67" s="35" t="s">
        <v>1210</v>
      </c>
    </row>
    <row r="68" spans="1:18" ht="24">
      <c r="A68" s="32">
        <v>1434</v>
      </c>
      <c r="B68" s="33">
        <v>46241</v>
      </c>
      <c r="C68" s="32">
        <v>2026</v>
      </c>
      <c r="D68" s="34" t="s">
        <v>1211</v>
      </c>
      <c r="E68" s="35" t="s">
        <v>1212</v>
      </c>
      <c r="F68" s="35"/>
      <c r="G68" s="34"/>
      <c r="H68" s="35" t="s">
        <v>890</v>
      </c>
      <c r="I68" s="35" t="s">
        <v>1134</v>
      </c>
      <c r="J68" s="35" t="s">
        <v>1135</v>
      </c>
      <c r="K68" s="35" t="s">
        <v>888</v>
      </c>
      <c r="L68" s="35" t="s">
        <v>1213</v>
      </c>
      <c r="M68" s="35" t="s">
        <v>519</v>
      </c>
      <c r="N68" s="35" t="s">
        <v>968</v>
      </c>
      <c r="O68" s="36">
        <v>30</v>
      </c>
      <c r="P68" s="35" t="s">
        <v>37</v>
      </c>
      <c r="Q68" s="35"/>
      <c r="R68" s="35" t="s">
        <v>1214</v>
      </c>
    </row>
    <row r="69" spans="1:18" ht="24">
      <c r="A69" s="32">
        <v>1433</v>
      </c>
      <c r="B69" s="33">
        <v>46241</v>
      </c>
      <c r="C69" s="32">
        <v>2026</v>
      </c>
      <c r="D69" s="34" t="s">
        <v>1215</v>
      </c>
      <c r="E69" s="35" t="s">
        <v>1216</v>
      </c>
      <c r="F69" s="35"/>
      <c r="G69" s="34"/>
      <c r="H69" s="35"/>
      <c r="I69" s="35" t="s">
        <v>1005</v>
      </c>
      <c r="J69" s="35" t="s">
        <v>1021</v>
      </c>
      <c r="K69" s="35" t="s">
        <v>888</v>
      </c>
      <c r="L69" s="35" t="s">
        <v>1101</v>
      </c>
      <c r="M69" s="35" t="s">
        <v>530</v>
      </c>
      <c r="N69" s="35" t="s">
        <v>977</v>
      </c>
      <c r="O69" s="36">
        <v>41</v>
      </c>
      <c r="P69" s="35" t="s">
        <v>37</v>
      </c>
      <c r="Q69" s="35"/>
      <c r="R69" s="35" t="s">
        <v>1217</v>
      </c>
    </row>
    <row r="70" spans="1:18" ht="24">
      <c r="A70" s="32">
        <v>1432</v>
      </c>
      <c r="B70" s="33">
        <v>46240</v>
      </c>
      <c r="C70" s="32">
        <v>2026</v>
      </c>
      <c r="D70" s="34" t="s">
        <v>1218</v>
      </c>
      <c r="E70" s="35" t="s">
        <v>1219</v>
      </c>
      <c r="F70" s="35" t="s">
        <v>893</v>
      </c>
      <c r="G70" s="34"/>
      <c r="H70" s="35" t="s">
        <v>879</v>
      </c>
      <c r="I70" s="35" t="s">
        <v>965</v>
      </c>
      <c r="J70" s="35" t="s">
        <v>966</v>
      </c>
      <c r="K70" s="35" t="s">
        <v>888</v>
      </c>
      <c r="L70" s="35" t="s">
        <v>972</v>
      </c>
      <c r="M70" s="35" t="s">
        <v>512</v>
      </c>
      <c r="N70" s="35" t="s">
        <v>977</v>
      </c>
      <c r="O70" s="36">
        <v>38</v>
      </c>
      <c r="P70" s="35" t="s">
        <v>360</v>
      </c>
      <c r="Q70" s="35" t="s">
        <v>893</v>
      </c>
      <c r="R70" s="35" t="s">
        <v>1220</v>
      </c>
    </row>
    <row r="71" spans="1:18" ht="24">
      <c r="A71" s="32">
        <v>1431</v>
      </c>
      <c r="B71" s="33">
        <v>46238</v>
      </c>
      <c r="C71" s="32">
        <v>2026</v>
      </c>
      <c r="D71" s="34" t="s">
        <v>1221</v>
      </c>
      <c r="E71" s="35" t="s">
        <v>1222</v>
      </c>
      <c r="F71" s="35"/>
      <c r="G71" s="34"/>
      <c r="H71" s="35" t="s">
        <v>886</v>
      </c>
      <c r="I71" s="35" t="s">
        <v>1134</v>
      </c>
      <c r="J71" s="35" t="s">
        <v>1135</v>
      </c>
      <c r="K71" s="35" t="s">
        <v>888</v>
      </c>
      <c r="L71" s="35" t="s">
        <v>972</v>
      </c>
      <c r="M71" s="35" t="s">
        <v>512</v>
      </c>
      <c r="N71" s="35" t="s">
        <v>977</v>
      </c>
      <c r="O71" s="36">
        <v>50</v>
      </c>
      <c r="P71" s="35" t="s">
        <v>360</v>
      </c>
      <c r="Q71" s="35"/>
      <c r="R71" s="35" t="s">
        <v>1223</v>
      </c>
    </row>
    <row r="72" spans="1:18" ht="24">
      <c r="A72" s="32">
        <v>1430</v>
      </c>
      <c r="B72" s="33">
        <v>46237</v>
      </c>
      <c r="C72" s="32">
        <v>2026</v>
      </c>
      <c r="D72" s="34" t="s">
        <v>1224</v>
      </c>
      <c r="E72" s="35" t="s">
        <v>1225</v>
      </c>
      <c r="F72" s="35" t="s">
        <v>920</v>
      </c>
      <c r="G72" s="34"/>
      <c r="H72" s="35" t="s">
        <v>890</v>
      </c>
      <c r="I72" s="35" t="s">
        <v>965</v>
      </c>
      <c r="J72" s="35" t="s">
        <v>966</v>
      </c>
      <c r="K72" s="35" t="s">
        <v>888</v>
      </c>
      <c r="L72" s="35" t="s">
        <v>1086</v>
      </c>
      <c r="M72" s="35" t="s">
        <v>512</v>
      </c>
      <c r="N72" s="35" t="s">
        <v>968</v>
      </c>
      <c r="O72" s="36">
        <v>65</v>
      </c>
      <c r="P72" s="35" t="s">
        <v>37</v>
      </c>
      <c r="Q72" s="35" t="s">
        <v>920</v>
      </c>
      <c r="R72" s="35" t="s">
        <v>1226</v>
      </c>
    </row>
    <row r="73" spans="1:18" ht="24">
      <c r="A73" s="32">
        <v>1429</v>
      </c>
      <c r="B73" s="33">
        <v>46237</v>
      </c>
      <c r="C73" s="32">
        <v>2026</v>
      </c>
      <c r="D73" s="34" t="s">
        <v>1227</v>
      </c>
      <c r="E73" s="35" t="s">
        <v>1228</v>
      </c>
      <c r="F73" s="35" t="s">
        <v>913</v>
      </c>
      <c r="G73" s="34"/>
      <c r="H73" s="35" t="s">
        <v>895</v>
      </c>
      <c r="I73" s="35" t="s">
        <v>965</v>
      </c>
      <c r="J73" s="35" t="s">
        <v>966</v>
      </c>
      <c r="K73" s="35" t="s">
        <v>888</v>
      </c>
      <c r="L73" s="35" t="s">
        <v>1119</v>
      </c>
      <c r="M73" s="35" t="s">
        <v>519</v>
      </c>
      <c r="N73" s="35" t="s">
        <v>977</v>
      </c>
      <c r="O73" s="36">
        <v>55</v>
      </c>
      <c r="P73" s="35" t="s">
        <v>37</v>
      </c>
      <c r="Q73" s="35" t="s">
        <v>913</v>
      </c>
      <c r="R73" s="35" t="s">
        <v>1229</v>
      </c>
    </row>
    <row r="74" spans="1:18" ht="24">
      <c r="A74" s="32">
        <v>1428</v>
      </c>
      <c r="B74" s="33">
        <v>46236</v>
      </c>
      <c r="C74" s="32">
        <v>2026</v>
      </c>
      <c r="D74" s="34" t="s">
        <v>1230</v>
      </c>
      <c r="E74" s="35" t="s">
        <v>1231</v>
      </c>
      <c r="F74" s="35" t="s">
        <v>878</v>
      </c>
      <c r="G74" s="34"/>
      <c r="H74" s="35" t="s">
        <v>879</v>
      </c>
      <c r="I74" s="35" t="s">
        <v>965</v>
      </c>
      <c r="J74" s="35" t="s">
        <v>966</v>
      </c>
      <c r="K74" s="35" t="s">
        <v>888</v>
      </c>
      <c r="L74" s="35" t="s">
        <v>1008</v>
      </c>
      <c r="M74" s="35" t="s">
        <v>526</v>
      </c>
      <c r="N74" s="35" t="s">
        <v>977</v>
      </c>
      <c r="O74" s="36">
        <v>64</v>
      </c>
      <c r="P74" s="35" t="s">
        <v>37</v>
      </c>
      <c r="Q74" s="35" t="s">
        <v>878</v>
      </c>
      <c r="R74" s="35" t="s">
        <v>1232</v>
      </c>
    </row>
    <row r="75" spans="1:18" ht="24">
      <c r="A75" s="32">
        <v>1427</v>
      </c>
      <c r="B75" s="33">
        <v>46236</v>
      </c>
      <c r="C75" s="32">
        <v>2026</v>
      </c>
      <c r="D75" s="34" t="s">
        <v>1233</v>
      </c>
      <c r="E75" s="35" t="s">
        <v>1234</v>
      </c>
      <c r="F75" s="35"/>
      <c r="G75" s="34"/>
      <c r="H75" s="35"/>
      <c r="I75" s="35" t="s">
        <v>1005</v>
      </c>
      <c r="J75" s="35" t="s">
        <v>1021</v>
      </c>
      <c r="K75" s="35" t="s">
        <v>888</v>
      </c>
      <c r="L75" s="35" t="s">
        <v>1086</v>
      </c>
      <c r="M75" s="35" t="s">
        <v>512</v>
      </c>
      <c r="N75" s="35" t="s">
        <v>977</v>
      </c>
      <c r="O75" s="36">
        <v>58</v>
      </c>
      <c r="P75" s="35" t="s">
        <v>37</v>
      </c>
      <c r="Q75" s="35"/>
      <c r="R75" s="35" t="s">
        <v>1235</v>
      </c>
    </row>
    <row r="76" spans="1:18" ht="24">
      <c r="A76" s="32">
        <v>1426</v>
      </c>
      <c r="B76" s="33">
        <v>46236</v>
      </c>
      <c r="C76" s="32">
        <v>2026</v>
      </c>
      <c r="D76" s="34" t="s">
        <v>1236</v>
      </c>
      <c r="E76" s="35" t="s">
        <v>1237</v>
      </c>
      <c r="F76" s="35" t="s">
        <v>921</v>
      </c>
      <c r="G76" s="34"/>
      <c r="H76" s="35" t="s">
        <v>895</v>
      </c>
      <c r="I76" s="35" t="s">
        <v>965</v>
      </c>
      <c r="J76" s="35" t="s">
        <v>1110</v>
      </c>
      <c r="K76" s="35" t="s">
        <v>888</v>
      </c>
      <c r="L76" s="35" t="s">
        <v>1119</v>
      </c>
      <c r="M76" s="35" t="s">
        <v>519</v>
      </c>
      <c r="N76" s="35" t="s">
        <v>968</v>
      </c>
      <c r="O76" s="36">
        <v>78</v>
      </c>
      <c r="P76" s="35" t="s">
        <v>37</v>
      </c>
      <c r="Q76" s="35"/>
      <c r="R76" s="35" t="s">
        <v>1238</v>
      </c>
    </row>
    <row r="77" spans="1:18" ht="24">
      <c r="A77" s="32">
        <v>1425</v>
      </c>
      <c r="B77" s="33">
        <v>46236</v>
      </c>
      <c r="C77" s="32">
        <v>2026</v>
      </c>
      <c r="D77" s="34" t="s">
        <v>1239</v>
      </c>
      <c r="E77" s="35" t="s">
        <v>1240</v>
      </c>
      <c r="F77" s="35" t="s">
        <v>878</v>
      </c>
      <c r="G77" s="34"/>
      <c r="H77" s="35" t="s">
        <v>879</v>
      </c>
      <c r="I77" s="35" t="s">
        <v>965</v>
      </c>
      <c r="J77" s="35" t="s">
        <v>966</v>
      </c>
      <c r="K77" s="35" t="s">
        <v>888</v>
      </c>
      <c r="L77" s="35" t="s">
        <v>976</v>
      </c>
      <c r="M77" s="35" t="s">
        <v>522</v>
      </c>
      <c r="N77" s="35" t="s">
        <v>968</v>
      </c>
      <c r="O77" s="36">
        <v>69</v>
      </c>
      <c r="P77" s="35" t="s">
        <v>37</v>
      </c>
      <c r="Q77" s="35" t="s">
        <v>1241</v>
      </c>
      <c r="R77" s="35" t="s">
        <v>1242</v>
      </c>
    </row>
    <row r="78" spans="1:18" ht="24">
      <c r="A78" s="32">
        <v>1424</v>
      </c>
      <c r="B78" s="33">
        <v>46236</v>
      </c>
      <c r="C78" s="32">
        <v>2026</v>
      </c>
      <c r="D78" s="34" t="s">
        <v>1243</v>
      </c>
      <c r="E78" s="35" t="s">
        <v>1244</v>
      </c>
      <c r="F78" s="35" t="s">
        <v>878</v>
      </c>
      <c r="G78" s="34"/>
      <c r="H78" s="35" t="s">
        <v>879</v>
      </c>
      <c r="I78" s="35" t="s">
        <v>965</v>
      </c>
      <c r="J78" s="35" t="s">
        <v>966</v>
      </c>
      <c r="K78" s="35" t="s">
        <v>888</v>
      </c>
      <c r="L78" s="35" t="s">
        <v>1008</v>
      </c>
      <c r="M78" s="35" t="s">
        <v>526</v>
      </c>
      <c r="N78" s="35" t="s">
        <v>977</v>
      </c>
      <c r="O78" s="36">
        <v>47</v>
      </c>
      <c r="P78" s="35" t="s">
        <v>37</v>
      </c>
      <c r="Q78" s="35" t="s">
        <v>878</v>
      </c>
      <c r="R78" s="35" t="s">
        <v>1245</v>
      </c>
    </row>
    <row r="79" spans="1:18">
      <c r="A79" s="32">
        <v>1423</v>
      </c>
      <c r="B79" s="33">
        <v>46236</v>
      </c>
      <c r="C79" s="32">
        <v>2026</v>
      </c>
      <c r="D79" s="34" t="s">
        <v>1246</v>
      </c>
      <c r="E79" s="35" t="s">
        <v>1247</v>
      </c>
      <c r="F79" s="35"/>
      <c r="G79" s="34"/>
      <c r="H79" s="35"/>
      <c r="I79" s="35" t="s">
        <v>1005</v>
      </c>
      <c r="J79" s="35" t="s">
        <v>1021</v>
      </c>
      <c r="K79" s="35" t="s">
        <v>888</v>
      </c>
      <c r="L79" s="35" t="s">
        <v>972</v>
      </c>
      <c r="M79" s="35" t="s">
        <v>512</v>
      </c>
      <c r="N79" s="35" t="s">
        <v>977</v>
      </c>
      <c r="O79" s="36">
        <v>41</v>
      </c>
      <c r="P79" s="35" t="s">
        <v>37</v>
      </c>
      <c r="Q79" s="35"/>
      <c r="R79" s="35" t="s">
        <v>1248</v>
      </c>
    </row>
    <row r="80" spans="1:18" ht="24">
      <c r="A80" s="32">
        <v>1422</v>
      </c>
      <c r="B80" s="33">
        <v>46235</v>
      </c>
      <c r="C80" s="32">
        <v>2026</v>
      </c>
      <c r="D80" s="34" t="s">
        <v>1249</v>
      </c>
      <c r="E80" s="35" t="s">
        <v>1250</v>
      </c>
      <c r="F80" s="35" t="s">
        <v>882</v>
      </c>
      <c r="G80" s="34"/>
      <c r="H80" s="35" t="s">
        <v>883</v>
      </c>
      <c r="I80" s="35" t="s">
        <v>965</v>
      </c>
      <c r="J80" s="35" t="s">
        <v>966</v>
      </c>
      <c r="K80" s="35" t="s">
        <v>888</v>
      </c>
      <c r="L80" s="35" t="s">
        <v>1251</v>
      </c>
      <c r="M80" s="35" t="s">
        <v>515</v>
      </c>
      <c r="N80" s="35" t="s">
        <v>977</v>
      </c>
      <c r="O80" s="36">
        <v>89</v>
      </c>
      <c r="P80" s="35" t="s">
        <v>37</v>
      </c>
      <c r="Q80" s="35" t="s">
        <v>882</v>
      </c>
      <c r="R80" s="35" t="s">
        <v>1252</v>
      </c>
    </row>
    <row r="81" spans="1:18" ht="24">
      <c r="A81" s="32">
        <v>1421</v>
      </c>
      <c r="B81" s="33">
        <v>46235</v>
      </c>
      <c r="C81" s="32">
        <v>2026</v>
      </c>
      <c r="D81" s="34" t="s">
        <v>1253</v>
      </c>
      <c r="E81" s="35" t="s">
        <v>1254</v>
      </c>
      <c r="F81" s="35" t="s">
        <v>878</v>
      </c>
      <c r="G81" s="34"/>
      <c r="H81" s="35" t="s">
        <v>879</v>
      </c>
      <c r="I81" s="35" t="s">
        <v>965</v>
      </c>
      <c r="J81" s="35" t="s">
        <v>966</v>
      </c>
      <c r="K81" s="35" t="s">
        <v>888</v>
      </c>
      <c r="L81" s="35" t="s">
        <v>1158</v>
      </c>
      <c r="M81" s="35" t="s">
        <v>515</v>
      </c>
      <c r="N81" s="35" t="s">
        <v>977</v>
      </c>
      <c r="O81" s="36">
        <v>47</v>
      </c>
      <c r="P81" s="35" t="s">
        <v>37</v>
      </c>
      <c r="Q81" s="35" t="s">
        <v>1241</v>
      </c>
      <c r="R81" s="35" t="s">
        <v>1255</v>
      </c>
    </row>
    <row r="82" spans="1:18">
      <c r="A82" s="32">
        <v>1420</v>
      </c>
      <c r="B82" s="33">
        <v>46235</v>
      </c>
      <c r="C82" s="32">
        <v>2026</v>
      </c>
      <c r="D82" s="34" t="s">
        <v>1256</v>
      </c>
      <c r="E82" s="35" t="s">
        <v>1257</v>
      </c>
      <c r="F82" s="35"/>
      <c r="G82" s="34"/>
      <c r="H82" s="35"/>
      <c r="I82" s="35" t="s">
        <v>1038</v>
      </c>
      <c r="J82" s="35" t="s">
        <v>1006</v>
      </c>
      <c r="K82" s="35" t="s">
        <v>1007</v>
      </c>
      <c r="L82" s="35" t="s">
        <v>1022</v>
      </c>
      <c r="M82" s="35" t="s">
        <v>533</v>
      </c>
      <c r="N82" s="35" t="s">
        <v>968</v>
      </c>
      <c r="O82" s="36">
        <v>38</v>
      </c>
      <c r="P82" s="35" t="s">
        <v>37</v>
      </c>
      <c r="Q82" s="35"/>
      <c r="R82" s="35" t="s">
        <v>1258</v>
      </c>
    </row>
    <row r="83" spans="1:18" ht="24">
      <c r="A83" s="32">
        <v>1419</v>
      </c>
      <c r="B83" s="33">
        <v>46235</v>
      </c>
      <c r="C83" s="32">
        <v>2026</v>
      </c>
      <c r="D83" s="34" t="s">
        <v>1259</v>
      </c>
      <c r="E83" s="35" t="s">
        <v>1260</v>
      </c>
      <c r="F83" s="35"/>
      <c r="G83" s="34"/>
      <c r="H83" s="35"/>
      <c r="I83" s="35" t="s">
        <v>1005</v>
      </c>
      <c r="J83" s="35" t="s">
        <v>1021</v>
      </c>
      <c r="K83" s="35" t="s">
        <v>888</v>
      </c>
      <c r="L83" s="35" t="s">
        <v>1093</v>
      </c>
      <c r="M83" s="35" t="s">
        <v>512</v>
      </c>
      <c r="N83" s="35" t="s">
        <v>977</v>
      </c>
      <c r="O83" s="36">
        <v>13</v>
      </c>
      <c r="P83" s="35" t="s">
        <v>360</v>
      </c>
      <c r="Q83" s="35"/>
      <c r="R83" s="35" t="s">
        <v>1261</v>
      </c>
    </row>
    <row r="84" spans="1:18" ht="24">
      <c r="A84" s="32">
        <v>1418</v>
      </c>
      <c r="B84" s="33">
        <v>46234</v>
      </c>
      <c r="C84" s="32">
        <v>2026</v>
      </c>
      <c r="D84" s="34" t="s">
        <v>1262</v>
      </c>
      <c r="E84" s="35" t="s">
        <v>1263</v>
      </c>
      <c r="F84" s="35"/>
      <c r="G84" s="34"/>
      <c r="H84" s="35"/>
      <c r="I84" s="35" t="s">
        <v>1038</v>
      </c>
      <c r="J84" s="35" t="s">
        <v>1006</v>
      </c>
      <c r="K84" s="35" t="s">
        <v>1007</v>
      </c>
      <c r="L84" s="35" t="s">
        <v>976</v>
      </c>
      <c r="M84" s="35" t="s">
        <v>522</v>
      </c>
      <c r="N84" s="35" t="s">
        <v>977</v>
      </c>
      <c r="O84" s="36">
        <v>24</v>
      </c>
      <c r="P84" s="35" t="s">
        <v>360</v>
      </c>
      <c r="Q84" s="35"/>
      <c r="R84" s="35" t="s">
        <v>1264</v>
      </c>
    </row>
    <row r="85" spans="1:18" ht="36">
      <c r="A85" s="32">
        <v>1417</v>
      </c>
      <c r="B85" s="33">
        <v>46232</v>
      </c>
      <c r="C85" s="32">
        <v>2026</v>
      </c>
      <c r="D85" s="34" t="s">
        <v>1265</v>
      </c>
      <c r="E85" s="35" t="s">
        <v>1266</v>
      </c>
      <c r="F85" s="35"/>
      <c r="G85" s="34"/>
      <c r="H85" s="35"/>
      <c r="I85" s="35" t="s">
        <v>1038</v>
      </c>
      <c r="J85" s="35" t="s">
        <v>1006</v>
      </c>
      <c r="K85" s="35" t="s">
        <v>1007</v>
      </c>
      <c r="L85" s="35" t="s">
        <v>1267</v>
      </c>
      <c r="M85" s="35" t="s">
        <v>526</v>
      </c>
      <c r="N85" s="35" t="s">
        <v>977</v>
      </c>
      <c r="O85" s="36">
        <v>45</v>
      </c>
      <c r="P85" s="35" t="s">
        <v>360</v>
      </c>
      <c r="Q85" s="35"/>
      <c r="R85" s="35" t="s">
        <v>1268</v>
      </c>
    </row>
    <row r="86" spans="1:18" ht="24">
      <c r="A86" s="32">
        <v>1416</v>
      </c>
      <c r="B86" s="33">
        <v>46231</v>
      </c>
      <c r="C86" s="32">
        <v>2026</v>
      </c>
      <c r="D86" s="34" t="s">
        <v>1269</v>
      </c>
      <c r="E86" s="35" t="s">
        <v>1270</v>
      </c>
      <c r="F86" s="35" t="s">
        <v>902</v>
      </c>
      <c r="G86" s="34"/>
      <c r="H86" s="35" t="s">
        <v>886</v>
      </c>
      <c r="I86" s="35" t="s">
        <v>965</v>
      </c>
      <c r="J86" s="35" t="s">
        <v>966</v>
      </c>
      <c r="K86" s="35" t="s">
        <v>888</v>
      </c>
      <c r="L86" s="35" t="s">
        <v>976</v>
      </c>
      <c r="M86" s="35" t="s">
        <v>522</v>
      </c>
      <c r="N86" s="35" t="s">
        <v>977</v>
      </c>
      <c r="O86" s="36">
        <v>24</v>
      </c>
      <c r="P86" s="35" t="s">
        <v>360</v>
      </c>
      <c r="Q86" s="35" t="s">
        <v>1271</v>
      </c>
      <c r="R86" s="35" t="s">
        <v>1272</v>
      </c>
    </row>
    <row r="87" spans="1:18" ht="24">
      <c r="A87" s="32">
        <v>1415</v>
      </c>
      <c r="B87" s="33">
        <v>46230</v>
      </c>
      <c r="C87" s="32">
        <v>2026</v>
      </c>
      <c r="D87" s="34" t="s">
        <v>1273</v>
      </c>
      <c r="E87" s="35" t="s">
        <v>1274</v>
      </c>
      <c r="F87" s="35"/>
      <c r="G87" s="34"/>
      <c r="H87" s="35"/>
      <c r="I87" s="35" t="s">
        <v>1005</v>
      </c>
      <c r="J87" s="35" t="s">
        <v>1006</v>
      </c>
      <c r="K87" s="35" t="s">
        <v>1007</v>
      </c>
      <c r="L87" s="35" t="s">
        <v>1213</v>
      </c>
      <c r="M87" s="35" t="s">
        <v>519</v>
      </c>
      <c r="N87" s="35" t="s">
        <v>977</v>
      </c>
      <c r="O87" s="36">
        <v>53</v>
      </c>
      <c r="P87" s="35" t="s">
        <v>37</v>
      </c>
      <c r="Q87" s="35"/>
      <c r="R87" s="35" t="s">
        <v>1275</v>
      </c>
    </row>
    <row r="88" spans="1:18" ht="24">
      <c r="A88" s="32">
        <v>1414</v>
      </c>
      <c r="B88" s="33">
        <v>46230</v>
      </c>
      <c r="C88" s="32">
        <v>2026</v>
      </c>
      <c r="D88" s="34" t="s">
        <v>1276</v>
      </c>
      <c r="E88" s="35" t="s">
        <v>1277</v>
      </c>
      <c r="F88" s="35" t="s">
        <v>906</v>
      </c>
      <c r="G88" s="34"/>
      <c r="H88" s="35" t="s">
        <v>895</v>
      </c>
      <c r="I88" s="35" t="s">
        <v>965</v>
      </c>
      <c r="J88" s="35" t="s">
        <v>966</v>
      </c>
      <c r="K88" s="35" t="s">
        <v>888</v>
      </c>
      <c r="L88" s="35" t="s">
        <v>1008</v>
      </c>
      <c r="M88" s="35" t="s">
        <v>526</v>
      </c>
      <c r="N88" s="35" t="s">
        <v>977</v>
      </c>
      <c r="O88" s="36">
        <v>31</v>
      </c>
      <c r="P88" s="35" t="s">
        <v>37</v>
      </c>
      <c r="Q88" s="35" t="s">
        <v>906</v>
      </c>
      <c r="R88" s="35" t="s">
        <v>1278</v>
      </c>
    </row>
    <row r="89" spans="1:18" ht="24">
      <c r="A89" s="32">
        <v>1413</v>
      </c>
      <c r="B89" s="33">
        <v>46230</v>
      </c>
      <c r="C89" s="32">
        <v>2026</v>
      </c>
      <c r="D89" s="34" t="s">
        <v>1279</v>
      </c>
      <c r="E89" s="35" t="s">
        <v>1280</v>
      </c>
      <c r="F89" s="35" t="s">
        <v>882</v>
      </c>
      <c r="G89" s="34"/>
      <c r="H89" s="35" t="s">
        <v>883</v>
      </c>
      <c r="I89" s="35" t="s">
        <v>965</v>
      </c>
      <c r="J89" s="35" t="s">
        <v>966</v>
      </c>
      <c r="K89" s="35" t="s">
        <v>888</v>
      </c>
      <c r="L89" s="35" t="s">
        <v>976</v>
      </c>
      <c r="M89" s="35" t="s">
        <v>522</v>
      </c>
      <c r="N89" s="35" t="s">
        <v>977</v>
      </c>
      <c r="O89" s="36">
        <v>47</v>
      </c>
      <c r="P89" s="35" t="s">
        <v>37</v>
      </c>
      <c r="Q89" s="35" t="s">
        <v>882</v>
      </c>
      <c r="R89" s="35" t="s">
        <v>1281</v>
      </c>
    </row>
    <row r="90" spans="1:18" ht="24">
      <c r="A90" s="32">
        <v>1412</v>
      </c>
      <c r="B90" s="33">
        <v>46230</v>
      </c>
      <c r="C90" s="32">
        <v>2026</v>
      </c>
      <c r="D90" s="34" t="s">
        <v>1282</v>
      </c>
      <c r="E90" s="35" t="s">
        <v>1283</v>
      </c>
      <c r="F90" s="35" t="s">
        <v>919</v>
      </c>
      <c r="G90" s="34"/>
      <c r="H90" s="35" t="s">
        <v>883</v>
      </c>
      <c r="I90" s="35" t="s">
        <v>965</v>
      </c>
      <c r="J90" s="35" t="s">
        <v>966</v>
      </c>
      <c r="K90" s="35" t="s">
        <v>888</v>
      </c>
      <c r="L90" s="35" t="s">
        <v>1119</v>
      </c>
      <c r="M90" s="35" t="s">
        <v>519</v>
      </c>
      <c r="N90" s="35" t="s">
        <v>977</v>
      </c>
      <c r="O90" s="36">
        <v>43</v>
      </c>
      <c r="P90" s="35" t="s">
        <v>37</v>
      </c>
      <c r="Q90" s="35" t="s">
        <v>919</v>
      </c>
      <c r="R90" s="35" t="s">
        <v>1284</v>
      </c>
    </row>
    <row r="91" spans="1:18" ht="24">
      <c r="A91" s="32">
        <v>1411</v>
      </c>
      <c r="B91" s="33">
        <v>46230</v>
      </c>
      <c r="C91" s="32">
        <v>2026</v>
      </c>
      <c r="D91" s="34" t="s">
        <v>1285</v>
      </c>
      <c r="E91" s="35" t="s">
        <v>1286</v>
      </c>
      <c r="F91" s="35" t="s">
        <v>904</v>
      </c>
      <c r="G91" s="34"/>
      <c r="H91" s="35" t="s">
        <v>886</v>
      </c>
      <c r="I91" s="35" t="s">
        <v>965</v>
      </c>
      <c r="J91" s="35" t="s">
        <v>966</v>
      </c>
      <c r="K91" s="35" t="s">
        <v>888</v>
      </c>
      <c r="L91" s="35" t="s">
        <v>986</v>
      </c>
      <c r="M91" s="35" t="s">
        <v>512</v>
      </c>
      <c r="N91" s="35" t="s">
        <v>968</v>
      </c>
      <c r="O91" s="36">
        <v>18</v>
      </c>
      <c r="P91" s="35" t="s">
        <v>37</v>
      </c>
      <c r="Q91" s="35" t="s">
        <v>1287</v>
      </c>
      <c r="R91" s="35" t="s">
        <v>1288</v>
      </c>
    </row>
    <row r="92" spans="1:18" ht="24">
      <c r="A92" s="32">
        <v>1410</v>
      </c>
      <c r="B92" s="33">
        <v>46230</v>
      </c>
      <c r="C92" s="32">
        <v>2026</v>
      </c>
      <c r="D92" s="34" t="s">
        <v>1289</v>
      </c>
      <c r="E92" s="35" t="s">
        <v>1290</v>
      </c>
      <c r="F92" s="35" t="s">
        <v>922</v>
      </c>
      <c r="G92" s="34"/>
      <c r="H92" s="35" t="s">
        <v>890</v>
      </c>
      <c r="I92" s="35" t="s">
        <v>965</v>
      </c>
      <c r="J92" s="35" t="s">
        <v>1291</v>
      </c>
      <c r="K92" s="35" t="s">
        <v>897</v>
      </c>
      <c r="L92" s="35" t="s">
        <v>976</v>
      </c>
      <c r="M92" s="35" t="s">
        <v>522</v>
      </c>
      <c r="N92" s="35" t="s">
        <v>977</v>
      </c>
      <c r="O92" s="36">
        <v>34</v>
      </c>
      <c r="P92" s="35" t="s">
        <v>360</v>
      </c>
      <c r="Q92" s="35"/>
      <c r="R92" s="35" t="s">
        <v>1292</v>
      </c>
    </row>
    <row r="93" spans="1:18">
      <c r="A93" s="32">
        <v>1408</v>
      </c>
      <c r="B93" s="33">
        <v>46229</v>
      </c>
      <c r="C93" s="32">
        <v>2026</v>
      </c>
      <c r="D93" s="34" t="s">
        <v>1293</v>
      </c>
      <c r="E93" s="35" t="s">
        <v>1294</v>
      </c>
      <c r="F93" s="35"/>
      <c r="G93" s="34"/>
      <c r="H93" s="35"/>
      <c r="I93" s="35" t="s">
        <v>1005</v>
      </c>
      <c r="J93" s="35" t="s">
        <v>1021</v>
      </c>
      <c r="K93" s="35" t="s">
        <v>888</v>
      </c>
      <c r="L93" s="35" t="s">
        <v>1008</v>
      </c>
      <c r="M93" s="35" t="s">
        <v>526</v>
      </c>
      <c r="N93" s="35" t="s">
        <v>977</v>
      </c>
      <c r="O93" s="36">
        <v>36</v>
      </c>
      <c r="P93" s="35" t="s">
        <v>360</v>
      </c>
      <c r="Q93" s="35"/>
      <c r="R93" s="35" t="s">
        <v>1295</v>
      </c>
    </row>
    <row r="94" spans="1:18" ht="24">
      <c r="A94" s="32">
        <v>1407</v>
      </c>
      <c r="B94" s="33">
        <v>46229</v>
      </c>
      <c r="C94" s="32">
        <v>2026</v>
      </c>
      <c r="D94" s="34" t="s">
        <v>1296</v>
      </c>
      <c r="E94" s="35" t="s">
        <v>1297</v>
      </c>
      <c r="F94" s="35"/>
      <c r="G94" s="34"/>
      <c r="H94" s="35"/>
      <c r="I94" s="35" t="s">
        <v>1038</v>
      </c>
      <c r="J94" s="35" t="s">
        <v>1006</v>
      </c>
      <c r="K94" s="35" t="s">
        <v>1007</v>
      </c>
      <c r="L94" s="35" t="s">
        <v>972</v>
      </c>
      <c r="M94" s="35" t="s">
        <v>512</v>
      </c>
      <c r="N94" s="35" t="s">
        <v>977</v>
      </c>
      <c r="O94" s="36">
        <v>68</v>
      </c>
      <c r="P94" s="35" t="s">
        <v>37</v>
      </c>
      <c r="Q94" s="35"/>
      <c r="R94" s="35" t="s">
        <v>1298</v>
      </c>
    </row>
    <row r="95" spans="1:18" ht="24">
      <c r="A95" s="32">
        <v>1406</v>
      </c>
      <c r="B95" s="33">
        <v>46229</v>
      </c>
      <c r="C95" s="32">
        <v>2026</v>
      </c>
      <c r="D95" s="34" t="s">
        <v>1299</v>
      </c>
      <c r="E95" s="35" t="s">
        <v>1300</v>
      </c>
      <c r="F95" s="35" t="s">
        <v>878</v>
      </c>
      <c r="G95" s="34"/>
      <c r="H95" s="35" t="s">
        <v>879</v>
      </c>
      <c r="I95" s="35" t="s">
        <v>965</v>
      </c>
      <c r="J95" s="35" t="s">
        <v>1110</v>
      </c>
      <c r="K95" s="35" t="s">
        <v>888</v>
      </c>
      <c r="L95" s="35" t="s">
        <v>1158</v>
      </c>
      <c r="M95" s="35" t="s">
        <v>515</v>
      </c>
      <c r="N95" s="35" t="s">
        <v>977</v>
      </c>
      <c r="O95" s="36">
        <v>31</v>
      </c>
      <c r="P95" s="35" t="s">
        <v>37</v>
      </c>
      <c r="Q95" s="35"/>
      <c r="R95" s="35" t="s">
        <v>1301</v>
      </c>
    </row>
    <row r="96" spans="1:18" ht="24">
      <c r="A96" s="32">
        <v>1405</v>
      </c>
      <c r="B96" s="33">
        <v>46229</v>
      </c>
      <c r="C96" s="32">
        <v>2026</v>
      </c>
      <c r="D96" s="34" t="s">
        <v>1302</v>
      </c>
      <c r="E96" s="35" t="s">
        <v>1303</v>
      </c>
      <c r="F96" s="35"/>
      <c r="G96" s="34"/>
      <c r="H96" s="35"/>
      <c r="I96" s="35" t="s">
        <v>1038</v>
      </c>
      <c r="J96" s="35" t="s">
        <v>1006</v>
      </c>
      <c r="K96" s="35" t="s">
        <v>1007</v>
      </c>
      <c r="L96" s="35" t="s">
        <v>990</v>
      </c>
      <c r="M96" s="35" t="s">
        <v>512</v>
      </c>
      <c r="N96" s="35" t="s">
        <v>977</v>
      </c>
      <c r="O96" s="36">
        <v>42</v>
      </c>
      <c r="P96" s="35" t="s">
        <v>37</v>
      </c>
      <c r="Q96" s="35"/>
      <c r="R96" s="35" t="s">
        <v>1304</v>
      </c>
    </row>
    <row r="97" spans="1:18" ht="24">
      <c r="A97" s="32">
        <v>1404</v>
      </c>
      <c r="B97" s="33">
        <v>46229</v>
      </c>
      <c r="C97" s="32">
        <v>2026</v>
      </c>
      <c r="D97" s="34" t="s">
        <v>1305</v>
      </c>
      <c r="E97" s="35" t="s">
        <v>1306</v>
      </c>
      <c r="F97" s="35"/>
      <c r="G97" s="34"/>
      <c r="H97" s="35"/>
      <c r="I97" s="35" t="s">
        <v>1005</v>
      </c>
      <c r="J97" s="35" t="s">
        <v>1021</v>
      </c>
      <c r="K97" s="35" t="s">
        <v>888</v>
      </c>
      <c r="L97" s="35" t="s">
        <v>1008</v>
      </c>
      <c r="M97" s="35" t="s">
        <v>526</v>
      </c>
      <c r="N97" s="35" t="s">
        <v>977</v>
      </c>
      <c r="O97" s="36">
        <v>111</v>
      </c>
      <c r="P97" s="35" t="s">
        <v>37</v>
      </c>
      <c r="Q97" s="35"/>
      <c r="R97" s="35" t="s">
        <v>1307</v>
      </c>
    </row>
    <row r="98" spans="1:18" ht="24">
      <c r="A98" s="32">
        <v>1403</v>
      </c>
      <c r="B98" s="33">
        <v>46229</v>
      </c>
      <c r="C98" s="32">
        <v>2026</v>
      </c>
      <c r="D98" s="34" t="s">
        <v>1308</v>
      </c>
      <c r="E98" s="35" t="s">
        <v>1309</v>
      </c>
      <c r="F98" s="35" t="s">
        <v>885</v>
      </c>
      <c r="G98" s="34"/>
      <c r="H98" s="35" t="s">
        <v>886</v>
      </c>
      <c r="I98" s="35" t="s">
        <v>965</v>
      </c>
      <c r="J98" s="35" t="s">
        <v>1110</v>
      </c>
      <c r="K98" s="35" t="s">
        <v>888</v>
      </c>
      <c r="L98" s="35" t="s">
        <v>976</v>
      </c>
      <c r="M98" s="35" t="s">
        <v>522</v>
      </c>
      <c r="N98" s="35" t="s">
        <v>968</v>
      </c>
      <c r="O98" s="36">
        <v>70</v>
      </c>
      <c r="P98" s="35" t="s">
        <v>37</v>
      </c>
      <c r="Q98" s="35"/>
      <c r="R98" s="35" t="s">
        <v>1310</v>
      </c>
    </row>
    <row r="99" spans="1:18" ht="24">
      <c r="A99" s="32">
        <v>1402</v>
      </c>
      <c r="B99" s="33">
        <v>46229</v>
      </c>
      <c r="C99" s="32">
        <v>2026</v>
      </c>
      <c r="D99" s="34" t="s">
        <v>1311</v>
      </c>
      <c r="E99" s="35" t="s">
        <v>1312</v>
      </c>
      <c r="F99" s="35" t="s">
        <v>891</v>
      </c>
      <c r="G99" s="34"/>
      <c r="H99" s="35" t="s">
        <v>883</v>
      </c>
      <c r="I99" s="35" t="s">
        <v>965</v>
      </c>
      <c r="J99" s="35" t="s">
        <v>1110</v>
      </c>
      <c r="K99" s="35" t="s">
        <v>888</v>
      </c>
      <c r="L99" s="35" t="s">
        <v>972</v>
      </c>
      <c r="M99" s="35" t="s">
        <v>512</v>
      </c>
      <c r="N99" s="35" t="s">
        <v>977</v>
      </c>
      <c r="O99" s="36">
        <v>53</v>
      </c>
      <c r="P99" s="35" t="s">
        <v>37</v>
      </c>
      <c r="Q99" s="35"/>
      <c r="R99" s="35" t="s">
        <v>1313</v>
      </c>
    </row>
    <row r="100" spans="1:18" ht="24">
      <c r="A100" s="32">
        <v>1401</v>
      </c>
      <c r="B100" s="33">
        <v>46228</v>
      </c>
      <c r="C100" s="32">
        <v>2026</v>
      </c>
      <c r="D100" s="34" t="s">
        <v>1314</v>
      </c>
      <c r="E100" s="35" t="s">
        <v>1315</v>
      </c>
      <c r="F100" s="35" t="s">
        <v>885</v>
      </c>
      <c r="G100" s="34" t="s">
        <v>1316</v>
      </c>
      <c r="H100" s="35" t="s">
        <v>886</v>
      </c>
      <c r="I100" s="35" t="s">
        <v>1317</v>
      </c>
      <c r="J100" s="35" t="s">
        <v>1110</v>
      </c>
      <c r="K100" s="35" t="s">
        <v>888</v>
      </c>
      <c r="L100" s="35" t="s">
        <v>972</v>
      </c>
      <c r="M100" s="35" t="s">
        <v>512</v>
      </c>
      <c r="N100" s="35" t="s">
        <v>977</v>
      </c>
      <c r="O100" s="36">
        <v>64</v>
      </c>
      <c r="P100" s="35" t="s">
        <v>37</v>
      </c>
      <c r="Q100" s="35"/>
      <c r="R100" s="35" t="s">
        <v>1318</v>
      </c>
    </row>
    <row r="101" spans="1:18">
      <c r="A101" s="32">
        <v>1400</v>
      </c>
      <c r="B101" s="33">
        <v>46227</v>
      </c>
      <c r="C101" s="32">
        <v>2026</v>
      </c>
      <c r="D101" s="34" t="s">
        <v>1319</v>
      </c>
      <c r="E101" s="35" t="s">
        <v>1320</v>
      </c>
      <c r="F101" s="35" t="s">
        <v>939</v>
      </c>
      <c r="G101" s="34" t="s">
        <v>889</v>
      </c>
      <c r="H101" s="35" t="s">
        <v>890</v>
      </c>
      <c r="I101" s="35" t="s">
        <v>1317</v>
      </c>
      <c r="J101" s="35" t="s">
        <v>1123</v>
      </c>
      <c r="K101" s="35" t="s">
        <v>897</v>
      </c>
      <c r="L101" s="35" t="s">
        <v>1139</v>
      </c>
      <c r="M101" s="35" t="s">
        <v>519</v>
      </c>
      <c r="N101" s="35" t="s">
        <v>977</v>
      </c>
      <c r="O101" s="36">
        <v>85</v>
      </c>
      <c r="P101" s="35" t="s">
        <v>37</v>
      </c>
      <c r="Q101" s="35"/>
      <c r="R101" s="35" t="s">
        <v>1321</v>
      </c>
    </row>
    <row r="102" spans="1:18" ht="24">
      <c r="A102" s="32">
        <v>1399</v>
      </c>
      <c r="B102" s="33">
        <v>46227</v>
      </c>
      <c r="C102" s="32">
        <v>2026</v>
      </c>
      <c r="D102" s="34" t="s">
        <v>1322</v>
      </c>
      <c r="E102" s="35" t="s">
        <v>1323</v>
      </c>
      <c r="F102" s="35"/>
      <c r="G102" s="34"/>
      <c r="H102" s="35"/>
      <c r="I102" s="35" t="s">
        <v>1005</v>
      </c>
      <c r="J102" s="35" t="s">
        <v>1021</v>
      </c>
      <c r="K102" s="35" t="s">
        <v>888</v>
      </c>
      <c r="L102" s="35" t="s">
        <v>1119</v>
      </c>
      <c r="M102" s="35" t="s">
        <v>519</v>
      </c>
      <c r="N102" s="35" t="s">
        <v>977</v>
      </c>
      <c r="O102" s="36">
        <v>67</v>
      </c>
      <c r="P102" s="35" t="s">
        <v>37</v>
      </c>
      <c r="Q102" s="35"/>
      <c r="R102" s="35" t="s">
        <v>1324</v>
      </c>
    </row>
    <row r="103" spans="1:18" ht="24">
      <c r="A103" s="32">
        <v>1398</v>
      </c>
      <c r="B103" s="33">
        <v>46227</v>
      </c>
      <c r="C103" s="32">
        <v>2026</v>
      </c>
      <c r="D103" s="34" t="s">
        <v>1325</v>
      </c>
      <c r="E103" s="35" t="s">
        <v>1326</v>
      </c>
      <c r="F103" s="35" t="s">
        <v>889</v>
      </c>
      <c r="G103" s="34"/>
      <c r="H103" s="35" t="s">
        <v>890</v>
      </c>
      <c r="I103" s="35" t="s">
        <v>965</v>
      </c>
      <c r="J103" s="35" t="s">
        <v>1110</v>
      </c>
      <c r="K103" s="35" t="s">
        <v>888</v>
      </c>
      <c r="L103" s="35" t="s">
        <v>976</v>
      </c>
      <c r="M103" s="35" t="s">
        <v>522</v>
      </c>
      <c r="N103" s="35" t="s">
        <v>977</v>
      </c>
      <c r="O103" s="36">
        <v>31</v>
      </c>
      <c r="P103" s="35" t="s">
        <v>360</v>
      </c>
      <c r="Q103" s="35"/>
      <c r="R103" s="35" t="s">
        <v>1327</v>
      </c>
    </row>
    <row r="104" spans="1:18" ht="24">
      <c r="A104" s="32">
        <v>1397</v>
      </c>
      <c r="B104" s="33">
        <v>46226</v>
      </c>
      <c r="C104" s="32">
        <v>2026</v>
      </c>
      <c r="D104" s="34" t="s">
        <v>1328</v>
      </c>
      <c r="E104" s="35" t="s">
        <v>1329</v>
      </c>
      <c r="F104" s="35" t="s">
        <v>882</v>
      </c>
      <c r="G104" s="34"/>
      <c r="H104" s="35" t="s">
        <v>883</v>
      </c>
      <c r="I104" s="35" t="s">
        <v>965</v>
      </c>
      <c r="J104" s="35" t="s">
        <v>1110</v>
      </c>
      <c r="K104" s="35" t="s">
        <v>888</v>
      </c>
      <c r="L104" s="35" t="s">
        <v>976</v>
      </c>
      <c r="M104" s="35" t="s">
        <v>522</v>
      </c>
      <c r="N104" s="35" t="s">
        <v>977</v>
      </c>
      <c r="O104" s="36">
        <v>32</v>
      </c>
      <c r="P104" s="35" t="s">
        <v>37</v>
      </c>
      <c r="Q104" s="35"/>
      <c r="R104" s="35" t="s">
        <v>1330</v>
      </c>
    </row>
    <row r="105" spans="1:18">
      <c r="A105" s="32">
        <v>1396</v>
      </c>
      <c r="B105" s="33">
        <v>46225</v>
      </c>
      <c r="C105" s="32">
        <v>2026</v>
      </c>
      <c r="D105" s="34" t="s">
        <v>1331</v>
      </c>
      <c r="E105" s="35" t="s">
        <v>1332</v>
      </c>
      <c r="F105" s="35"/>
      <c r="G105" s="34"/>
      <c r="H105" s="35"/>
      <c r="I105" s="35" t="s">
        <v>1038</v>
      </c>
      <c r="J105" s="35" t="s">
        <v>1006</v>
      </c>
      <c r="K105" s="35" t="s">
        <v>1007</v>
      </c>
      <c r="L105" s="35" t="s">
        <v>1022</v>
      </c>
      <c r="M105" s="35" t="s">
        <v>533</v>
      </c>
      <c r="N105" s="35" t="s">
        <v>968</v>
      </c>
      <c r="O105" s="36">
        <v>55</v>
      </c>
      <c r="P105" s="35" t="s">
        <v>37</v>
      </c>
      <c r="Q105" s="35"/>
      <c r="R105" s="35" t="s">
        <v>1333</v>
      </c>
    </row>
    <row r="106" spans="1:18" ht="24">
      <c r="A106" s="32">
        <v>1395</v>
      </c>
      <c r="B106" s="33">
        <v>46225</v>
      </c>
      <c r="C106" s="32">
        <v>2026</v>
      </c>
      <c r="D106" s="34" t="s">
        <v>1334</v>
      </c>
      <c r="E106" s="35" t="s">
        <v>1335</v>
      </c>
      <c r="F106" s="35" t="s">
        <v>904</v>
      </c>
      <c r="G106" s="34"/>
      <c r="H106" s="35" t="s">
        <v>886</v>
      </c>
      <c r="I106" s="35" t="s">
        <v>965</v>
      </c>
      <c r="J106" s="35" t="s">
        <v>1110</v>
      </c>
      <c r="K106" s="35" t="s">
        <v>888</v>
      </c>
      <c r="L106" s="35" t="s">
        <v>1119</v>
      </c>
      <c r="M106" s="35" t="s">
        <v>519</v>
      </c>
      <c r="N106" s="35" t="s">
        <v>977</v>
      </c>
      <c r="O106" s="36">
        <v>38</v>
      </c>
      <c r="P106" s="35" t="s">
        <v>37</v>
      </c>
      <c r="Q106" s="35"/>
      <c r="R106" s="35" t="s">
        <v>1336</v>
      </c>
    </row>
    <row r="107" spans="1:18" ht="24">
      <c r="A107" s="32">
        <v>1394</v>
      </c>
      <c r="B107" s="33">
        <v>46225</v>
      </c>
      <c r="C107" s="32">
        <v>2026</v>
      </c>
      <c r="D107" s="34" t="s">
        <v>1337</v>
      </c>
      <c r="E107" s="35" t="s">
        <v>1338</v>
      </c>
      <c r="F107" s="35" t="s">
        <v>936</v>
      </c>
      <c r="G107" s="34"/>
      <c r="H107" s="35" t="s">
        <v>890</v>
      </c>
      <c r="I107" s="35" t="s">
        <v>965</v>
      </c>
      <c r="J107" s="35" t="s">
        <v>1110</v>
      </c>
      <c r="K107" s="35" t="s">
        <v>888</v>
      </c>
      <c r="L107" s="35" t="s">
        <v>1119</v>
      </c>
      <c r="M107" s="35" t="s">
        <v>519</v>
      </c>
      <c r="N107" s="35" t="s">
        <v>968</v>
      </c>
      <c r="O107" s="36">
        <v>51</v>
      </c>
      <c r="P107" s="35" t="s">
        <v>37</v>
      </c>
      <c r="Q107" s="35"/>
      <c r="R107" s="35" t="s">
        <v>1339</v>
      </c>
    </row>
    <row r="108" spans="1:18">
      <c r="A108" s="32">
        <v>1393</v>
      </c>
      <c r="B108" s="33">
        <v>46225</v>
      </c>
      <c r="C108" s="32">
        <v>2026</v>
      </c>
      <c r="D108" s="34" t="s">
        <v>1340</v>
      </c>
      <c r="E108" s="35" t="s">
        <v>1341</v>
      </c>
      <c r="F108" s="35" t="s">
        <v>902</v>
      </c>
      <c r="G108" s="34"/>
      <c r="H108" s="35" t="s">
        <v>886</v>
      </c>
      <c r="I108" s="35" t="s">
        <v>965</v>
      </c>
      <c r="J108" s="35" t="s">
        <v>1110</v>
      </c>
      <c r="K108" s="35" t="s">
        <v>888</v>
      </c>
      <c r="L108" s="35" t="s">
        <v>1342</v>
      </c>
      <c r="M108" s="35" t="s">
        <v>515</v>
      </c>
      <c r="N108" s="35" t="s">
        <v>977</v>
      </c>
      <c r="O108" s="36">
        <v>18</v>
      </c>
      <c r="P108" s="35" t="s">
        <v>360</v>
      </c>
      <c r="Q108" s="35"/>
      <c r="R108" s="35" t="s">
        <v>1343</v>
      </c>
    </row>
    <row r="109" spans="1:18" ht="24">
      <c r="A109" s="32">
        <v>1392</v>
      </c>
      <c r="B109" s="33">
        <v>46225</v>
      </c>
      <c r="C109" s="32">
        <v>2026</v>
      </c>
      <c r="D109" s="34" t="s">
        <v>1344</v>
      </c>
      <c r="E109" s="35" t="s">
        <v>1345</v>
      </c>
      <c r="F109" s="35" t="s">
        <v>904</v>
      </c>
      <c r="G109" s="34"/>
      <c r="H109" s="35" t="s">
        <v>886</v>
      </c>
      <c r="I109" s="35" t="s">
        <v>965</v>
      </c>
      <c r="J109" s="35" t="s">
        <v>1110</v>
      </c>
      <c r="K109" s="35" t="s">
        <v>888</v>
      </c>
      <c r="L109" s="35" t="s">
        <v>1213</v>
      </c>
      <c r="M109" s="35" t="s">
        <v>519</v>
      </c>
      <c r="N109" s="35" t="s">
        <v>977</v>
      </c>
      <c r="O109" s="36">
        <v>29</v>
      </c>
      <c r="P109" s="35" t="s">
        <v>360</v>
      </c>
      <c r="Q109" s="35"/>
      <c r="R109" s="35" t="s">
        <v>1346</v>
      </c>
    </row>
    <row r="110" spans="1:18" ht="24">
      <c r="A110" s="32">
        <v>1391</v>
      </c>
      <c r="B110" s="33">
        <v>46224</v>
      </c>
      <c r="C110" s="32">
        <v>2026</v>
      </c>
      <c r="D110" s="34" t="s">
        <v>1347</v>
      </c>
      <c r="E110" s="35" t="s">
        <v>1348</v>
      </c>
      <c r="F110" s="35"/>
      <c r="G110" s="34"/>
      <c r="H110" s="35" t="s">
        <v>883</v>
      </c>
      <c r="I110" s="35" t="s">
        <v>1134</v>
      </c>
      <c r="J110" s="35" t="s">
        <v>1135</v>
      </c>
      <c r="K110" s="35" t="s">
        <v>888</v>
      </c>
      <c r="L110" s="35" t="s">
        <v>1106</v>
      </c>
      <c r="M110" s="35" t="s">
        <v>519</v>
      </c>
      <c r="N110" s="35" t="s">
        <v>977</v>
      </c>
      <c r="O110" s="36">
        <v>97</v>
      </c>
      <c r="P110" s="35" t="s">
        <v>37</v>
      </c>
      <c r="Q110" s="35"/>
      <c r="R110" s="35" t="s">
        <v>1349</v>
      </c>
    </row>
    <row r="111" spans="1:18">
      <c r="A111" s="32">
        <v>1390</v>
      </c>
      <c r="B111" s="33">
        <v>46223</v>
      </c>
      <c r="C111" s="32">
        <v>2026</v>
      </c>
      <c r="D111" s="34" t="s">
        <v>1350</v>
      </c>
      <c r="E111" s="35" t="s">
        <v>1351</v>
      </c>
      <c r="F111" s="35" t="s">
        <v>893</v>
      </c>
      <c r="G111" s="34" t="s">
        <v>902</v>
      </c>
      <c r="H111" s="35" t="s">
        <v>879</v>
      </c>
      <c r="I111" s="35" t="s">
        <v>1317</v>
      </c>
      <c r="J111" s="35" t="s">
        <v>966</v>
      </c>
      <c r="K111" s="35" t="s">
        <v>888</v>
      </c>
      <c r="L111" s="35" t="s">
        <v>972</v>
      </c>
      <c r="M111" s="35" t="s">
        <v>512</v>
      </c>
      <c r="N111" s="35" t="s">
        <v>977</v>
      </c>
      <c r="O111" s="36">
        <v>25</v>
      </c>
      <c r="P111" s="35" t="s">
        <v>360</v>
      </c>
      <c r="Q111" s="35" t="s">
        <v>1352</v>
      </c>
      <c r="R111" s="35" t="s">
        <v>1353</v>
      </c>
    </row>
    <row r="112" spans="1:18">
      <c r="A112" s="32">
        <v>1389</v>
      </c>
      <c r="B112" s="33">
        <v>46223</v>
      </c>
      <c r="C112" s="32">
        <v>2026</v>
      </c>
      <c r="D112" s="34" t="s">
        <v>1354</v>
      </c>
      <c r="E112" s="35" t="s">
        <v>1355</v>
      </c>
      <c r="F112" s="35" t="s">
        <v>892</v>
      </c>
      <c r="G112" s="34"/>
      <c r="H112" s="35" t="s">
        <v>879</v>
      </c>
      <c r="I112" s="35" t="s">
        <v>965</v>
      </c>
      <c r="J112" s="35" t="s">
        <v>966</v>
      </c>
      <c r="K112" s="35" t="s">
        <v>888</v>
      </c>
      <c r="L112" s="35" t="s">
        <v>976</v>
      </c>
      <c r="M112" s="35" t="s">
        <v>522</v>
      </c>
      <c r="N112" s="35" t="s">
        <v>977</v>
      </c>
      <c r="O112" s="36">
        <v>23</v>
      </c>
      <c r="P112" s="35" t="s">
        <v>360</v>
      </c>
      <c r="Q112" s="35" t="s">
        <v>892</v>
      </c>
      <c r="R112" s="35" t="s">
        <v>1356</v>
      </c>
    </row>
    <row r="113" spans="1:18" ht="24">
      <c r="A113" s="32">
        <v>1388</v>
      </c>
      <c r="B113" s="33">
        <v>46222</v>
      </c>
      <c r="C113" s="32">
        <v>2026</v>
      </c>
      <c r="D113" s="34" t="s">
        <v>1357</v>
      </c>
      <c r="E113" s="35" t="s">
        <v>1358</v>
      </c>
      <c r="F113" s="35" t="s">
        <v>889</v>
      </c>
      <c r="G113" s="34"/>
      <c r="H113" s="35" t="s">
        <v>890</v>
      </c>
      <c r="I113" s="35" t="s">
        <v>965</v>
      </c>
      <c r="J113" s="35" t="s">
        <v>1110</v>
      </c>
      <c r="K113" s="35" t="s">
        <v>888</v>
      </c>
      <c r="L113" s="35" t="s">
        <v>1139</v>
      </c>
      <c r="M113" s="35" t="s">
        <v>519</v>
      </c>
      <c r="N113" s="35" t="s">
        <v>968</v>
      </c>
      <c r="O113" s="36">
        <v>40</v>
      </c>
      <c r="P113" s="35" t="s">
        <v>37</v>
      </c>
      <c r="Q113" s="35"/>
      <c r="R113" s="35" t="s">
        <v>1359</v>
      </c>
    </row>
    <row r="114" spans="1:18" ht="24">
      <c r="A114" s="32">
        <v>1387</v>
      </c>
      <c r="B114" s="33">
        <v>46222</v>
      </c>
      <c r="C114" s="32">
        <v>2026</v>
      </c>
      <c r="D114" s="34" t="s">
        <v>1360</v>
      </c>
      <c r="E114" s="35" t="s">
        <v>1361</v>
      </c>
      <c r="F114" s="35"/>
      <c r="G114" s="34"/>
      <c r="H114" s="35" t="s">
        <v>890</v>
      </c>
      <c r="I114" s="35" t="s">
        <v>1134</v>
      </c>
      <c r="J114" s="35" t="s">
        <v>1135</v>
      </c>
      <c r="K114" s="35" t="s">
        <v>888</v>
      </c>
      <c r="L114" s="35" t="s">
        <v>1213</v>
      </c>
      <c r="M114" s="35" t="s">
        <v>519</v>
      </c>
      <c r="N114" s="35" t="s">
        <v>968</v>
      </c>
      <c r="O114" s="36">
        <v>33</v>
      </c>
      <c r="P114" s="35" t="s">
        <v>37</v>
      </c>
      <c r="Q114" s="35"/>
      <c r="R114" s="35" t="s">
        <v>1362</v>
      </c>
    </row>
    <row r="115" spans="1:18" ht="24">
      <c r="A115" s="32">
        <v>1386</v>
      </c>
      <c r="B115" s="33">
        <v>46222</v>
      </c>
      <c r="C115" s="32">
        <v>2026</v>
      </c>
      <c r="D115" s="34" t="s">
        <v>1363</v>
      </c>
      <c r="E115" s="35" t="s">
        <v>1364</v>
      </c>
      <c r="F115" s="35" t="s">
        <v>885</v>
      </c>
      <c r="G115" s="34"/>
      <c r="H115" s="35" t="s">
        <v>886</v>
      </c>
      <c r="I115" s="35" t="s">
        <v>965</v>
      </c>
      <c r="J115" s="35" t="s">
        <v>966</v>
      </c>
      <c r="K115" s="35" t="s">
        <v>888</v>
      </c>
      <c r="L115" s="35" t="s">
        <v>1365</v>
      </c>
      <c r="M115" s="35" t="s">
        <v>512</v>
      </c>
      <c r="N115" s="35" t="s">
        <v>968</v>
      </c>
      <c r="O115" s="36">
        <v>41</v>
      </c>
      <c r="P115" s="35" t="s">
        <v>37</v>
      </c>
      <c r="Q115" s="35" t="s">
        <v>885</v>
      </c>
      <c r="R115" s="35" t="s">
        <v>1366</v>
      </c>
    </row>
    <row r="116" spans="1:18" ht="24">
      <c r="A116" s="32">
        <v>1385</v>
      </c>
      <c r="B116" s="33">
        <v>46222</v>
      </c>
      <c r="C116" s="32">
        <v>2026</v>
      </c>
      <c r="D116" s="34" t="s">
        <v>1367</v>
      </c>
      <c r="E116" s="35" t="s">
        <v>1368</v>
      </c>
      <c r="F116" s="35" t="s">
        <v>902</v>
      </c>
      <c r="G116" s="34"/>
      <c r="H116" s="35" t="s">
        <v>886</v>
      </c>
      <c r="I116" s="35" t="s">
        <v>965</v>
      </c>
      <c r="J116" s="35" t="s">
        <v>1110</v>
      </c>
      <c r="K116" s="35" t="s">
        <v>888</v>
      </c>
      <c r="L116" s="35" t="s">
        <v>1119</v>
      </c>
      <c r="M116" s="35" t="s">
        <v>519</v>
      </c>
      <c r="N116" s="35" t="s">
        <v>968</v>
      </c>
      <c r="O116" s="36">
        <v>40</v>
      </c>
      <c r="P116" s="35" t="s">
        <v>37</v>
      </c>
      <c r="Q116" s="35"/>
      <c r="R116" s="35" t="s">
        <v>1369</v>
      </c>
    </row>
    <row r="117" spans="1:18" ht="24">
      <c r="A117" s="32">
        <v>1382</v>
      </c>
      <c r="B117" s="33">
        <v>46222</v>
      </c>
      <c r="C117" s="32">
        <v>2026</v>
      </c>
      <c r="D117" s="34" t="s">
        <v>1370</v>
      </c>
      <c r="E117" s="35" t="s">
        <v>1371</v>
      </c>
      <c r="F117" s="35" t="s">
        <v>892</v>
      </c>
      <c r="G117" s="34"/>
      <c r="H117" s="35" t="s">
        <v>879</v>
      </c>
      <c r="I117" s="35" t="s">
        <v>965</v>
      </c>
      <c r="J117" s="35" t="s">
        <v>966</v>
      </c>
      <c r="K117" s="35" t="s">
        <v>888</v>
      </c>
      <c r="L117" s="35" t="s">
        <v>1034</v>
      </c>
      <c r="M117" s="35" t="s">
        <v>515</v>
      </c>
      <c r="N117" s="35" t="s">
        <v>977</v>
      </c>
      <c r="O117" s="36">
        <v>52</v>
      </c>
      <c r="P117" s="35" t="s">
        <v>37</v>
      </c>
      <c r="Q117" s="35" t="s">
        <v>892</v>
      </c>
      <c r="R117" s="35" t="s">
        <v>1372</v>
      </c>
    </row>
    <row r="118" spans="1:18">
      <c r="A118" s="32">
        <v>1381</v>
      </c>
      <c r="B118" s="33">
        <v>46221</v>
      </c>
      <c r="C118" s="32">
        <v>2026</v>
      </c>
      <c r="D118" s="34" t="s">
        <v>1373</v>
      </c>
      <c r="E118" s="35" t="s">
        <v>1374</v>
      </c>
      <c r="F118" s="35" t="s">
        <v>902</v>
      </c>
      <c r="G118" s="34"/>
      <c r="H118" s="35" t="s">
        <v>886</v>
      </c>
      <c r="I118" s="35" t="s">
        <v>965</v>
      </c>
      <c r="J118" s="35" t="s">
        <v>1110</v>
      </c>
      <c r="K118" s="35" t="s">
        <v>888</v>
      </c>
      <c r="L118" s="35" t="s">
        <v>1119</v>
      </c>
      <c r="M118" s="35" t="s">
        <v>519</v>
      </c>
      <c r="N118" s="35" t="s">
        <v>977</v>
      </c>
      <c r="O118" s="36">
        <v>34</v>
      </c>
      <c r="P118" s="35" t="s">
        <v>360</v>
      </c>
      <c r="Q118" s="35"/>
      <c r="R118" s="35" t="s">
        <v>1375</v>
      </c>
    </row>
    <row r="119" spans="1:18" ht="24">
      <c r="A119" s="32">
        <v>1380</v>
      </c>
      <c r="B119" s="33">
        <v>46221</v>
      </c>
      <c r="C119" s="32">
        <v>2026</v>
      </c>
      <c r="D119" s="34" t="s">
        <v>1376</v>
      </c>
      <c r="E119" s="35" t="s">
        <v>1377</v>
      </c>
      <c r="F119" s="35"/>
      <c r="G119" s="34"/>
      <c r="H119" s="35" t="s">
        <v>883</v>
      </c>
      <c r="I119" s="35" t="s">
        <v>1134</v>
      </c>
      <c r="J119" s="35" t="s">
        <v>1135</v>
      </c>
      <c r="K119" s="35" t="s">
        <v>888</v>
      </c>
      <c r="L119" s="35" t="s">
        <v>976</v>
      </c>
      <c r="M119" s="35" t="s">
        <v>522</v>
      </c>
      <c r="N119" s="35" t="s">
        <v>977</v>
      </c>
      <c r="O119" s="36">
        <v>88</v>
      </c>
      <c r="P119" s="35" t="s">
        <v>37</v>
      </c>
      <c r="Q119" s="35"/>
      <c r="R119" s="35" t="s">
        <v>1378</v>
      </c>
    </row>
    <row r="120" spans="1:18">
      <c r="A120" s="32">
        <v>1379</v>
      </c>
      <c r="B120" s="33">
        <v>46221</v>
      </c>
      <c r="C120" s="32">
        <v>2026</v>
      </c>
      <c r="D120" s="34" t="s">
        <v>1379</v>
      </c>
      <c r="E120" s="35" t="s">
        <v>1380</v>
      </c>
      <c r="F120" s="35" t="s">
        <v>891</v>
      </c>
      <c r="G120" s="34"/>
      <c r="H120" s="35" t="s">
        <v>883</v>
      </c>
      <c r="I120" s="35" t="s">
        <v>965</v>
      </c>
      <c r="J120" s="35" t="s">
        <v>966</v>
      </c>
      <c r="K120" s="35" t="s">
        <v>888</v>
      </c>
      <c r="L120" s="35" t="s">
        <v>1119</v>
      </c>
      <c r="M120" s="35" t="s">
        <v>519</v>
      </c>
      <c r="N120" s="35" t="s">
        <v>968</v>
      </c>
      <c r="O120" s="36">
        <v>53</v>
      </c>
      <c r="P120" s="35" t="s">
        <v>37</v>
      </c>
      <c r="Q120" s="35" t="s">
        <v>1381</v>
      </c>
      <c r="R120" s="35" t="s">
        <v>1382</v>
      </c>
    </row>
    <row r="121" spans="1:18" ht="24">
      <c r="A121" s="32">
        <v>1378</v>
      </c>
      <c r="B121" s="33">
        <v>46221</v>
      </c>
      <c r="C121" s="32">
        <v>2026</v>
      </c>
      <c r="D121" s="34" t="s">
        <v>1383</v>
      </c>
      <c r="E121" s="35" t="s">
        <v>1384</v>
      </c>
      <c r="F121" s="35" t="s">
        <v>894</v>
      </c>
      <c r="G121" s="34" t="s">
        <v>891</v>
      </c>
      <c r="H121" s="35" t="s">
        <v>895</v>
      </c>
      <c r="I121" s="35" t="s">
        <v>1317</v>
      </c>
      <c r="J121" s="35" t="s">
        <v>1110</v>
      </c>
      <c r="K121" s="35" t="s">
        <v>888</v>
      </c>
      <c r="L121" s="35" t="s">
        <v>997</v>
      </c>
      <c r="M121" s="35" t="s">
        <v>522</v>
      </c>
      <c r="N121" s="35" t="s">
        <v>977</v>
      </c>
      <c r="O121" s="36">
        <v>42</v>
      </c>
      <c r="P121" s="35" t="s">
        <v>37</v>
      </c>
      <c r="Q121" s="35"/>
      <c r="R121" s="35" t="s">
        <v>1385</v>
      </c>
    </row>
    <row r="122" spans="1:18" ht="24">
      <c r="A122" s="32">
        <v>1377</v>
      </c>
      <c r="B122" s="33">
        <v>46220</v>
      </c>
      <c r="C122" s="32">
        <v>2026</v>
      </c>
      <c r="D122" s="34" t="s">
        <v>1386</v>
      </c>
      <c r="E122" s="35" t="s">
        <v>1387</v>
      </c>
      <c r="F122" s="35" t="s">
        <v>882</v>
      </c>
      <c r="G122" s="34"/>
      <c r="H122" s="35" t="s">
        <v>883</v>
      </c>
      <c r="I122" s="35" t="s">
        <v>965</v>
      </c>
      <c r="J122" s="35" t="s">
        <v>1110</v>
      </c>
      <c r="K122" s="35" t="s">
        <v>888</v>
      </c>
      <c r="L122" s="35" t="s">
        <v>1086</v>
      </c>
      <c r="M122" s="35" t="s">
        <v>512</v>
      </c>
      <c r="N122" s="35" t="s">
        <v>977</v>
      </c>
      <c r="O122" s="36">
        <v>70</v>
      </c>
      <c r="P122" s="35" t="s">
        <v>37</v>
      </c>
      <c r="Q122" s="35"/>
      <c r="R122" s="35" t="s">
        <v>1388</v>
      </c>
    </row>
    <row r="123" spans="1:18" ht="24">
      <c r="A123" s="32">
        <v>1376</v>
      </c>
      <c r="B123" s="33">
        <v>46220</v>
      </c>
      <c r="C123" s="32">
        <v>2026</v>
      </c>
      <c r="D123" s="34" t="s">
        <v>1389</v>
      </c>
      <c r="E123" s="35" t="s">
        <v>1390</v>
      </c>
      <c r="F123" s="35" t="s">
        <v>904</v>
      </c>
      <c r="G123" s="34"/>
      <c r="H123" s="35" t="s">
        <v>886</v>
      </c>
      <c r="I123" s="35" t="s">
        <v>965</v>
      </c>
      <c r="J123" s="35" t="s">
        <v>966</v>
      </c>
      <c r="K123" s="35" t="s">
        <v>888</v>
      </c>
      <c r="L123" s="35" t="s">
        <v>1391</v>
      </c>
      <c r="M123" s="35" t="s">
        <v>512</v>
      </c>
      <c r="N123" s="35" t="s">
        <v>977</v>
      </c>
      <c r="O123" s="36">
        <v>226</v>
      </c>
      <c r="P123" s="35" t="s">
        <v>37</v>
      </c>
      <c r="Q123" s="35" t="s">
        <v>1392</v>
      </c>
      <c r="R123" s="35" t="s">
        <v>1393</v>
      </c>
    </row>
    <row r="124" spans="1:18" ht="24">
      <c r="A124" s="32">
        <v>1375</v>
      </c>
      <c r="B124" s="33">
        <v>46217</v>
      </c>
      <c r="C124" s="32">
        <v>2026</v>
      </c>
      <c r="D124" s="34" t="s">
        <v>1394</v>
      </c>
      <c r="E124" s="35" t="s">
        <v>1395</v>
      </c>
      <c r="F124" s="35" t="s">
        <v>889</v>
      </c>
      <c r="G124" s="34"/>
      <c r="H124" s="35" t="s">
        <v>890</v>
      </c>
      <c r="I124" s="35" t="s">
        <v>965</v>
      </c>
      <c r="J124" s="35" t="s">
        <v>1110</v>
      </c>
      <c r="K124" s="35" t="s">
        <v>888</v>
      </c>
      <c r="L124" s="35" t="s">
        <v>1119</v>
      </c>
      <c r="M124" s="35" t="s">
        <v>519</v>
      </c>
      <c r="N124" s="35" t="s">
        <v>968</v>
      </c>
      <c r="O124" s="36">
        <v>51</v>
      </c>
      <c r="P124" s="35" t="s">
        <v>37</v>
      </c>
      <c r="Q124" s="35"/>
      <c r="R124" s="35" t="s">
        <v>1396</v>
      </c>
    </row>
    <row r="125" spans="1:18" ht="24">
      <c r="A125" s="32">
        <v>1374</v>
      </c>
      <c r="B125" s="33">
        <v>46216</v>
      </c>
      <c r="C125" s="32">
        <v>2026</v>
      </c>
      <c r="D125" s="34" t="s">
        <v>1397</v>
      </c>
      <c r="E125" s="35" t="s">
        <v>1398</v>
      </c>
      <c r="F125" s="35" t="s">
        <v>878</v>
      </c>
      <c r="G125" s="34"/>
      <c r="H125" s="35" t="s">
        <v>879</v>
      </c>
      <c r="I125" s="35" t="s">
        <v>965</v>
      </c>
      <c r="J125" s="35" t="s">
        <v>1110</v>
      </c>
      <c r="K125" s="35" t="s">
        <v>888</v>
      </c>
      <c r="L125" s="35" t="s">
        <v>1158</v>
      </c>
      <c r="M125" s="35" t="s">
        <v>515</v>
      </c>
      <c r="N125" s="35" t="s">
        <v>968</v>
      </c>
      <c r="O125" s="36">
        <v>61</v>
      </c>
      <c r="P125" s="35" t="s">
        <v>37</v>
      </c>
      <c r="Q125" s="35"/>
      <c r="R125" s="35" t="s">
        <v>1399</v>
      </c>
    </row>
    <row r="126" spans="1:18" ht="24">
      <c r="A126" s="32">
        <v>1373</v>
      </c>
      <c r="B126" s="33">
        <v>46216</v>
      </c>
      <c r="C126" s="32">
        <v>2026</v>
      </c>
      <c r="D126" s="34" t="s">
        <v>1400</v>
      </c>
      <c r="E126" s="35" t="s">
        <v>1401</v>
      </c>
      <c r="F126" s="35" t="s">
        <v>889</v>
      </c>
      <c r="G126" s="34"/>
      <c r="H126" s="35" t="s">
        <v>890</v>
      </c>
      <c r="I126" s="35" t="s">
        <v>965</v>
      </c>
      <c r="J126" s="35" t="s">
        <v>1110</v>
      </c>
      <c r="K126" s="35" t="s">
        <v>888</v>
      </c>
      <c r="L126" s="35" t="s">
        <v>1086</v>
      </c>
      <c r="M126" s="35" t="s">
        <v>512</v>
      </c>
      <c r="N126" s="35" t="s">
        <v>977</v>
      </c>
      <c r="O126" s="36">
        <v>49</v>
      </c>
      <c r="P126" s="35" t="s">
        <v>37</v>
      </c>
      <c r="Q126" s="35"/>
      <c r="R126" s="35" t="s">
        <v>1402</v>
      </c>
    </row>
    <row r="127" spans="1:18" ht="24">
      <c r="A127" s="32">
        <v>1372</v>
      </c>
      <c r="B127" s="33">
        <v>46216</v>
      </c>
      <c r="C127" s="32">
        <v>2026</v>
      </c>
      <c r="D127" s="34" t="s">
        <v>1403</v>
      </c>
      <c r="E127" s="35" t="s">
        <v>1404</v>
      </c>
      <c r="F127" s="35"/>
      <c r="G127" s="34"/>
      <c r="H127" s="35" t="s">
        <v>883</v>
      </c>
      <c r="I127" s="35" t="s">
        <v>1134</v>
      </c>
      <c r="J127" s="35" t="s">
        <v>1135</v>
      </c>
      <c r="K127" s="35" t="s">
        <v>888</v>
      </c>
      <c r="L127" s="35" t="s">
        <v>972</v>
      </c>
      <c r="M127" s="35" t="s">
        <v>512</v>
      </c>
      <c r="N127" s="35" t="s">
        <v>977</v>
      </c>
      <c r="O127" s="36">
        <v>57</v>
      </c>
      <c r="P127" s="35" t="s">
        <v>37</v>
      </c>
      <c r="Q127" s="35"/>
      <c r="R127" s="35" t="s">
        <v>1405</v>
      </c>
    </row>
    <row r="128" spans="1:18" ht="36">
      <c r="A128" s="32">
        <v>1371</v>
      </c>
      <c r="B128" s="33">
        <v>46216</v>
      </c>
      <c r="C128" s="32">
        <v>2026</v>
      </c>
      <c r="D128" s="34" t="s">
        <v>1406</v>
      </c>
      <c r="E128" s="35" t="s">
        <v>1407</v>
      </c>
      <c r="F128" s="35" t="s">
        <v>899</v>
      </c>
      <c r="G128" s="34"/>
      <c r="H128" s="35" t="s">
        <v>886</v>
      </c>
      <c r="I128" s="35" t="s">
        <v>965</v>
      </c>
      <c r="J128" s="35" t="s">
        <v>1110</v>
      </c>
      <c r="K128" s="35" t="s">
        <v>888</v>
      </c>
      <c r="L128" s="35" t="s">
        <v>1408</v>
      </c>
      <c r="M128" s="35" t="s">
        <v>515</v>
      </c>
      <c r="N128" s="35" t="s">
        <v>968</v>
      </c>
      <c r="O128" s="36">
        <v>64</v>
      </c>
      <c r="P128" s="35" t="s">
        <v>37</v>
      </c>
      <c r="Q128" s="35"/>
      <c r="R128" s="35" t="s">
        <v>1409</v>
      </c>
    </row>
    <row r="129" spans="1:18" ht="24">
      <c r="A129" s="32">
        <v>1368</v>
      </c>
      <c r="B129" s="33">
        <v>46215</v>
      </c>
      <c r="C129" s="32">
        <v>2026</v>
      </c>
      <c r="D129" s="34" t="s">
        <v>1410</v>
      </c>
      <c r="E129" s="35" t="s">
        <v>1411</v>
      </c>
      <c r="F129" s="35" t="s">
        <v>893</v>
      </c>
      <c r="G129" s="34" t="s">
        <v>902</v>
      </c>
      <c r="H129" s="35" t="s">
        <v>879</v>
      </c>
      <c r="I129" s="35" t="s">
        <v>1317</v>
      </c>
      <c r="J129" s="35" t="s">
        <v>1123</v>
      </c>
      <c r="K129" s="35" t="s">
        <v>897</v>
      </c>
      <c r="L129" s="35" t="s">
        <v>972</v>
      </c>
      <c r="M129" s="35" t="s">
        <v>512</v>
      </c>
      <c r="N129" s="35" t="s">
        <v>977</v>
      </c>
      <c r="O129" s="36">
        <v>57</v>
      </c>
      <c r="P129" s="35" t="s">
        <v>37</v>
      </c>
      <c r="Q129" s="35"/>
      <c r="R129" s="35" t="s">
        <v>1412</v>
      </c>
    </row>
    <row r="130" spans="1:18" ht="24">
      <c r="A130" s="32">
        <v>1364</v>
      </c>
      <c r="B130" s="33">
        <v>46214</v>
      </c>
      <c r="C130" s="32">
        <v>2026</v>
      </c>
      <c r="D130" s="34" t="s">
        <v>1413</v>
      </c>
      <c r="E130" s="35" t="s">
        <v>1414</v>
      </c>
      <c r="F130" s="35"/>
      <c r="G130" s="34"/>
      <c r="H130" s="35"/>
      <c r="I130" s="35" t="s">
        <v>1005</v>
      </c>
      <c r="J130" s="35" t="s">
        <v>1006</v>
      </c>
      <c r="K130" s="35" t="s">
        <v>1007</v>
      </c>
      <c r="L130" s="35" t="s">
        <v>972</v>
      </c>
      <c r="M130" s="35" t="s">
        <v>512</v>
      </c>
      <c r="N130" s="35" t="s">
        <v>977</v>
      </c>
      <c r="O130" s="36">
        <v>145</v>
      </c>
      <c r="P130" s="35" t="s">
        <v>37</v>
      </c>
      <c r="Q130" s="35"/>
      <c r="R130" s="35" t="s">
        <v>1415</v>
      </c>
    </row>
    <row r="131" spans="1:18" ht="24">
      <c r="A131" s="32">
        <v>1361</v>
      </c>
      <c r="B131" s="33">
        <v>46214</v>
      </c>
      <c r="C131" s="32">
        <v>2026</v>
      </c>
      <c r="D131" s="34" t="s">
        <v>1416</v>
      </c>
      <c r="E131" s="35" t="s">
        <v>1417</v>
      </c>
      <c r="F131" s="35"/>
      <c r="G131" s="34"/>
      <c r="H131" s="35"/>
      <c r="I131" s="35" t="s">
        <v>1038</v>
      </c>
      <c r="J131" s="35" t="s">
        <v>1006</v>
      </c>
      <c r="K131" s="35" t="s">
        <v>1007</v>
      </c>
      <c r="L131" s="35" t="s">
        <v>972</v>
      </c>
      <c r="M131" s="35" t="s">
        <v>512</v>
      </c>
      <c r="N131" s="35" t="s">
        <v>977</v>
      </c>
      <c r="O131" s="36">
        <v>25</v>
      </c>
      <c r="P131" s="35" t="s">
        <v>37</v>
      </c>
      <c r="Q131" s="35"/>
      <c r="R131" s="35" t="s">
        <v>1418</v>
      </c>
    </row>
    <row r="132" spans="1:18" ht="24">
      <c r="A132" s="32">
        <v>1360</v>
      </c>
      <c r="B132" s="33">
        <v>46214</v>
      </c>
      <c r="C132" s="32">
        <v>2026</v>
      </c>
      <c r="D132" s="34" t="s">
        <v>1419</v>
      </c>
      <c r="E132" s="35" t="s">
        <v>1420</v>
      </c>
      <c r="F132" s="35" t="s">
        <v>885</v>
      </c>
      <c r="G132" s="34"/>
      <c r="H132" s="35" t="s">
        <v>886</v>
      </c>
      <c r="I132" s="35" t="s">
        <v>965</v>
      </c>
      <c r="J132" s="35" t="s">
        <v>1110</v>
      </c>
      <c r="K132" s="35" t="s">
        <v>888</v>
      </c>
      <c r="L132" s="35" t="s">
        <v>972</v>
      </c>
      <c r="M132" s="35" t="s">
        <v>512</v>
      </c>
      <c r="N132" s="35" t="s">
        <v>977</v>
      </c>
      <c r="O132" s="36">
        <v>23</v>
      </c>
      <c r="P132" s="35" t="s">
        <v>37</v>
      </c>
      <c r="Q132" s="35"/>
      <c r="R132" s="35" t="s">
        <v>1421</v>
      </c>
    </row>
    <row r="133" spans="1:18">
      <c r="A133" s="32">
        <v>1359</v>
      </c>
      <c r="B133" s="33">
        <v>46214</v>
      </c>
      <c r="C133" s="32">
        <v>2026</v>
      </c>
      <c r="D133" s="34" t="s">
        <v>1422</v>
      </c>
      <c r="E133" s="35" t="s">
        <v>1423</v>
      </c>
      <c r="F133" s="35" t="s">
        <v>911</v>
      </c>
      <c r="G133" s="34"/>
      <c r="H133" s="35" t="s">
        <v>883</v>
      </c>
      <c r="I133" s="35" t="s">
        <v>965</v>
      </c>
      <c r="J133" s="35" t="s">
        <v>1110</v>
      </c>
      <c r="K133" s="35" t="s">
        <v>888</v>
      </c>
      <c r="L133" s="35" t="s">
        <v>976</v>
      </c>
      <c r="M133" s="35" t="s">
        <v>522</v>
      </c>
      <c r="N133" s="35" t="s">
        <v>968</v>
      </c>
      <c r="O133" s="36">
        <v>49</v>
      </c>
      <c r="P133" s="35" t="s">
        <v>37</v>
      </c>
      <c r="Q133" s="35"/>
      <c r="R133" s="35" t="s">
        <v>1424</v>
      </c>
    </row>
    <row r="134" spans="1:18" ht="24">
      <c r="A134" s="32">
        <v>1358</v>
      </c>
      <c r="B134" s="33">
        <v>46213</v>
      </c>
      <c r="C134" s="32">
        <v>2026</v>
      </c>
      <c r="D134" s="34" t="s">
        <v>1425</v>
      </c>
      <c r="E134" s="35" t="s">
        <v>1426</v>
      </c>
      <c r="F134" s="35" t="s">
        <v>885</v>
      </c>
      <c r="G134" s="34"/>
      <c r="H134" s="35" t="s">
        <v>886</v>
      </c>
      <c r="I134" s="35" t="s">
        <v>965</v>
      </c>
      <c r="J134" s="35" t="s">
        <v>1110</v>
      </c>
      <c r="K134" s="35" t="s">
        <v>888</v>
      </c>
      <c r="L134" s="35" t="s">
        <v>1127</v>
      </c>
      <c r="M134" s="35" t="s">
        <v>515</v>
      </c>
      <c r="N134" s="35" t="s">
        <v>977</v>
      </c>
      <c r="O134" s="36">
        <v>51</v>
      </c>
      <c r="P134" s="35" t="s">
        <v>37</v>
      </c>
      <c r="Q134" s="35"/>
      <c r="R134" s="35" t="s">
        <v>1427</v>
      </c>
    </row>
    <row r="135" spans="1:18" ht="24">
      <c r="A135" s="32">
        <v>1357</v>
      </c>
      <c r="B135" s="33">
        <v>46212</v>
      </c>
      <c r="C135" s="32">
        <v>2026</v>
      </c>
      <c r="D135" s="34" t="s">
        <v>1428</v>
      </c>
      <c r="E135" s="35" t="s">
        <v>1429</v>
      </c>
      <c r="F135" s="35"/>
      <c r="G135" s="34"/>
      <c r="H135" s="35"/>
      <c r="I135" s="35" t="s">
        <v>1005</v>
      </c>
      <c r="J135" s="35" t="s">
        <v>1021</v>
      </c>
      <c r="K135" s="35" t="s">
        <v>888</v>
      </c>
      <c r="L135" s="35" t="s">
        <v>1008</v>
      </c>
      <c r="M135" s="35" t="s">
        <v>526</v>
      </c>
      <c r="N135" s="35" t="s">
        <v>977</v>
      </c>
      <c r="O135" s="36">
        <v>44</v>
      </c>
      <c r="P135" s="35" t="s">
        <v>37</v>
      </c>
      <c r="Q135" s="35"/>
      <c r="R135" s="35" t="s">
        <v>1430</v>
      </c>
    </row>
    <row r="136" spans="1:18" ht="24">
      <c r="A136" s="32">
        <v>1356</v>
      </c>
      <c r="B136" s="33">
        <v>46211</v>
      </c>
      <c r="C136" s="32">
        <v>2026</v>
      </c>
      <c r="D136" s="34" t="s">
        <v>1431</v>
      </c>
      <c r="E136" s="35" t="s">
        <v>1432</v>
      </c>
      <c r="F136" s="35" t="s">
        <v>882</v>
      </c>
      <c r="G136" s="34"/>
      <c r="H136" s="35" t="s">
        <v>883</v>
      </c>
      <c r="I136" s="35" t="s">
        <v>965</v>
      </c>
      <c r="J136" s="35" t="s">
        <v>1110</v>
      </c>
      <c r="K136" s="35" t="s">
        <v>888</v>
      </c>
      <c r="L136" s="35" t="s">
        <v>972</v>
      </c>
      <c r="M136" s="35" t="s">
        <v>530</v>
      </c>
      <c r="N136" s="35" t="s">
        <v>977</v>
      </c>
      <c r="O136" s="36">
        <v>25</v>
      </c>
      <c r="P136" s="35" t="s">
        <v>37</v>
      </c>
      <c r="Q136" s="35"/>
      <c r="R136" s="35" t="s">
        <v>1433</v>
      </c>
    </row>
    <row r="137" spans="1:18" ht="24">
      <c r="A137" s="32">
        <v>1355</v>
      </c>
      <c r="B137" s="33">
        <v>46211</v>
      </c>
      <c r="C137" s="32">
        <v>2026</v>
      </c>
      <c r="D137" s="34" t="s">
        <v>1434</v>
      </c>
      <c r="E137" s="35" t="s">
        <v>1435</v>
      </c>
      <c r="F137" s="35"/>
      <c r="G137" s="34"/>
      <c r="H137" s="35"/>
      <c r="I137" s="35" t="s">
        <v>1038</v>
      </c>
      <c r="J137" s="35" t="s">
        <v>1006</v>
      </c>
      <c r="K137" s="35" t="s">
        <v>1007</v>
      </c>
      <c r="L137" s="35" t="s">
        <v>1022</v>
      </c>
      <c r="M137" s="35" t="s">
        <v>533</v>
      </c>
      <c r="N137" s="35" t="s">
        <v>977</v>
      </c>
      <c r="O137" s="36">
        <v>30</v>
      </c>
      <c r="P137" s="35" t="s">
        <v>37</v>
      </c>
      <c r="Q137" s="35"/>
      <c r="R137" s="35" t="s">
        <v>1436</v>
      </c>
    </row>
    <row r="138" spans="1:18" ht="24">
      <c r="A138" s="32">
        <v>1354</v>
      </c>
      <c r="B138" s="33">
        <v>46211</v>
      </c>
      <c r="C138" s="32">
        <v>2026</v>
      </c>
      <c r="D138" s="34" t="s">
        <v>1437</v>
      </c>
      <c r="E138" s="35" t="s">
        <v>1438</v>
      </c>
      <c r="F138" s="35"/>
      <c r="G138" s="34"/>
      <c r="H138" s="35"/>
      <c r="I138" s="35" t="s">
        <v>1038</v>
      </c>
      <c r="J138" s="35" t="s">
        <v>1006</v>
      </c>
      <c r="K138" s="35" t="s">
        <v>1007</v>
      </c>
      <c r="L138" s="35" t="s">
        <v>972</v>
      </c>
      <c r="M138" s="35" t="s">
        <v>512</v>
      </c>
      <c r="N138" s="35" t="s">
        <v>977</v>
      </c>
      <c r="O138" s="36">
        <v>36</v>
      </c>
      <c r="P138" s="35" t="s">
        <v>37</v>
      </c>
      <c r="Q138" s="35"/>
      <c r="R138" s="35" t="s">
        <v>1439</v>
      </c>
    </row>
    <row r="139" spans="1:18" ht="24">
      <c r="A139" s="32">
        <v>1353</v>
      </c>
      <c r="B139" s="33">
        <v>46210</v>
      </c>
      <c r="C139" s="32">
        <v>2026</v>
      </c>
      <c r="D139" s="34" t="s">
        <v>1440</v>
      </c>
      <c r="E139" s="35" t="s">
        <v>1441</v>
      </c>
      <c r="F139" s="35"/>
      <c r="G139" s="34"/>
      <c r="H139" s="35"/>
      <c r="I139" s="35" t="s">
        <v>1038</v>
      </c>
      <c r="J139" s="35" t="s">
        <v>1006</v>
      </c>
      <c r="K139" s="35" t="s">
        <v>1007</v>
      </c>
      <c r="L139" s="35" t="s">
        <v>1070</v>
      </c>
      <c r="M139" s="35" t="s">
        <v>536</v>
      </c>
      <c r="N139" s="35" t="s">
        <v>977</v>
      </c>
      <c r="O139" s="36">
        <v>51</v>
      </c>
      <c r="P139" s="35" t="s">
        <v>37</v>
      </c>
      <c r="Q139" s="35"/>
      <c r="R139" s="35" t="s">
        <v>1442</v>
      </c>
    </row>
    <row r="140" spans="1:18" ht="24">
      <c r="A140" s="32">
        <v>1352</v>
      </c>
      <c r="B140" s="33">
        <v>46210</v>
      </c>
      <c r="C140" s="32">
        <v>2026</v>
      </c>
      <c r="D140" s="34" t="s">
        <v>1443</v>
      </c>
      <c r="E140" s="35" t="s">
        <v>1444</v>
      </c>
      <c r="F140" s="35"/>
      <c r="G140" s="34"/>
      <c r="H140" s="35"/>
      <c r="I140" s="35" t="s">
        <v>1005</v>
      </c>
      <c r="J140" s="35" t="s">
        <v>1021</v>
      </c>
      <c r="K140" s="35" t="s">
        <v>888</v>
      </c>
      <c r="L140" s="35" t="s">
        <v>1086</v>
      </c>
      <c r="M140" s="35" t="s">
        <v>512</v>
      </c>
      <c r="N140" s="35" t="s">
        <v>977</v>
      </c>
      <c r="O140" s="36">
        <v>40</v>
      </c>
      <c r="P140" s="35" t="s">
        <v>37</v>
      </c>
      <c r="Q140" s="35"/>
      <c r="R140" s="35" t="s">
        <v>1445</v>
      </c>
    </row>
    <row r="141" spans="1:18" ht="24">
      <c r="A141" s="32">
        <v>1351</v>
      </c>
      <c r="B141" s="33">
        <v>46207</v>
      </c>
      <c r="C141" s="32">
        <v>2026</v>
      </c>
      <c r="D141" s="34" t="s">
        <v>1446</v>
      </c>
      <c r="E141" s="35" t="s">
        <v>1447</v>
      </c>
      <c r="F141" s="35"/>
      <c r="G141" s="34"/>
      <c r="H141" s="35"/>
      <c r="I141" s="35" t="s">
        <v>1005</v>
      </c>
      <c r="J141" s="35" t="s">
        <v>1021</v>
      </c>
      <c r="K141" s="35" t="s">
        <v>888</v>
      </c>
      <c r="L141" s="35" t="s">
        <v>972</v>
      </c>
      <c r="M141" s="35" t="s">
        <v>512</v>
      </c>
      <c r="N141" s="35" t="s">
        <v>977</v>
      </c>
      <c r="O141" s="36">
        <v>29</v>
      </c>
      <c r="P141" s="35" t="s">
        <v>37</v>
      </c>
      <c r="Q141" s="35"/>
      <c r="R141" s="35" t="s">
        <v>1448</v>
      </c>
    </row>
    <row r="142" spans="1:18" ht="24">
      <c r="A142" s="32">
        <v>1350</v>
      </c>
      <c r="B142" s="33">
        <v>46207</v>
      </c>
      <c r="C142" s="32">
        <v>2026</v>
      </c>
      <c r="D142" s="34" t="s">
        <v>1449</v>
      </c>
      <c r="E142" s="35" t="s">
        <v>1450</v>
      </c>
      <c r="F142" s="35" t="s">
        <v>905</v>
      </c>
      <c r="G142" s="34"/>
      <c r="H142" s="35" t="s">
        <v>895</v>
      </c>
      <c r="I142" s="35" t="s">
        <v>965</v>
      </c>
      <c r="J142" s="35" t="s">
        <v>1110</v>
      </c>
      <c r="K142" s="35" t="s">
        <v>888</v>
      </c>
      <c r="L142" s="35" t="s">
        <v>972</v>
      </c>
      <c r="M142" s="35" t="s">
        <v>512</v>
      </c>
      <c r="N142" s="35" t="s">
        <v>977</v>
      </c>
      <c r="O142" s="36">
        <v>29</v>
      </c>
      <c r="P142" s="35" t="s">
        <v>37</v>
      </c>
      <c r="Q142" s="35"/>
      <c r="R142" s="35" t="s">
        <v>1451</v>
      </c>
    </row>
    <row r="143" spans="1:18" ht="24">
      <c r="A143" s="32">
        <v>1348</v>
      </c>
      <c r="B143" s="33">
        <v>46207</v>
      </c>
      <c r="C143" s="32">
        <v>2026</v>
      </c>
      <c r="D143" s="34" t="s">
        <v>1452</v>
      </c>
      <c r="E143" s="35" t="s">
        <v>1453</v>
      </c>
      <c r="F143" s="35"/>
      <c r="G143" s="34"/>
      <c r="H143" s="35"/>
      <c r="I143" s="35" t="s">
        <v>1038</v>
      </c>
      <c r="J143" s="35" t="s">
        <v>1006</v>
      </c>
      <c r="K143" s="35" t="s">
        <v>1007</v>
      </c>
      <c r="L143" s="35" t="s">
        <v>972</v>
      </c>
      <c r="M143" s="35" t="s">
        <v>512</v>
      </c>
      <c r="N143" s="35" t="s">
        <v>968</v>
      </c>
      <c r="O143" s="36">
        <v>64</v>
      </c>
      <c r="P143" s="35" t="s">
        <v>37</v>
      </c>
      <c r="Q143" s="35"/>
      <c r="R143" s="35" t="s">
        <v>1454</v>
      </c>
    </row>
    <row r="144" spans="1:18" ht="24">
      <c r="A144" s="32">
        <v>1346</v>
      </c>
      <c r="B144" s="33">
        <v>46207</v>
      </c>
      <c r="C144" s="32">
        <v>2026</v>
      </c>
      <c r="D144" s="34" t="s">
        <v>1455</v>
      </c>
      <c r="E144" s="35" t="s">
        <v>1456</v>
      </c>
      <c r="F144" s="35" t="s">
        <v>896</v>
      </c>
      <c r="G144" s="34"/>
      <c r="H144" s="35" t="s">
        <v>883</v>
      </c>
      <c r="I144" s="35" t="s">
        <v>965</v>
      </c>
      <c r="J144" s="35" t="s">
        <v>1110</v>
      </c>
      <c r="K144" s="35" t="s">
        <v>888</v>
      </c>
      <c r="L144" s="35" t="s">
        <v>972</v>
      </c>
      <c r="M144" s="35" t="s">
        <v>512</v>
      </c>
      <c r="N144" s="35" t="s">
        <v>977</v>
      </c>
      <c r="O144" s="36">
        <v>24</v>
      </c>
      <c r="P144" s="35" t="s">
        <v>37</v>
      </c>
      <c r="Q144" s="35"/>
      <c r="R144" s="35" t="s">
        <v>1457</v>
      </c>
    </row>
    <row r="145" spans="1:18" ht="24">
      <c r="A145" s="32">
        <v>1342</v>
      </c>
      <c r="B145" s="33">
        <v>46206</v>
      </c>
      <c r="C145" s="32">
        <v>2026</v>
      </c>
      <c r="D145" s="34" t="s">
        <v>1458</v>
      </c>
      <c r="E145" s="35" t="s">
        <v>1459</v>
      </c>
      <c r="F145" s="35" t="s">
        <v>918</v>
      </c>
      <c r="G145" s="34" t="s">
        <v>891</v>
      </c>
      <c r="H145" s="35" t="s">
        <v>883</v>
      </c>
      <c r="I145" s="35" t="s">
        <v>1317</v>
      </c>
      <c r="J145" s="35" t="s">
        <v>1291</v>
      </c>
      <c r="K145" s="35" t="s">
        <v>897</v>
      </c>
      <c r="L145" s="35" t="s">
        <v>1022</v>
      </c>
      <c r="M145" s="35" t="s">
        <v>533</v>
      </c>
      <c r="N145" s="35" t="s">
        <v>968</v>
      </c>
      <c r="O145" s="36">
        <v>50</v>
      </c>
      <c r="P145" s="35" t="s">
        <v>37</v>
      </c>
      <c r="Q145" s="35"/>
      <c r="R145" s="35" t="s">
        <v>1460</v>
      </c>
    </row>
    <row r="146" spans="1:18" ht="24">
      <c r="A146" s="32">
        <v>1338</v>
      </c>
      <c r="B146" s="33">
        <v>46206</v>
      </c>
      <c r="C146" s="32">
        <v>2026</v>
      </c>
      <c r="D146" s="34" t="s">
        <v>1461</v>
      </c>
      <c r="E146" s="35" t="s">
        <v>1462</v>
      </c>
      <c r="F146" s="35"/>
      <c r="G146" s="34"/>
      <c r="H146" s="35"/>
      <c r="I146" s="35" t="s">
        <v>1005</v>
      </c>
      <c r="J146" s="35" t="s">
        <v>1021</v>
      </c>
      <c r="K146" s="35" t="s">
        <v>888</v>
      </c>
      <c r="L146" s="35" t="s">
        <v>1139</v>
      </c>
      <c r="M146" s="35" t="s">
        <v>519</v>
      </c>
      <c r="N146" s="35" t="s">
        <v>968</v>
      </c>
      <c r="O146" s="36">
        <v>43</v>
      </c>
      <c r="P146" s="35" t="s">
        <v>37</v>
      </c>
      <c r="Q146" s="35"/>
      <c r="R146" s="35" t="s">
        <v>1463</v>
      </c>
    </row>
    <row r="147" spans="1:18">
      <c r="A147" s="32">
        <v>1337</v>
      </c>
      <c r="B147" s="33">
        <v>46205</v>
      </c>
      <c r="C147" s="32">
        <v>2026</v>
      </c>
      <c r="D147" s="34" t="s">
        <v>1464</v>
      </c>
      <c r="E147" s="35" t="s">
        <v>1465</v>
      </c>
      <c r="F147" s="35" t="s">
        <v>909</v>
      </c>
      <c r="G147" s="34"/>
      <c r="H147" s="35" t="s">
        <v>883</v>
      </c>
      <c r="I147" s="35" t="s">
        <v>965</v>
      </c>
      <c r="J147" s="35" t="s">
        <v>1110</v>
      </c>
      <c r="K147" s="35" t="s">
        <v>888</v>
      </c>
      <c r="L147" s="35" t="s">
        <v>1408</v>
      </c>
      <c r="M147" s="35" t="s">
        <v>515</v>
      </c>
      <c r="N147" s="35" t="s">
        <v>977</v>
      </c>
      <c r="O147" s="36">
        <v>25</v>
      </c>
      <c r="P147" s="35" t="s">
        <v>37</v>
      </c>
      <c r="Q147" s="35"/>
      <c r="R147" s="35" t="s">
        <v>1466</v>
      </c>
    </row>
    <row r="148" spans="1:18">
      <c r="A148" s="32">
        <v>1336</v>
      </c>
      <c r="B148" s="33">
        <v>46204</v>
      </c>
      <c r="C148" s="32">
        <v>2026</v>
      </c>
      <c r="D148" s="34" t="s">
        <v>1467</v>
      </c>
      <c r="E148" s="35" t="s">
        <v>1468</v>
      </c>
      <c r="F148" s="35" t="s">
        <v>899</v>
      </c>
      <c r="G148" s="34"/>
      <c r="H148" s="35" t="s">
        <v>886</v>
      </c>
      <c r="I148" s="35" t="s">
        <v>965</v>
      </c>
      <c r="J148" s="35" t="s">
        <v>1110</v>
      </c>
      <c r="K148" s="35" t="s">
        <v>888</v>
      </c>
      <c r="L148" s="35" t="s">
        <v>1119</v>
      </c>
      <c r="M148" s="35" t="s">
        <v>519</v>
      </c>
      <c r="N148" s="35" t="s">
        <v>968</v>
      </c>
      <c r="O148" s="36">
        <v>26</v>
      </c>
      <c r="P148" s="35" t="s">
        <v>37</v>
      </c>
      <c r="Q148" s="35"/>
      <c r="R148" s="35" t="s">
        <v>1469</v>
      </c>
    </row>
    <row r="149" spans="1:18" ht="24">
      <c r="A149" s="32">
        <v>1335</v>
      </c>
      <c r="B149" s="33">
        <v>46204</v>
      </c>
      <c r="C149" s="32">
        <v>2026</v>
      </c>
      <c r="D149" s="34" t="s">
        <v>1470</v>
      </c>
      <c r="E149" s="35" t="s">
        <v>1471</v>
      </c>
      <c r="F149" s="35" t="s">
        <v>915</v>
      </c>
      <c r="G149" s="34"/>
      <c r="H149" s="35" t="s">
        <v>890</v>
      </c>
      <c r="I149" s="35" t="s">
        <v>965</v>
      </c>
      <c r="J149" s="35" t="s">
        <v>1110</v>
      </c>
      <c r="K149" s="35" t="s">
        <v>888</v>
      </c>
      <c r="L149" s="35" t="s">
        <v>976</v>
      </c>
      <c r="M149" s="35" t="s">
        <v>522</v>
      </c>
      <c r="N149" s="35" t="s">
        <v>968</v>
      </c>
      <c r="O149" s="36">
        <v>66</v>
      </c>
      <c r="P149" s="35" t="s">
        <v>37</v>
      </c>
      <c r="Q149" s="35"/>
      <c r="R149" s="35" t="s">
        <v>1472</v>
      </c>
    </row>
    <row r="150" spans="1:18">
      <c r="A150" s="32">
        <v>1331</v>
      </c>
      <c r="B150" s="33">
        <v>46204</v>
      </c>
      <c r="C150" s="32">
        <v>2026</v>
      </c>
      <c r="D150" s="34" t="s">
        <v>1473</v>
      </c>
      <c r="E150" s="35" t="s">
        <v>1474</v>
      </c>
      <c r="F150" s="35"/>
      <c r="G150" s="34"/>
      <c r="H150" s="35"/>
      <c r="I150" s="35" t="s">
        <v>1038</v>
      </c>
      <c r="J150" s="35" t="s">
        <v>1006</v>
      </c>
      <c r="K150" s="35" t="s">
        <v>1007</v>
      </c>
      <c r="L150" s="35" t="s">
        <v>1022</v>
      </c>
      <c r="M150" s="35" t="s">
        <v>533</v>
      </c>
      <c r="N150" s="35" t="s">
        <v>968</v>
      </c>
      <c r="O150" s="36">
        <v>56</v>
      </c>
      <c r="P150" s="35" t="s">
        <v>37</v>
      </c>
      <c r="Q150" s="35"/>
      <c r="R150" s="35" t="s">
        <v>1475</v>
      </c>
    </row>
    <row r="151" spans="1:18">
      <c r="A151" s="32">
        <v>1330</v>
      </c>
      <c r="B151" s="33">
        <v>46204</v>
      </c>
      <c r="C151" s="32">
        <v>2026</v>
      </c>
      <c r="D151" s="34" t="s">
        <v>1476</v>
      </c>
      <c r="E151" s="35" t="s">
        <v>1477</v>
      </c>
      <c r="F151" s="35"/>
      <c r="G151" s="34"/>
      <c r="H151" s="35"/>
      <c r="I151" s="35" t="s">
        <v>1005</v>
      </c>
      <c r="J151" s="35" t="s">
        <v>1021</v>
      </c>
      <c r="K151" s="35" t="s">
        <v>888</v>
      </c>
      <c r="L151" s="35" t="s">
        <v>976</v>
      </c>
      <c r="M151" s="35" t="s">
        <v>522</v>
      </c>
      <c r="N151" s="35" t="s">
        <v>968</v>
      </c>
      <c r="O151" s="36">
        <v>52</v>
      </c>
      <c r="P151" s="35" t="s">
        <v>37</v>
      </c>
      <c r="Q151" s="35"/>
      <c r="R151" s="35" t="s">
        <v>1478</v>
      </c>
    </row>
    <row r="152" spans="1:18" ht="24">
      <c r="A152" s="32">
        <v>1329</v>
      </c>
      <c r="B152" s="33">
        <v>46204</v>
      </c>
      <c r="C152" s="32">
        <v>2026</v>
      </c>
      <c r="D152" s="34" t="s">
        <v>1479</v>
      </c>
      <c r="E152" s="35" t="s">
        <v>1480</v>
      </c>
      <c r="F152" s="35" t="s">
        <v>908</v>
      </c>
      <c r="G152" s="34"/>
      <c r="H152" s="35" t="s">
        <v>886</v>
      </c>
      <c r="I152" s="35" t="s">
        <v>965</v>
      </c>
      <c r="J152" s="35" t="s">
        <v>1110</v>
      </c>
      <c r="K152" s="35" t="s">
        <v>888</v>
      </c>
      <c r="L152" s="35" t="s">
        <v>1119</v>
      </c>
      <c r="M152" s="35" t="s">
        <v>519</v>
      </c>
      <c r="N152" s="35" t="s">
        <v>977</v>
      </c>
      <c r="O152" s="36">
        <v>20</v>
      </c>
      <c r="P152" s="35" t="s">
        <v>37</v>
      </c>
      <c r="Q152" s="35"/>
      <c r="R152" s="35" t="s">
        <v>1481</v>
      </c>
    </row>
    <row r="153" spans="1:18" ht="24">
      <c r="A153" s="32">
        <v>1328</v>
      </c>
      <c r="B153" s="33">
        <v>46204</v>
      </c>
      <c r="C153" s="32">
        <v>2026</v>
      </c>
      <c r="D153" s="34" t="s">
        <v>1482</v>
      </c>
      <c r="E153" s="35" t="s">
        <v>1483</v>
      </c>
      <c r="F153" s="35"/>
      <c r="G153" s="34"/>
      <c r="H153" s="35"/>
      <c r="I153" s="35" t="s">
        <v>1484</v>
      </c>
      <c r="J153" s="35" t="s">
        <v>1485</v>
      </c>
      <c r="K153" s="35" t="s">
        <v>888</v>
      </c>
      <c r="L153" s="35" t="s">
        <v>972</v>
      </c>
      <c r="M153" s="35" t="s">
        <v>512</v>
      </c>
      <c r="N153" s="35" t="s">
        <v>977</v>
      </c>
      <c r="O153" s="36">
        <v>14</v>
      </c>
      <c r="P153" s="35" t="s">
        <v>37</v>
      </c>
      <c r="Q153" s="35"/>
      <c r="R153" s="35" t="s">
        <v>1486</v>
      </c>
    </row>
    <row r="154" spans="1:18">
      <c r="A154" s="32">
        <v>1327</v>
      </c>
      <c r="B154" s="33">
        <v>46204</v>
      </c>
      <c r="C154" s="32">
        <v>2026</v>
      </c>
      <c r="D154" s="34" t="s">
        <v>1487</v>
      </c>
      <c r="E154" s="35" t="s">
        <v>1488</v>
      </c>
      <c r="F154" s="35"/>
      <c r="G154" s="34"/>
      <c r="H154" s="35"/>
      <c r="I154" s="35" t="s">
        <v>1038</v>
      </c>
      <c r="J154" s="35" t="s">
        <v>1006</v>
      </c>
      <c r="K154" s="35" t="s">
        <v>1007</v>
      </c>
      <c r="L154" s="35" t="s">
        <v>1022</v>
      </c>
      <c r="M154" s="35" t="s">
        <v>533</v>
      </c>
      <c r="N154" s="35" t="s">
        <v>968</v>
      </c>
      <c r="O154" s="36">
        <v>57</v>
      </c>
      <c r="P154" s="35" t="s">
        <v>37</v>
      </c>
      <c r="Q154" s="35"/>
      <c r="R154" s="35" t="s">
        <v>1489</v>
      </c>
    </row>
    <row r="155" spans="1:18">
      <c r="A155" s="32">
        <v>1326</v>
      </c>
      <c r="B155" s="33">
        <v>46203</v>
      </c>
      <c r="C155" s="32">
        <v>2026</v>
      </c>
      <c r="D155" s="34" t="s">
        <v>1490</v>
      </c>
      <c r="E155" s="35" t="s">
        <v>1491</v>
      </c>
      <c r="F155" s="35"/>
      <c r="G155" s="34"/>
      <c r="H155" s="35" t="s">
        <v>879</v>
      </c>
      <c r="I155" s="35" t="s">
        <v>1134</v>
      </c>
      <c r="J155" s="35" t="s">
        <v>1135</v>
      </c>
      <c r="K155" s="35" t="s">
        <v>888</v>
      </c>
      <c r="L155" s="35" t="s">
        <v>976</v>
      </c>
      <c r="M155" s="35" t="s">
        <v>522</v>
      </c>
      <c r="N155" s="35" t="s">
        <v>977</v>
      </c>
      <c r="O155" s="36">
        <v>31</v>
      </c>
      <c r="P155" s="35" t="s">
        <v>37</v>
      </c>
      <c r="Q155" s="35"/>
      <c r="R155" s="35" t="s">
        <v>1492</v>
      </c>
    </row>
    <row r="156" spans="1:18" ht="24">
      <c r="A156" s="32">
        <v>1325</v>
      </c>
      <c r="B156" s="33">
        <v>46202</v>
      </c>
      <c r="C156" s="32">
        <v>2026</v>
      </c>
      <c r="D156" s="34" t="s">
        <v>1493</v>
      </c>
      <c r="E156" s="35" t="s">
        <v>1494</v>
      </c>
      <c r="F156" s="35"/>
      <c r="G156" s="34"/>
      <c r="H156" s="35"/>
      <c r="I156" s="35" t="s">
        <v>1005</v>
      </c>
      <c r="J156" s="35" t="s">
        <v>1021</v>
      </c>
      <c r="K156" s="35" t="s">
        <v>888</v>
      </c>
      <c r="L156" s="35" t="s">
        <v>1139</v>
      </c>
      <c r="M156" s="35" t="s">
        <v>519</v>
      </c>
      <c r="N156" s="35" t="s">
        <v>968</v>
      </c>
      <c r="O156" s="36">
        <v>41</v>
      </c>
      <c r="P156" s="35" t="s">
        <v>37</v>
      </c>
      <c r="Q156" s="35"/>
      <c r="R156" s="35" t="s">
        <v>1495</v>
      </c>
    </row>
    <row r="157" spans="1:18" ht="24">
      <c r="A157" s="32">
        <v>1324</v>
      </c>
      <c r="B157" s="33">
        <v>46201</v>
      </c>
      <c r="C157" s="32">
        <v>2026</v>
      </c>
      <c r="D157" s="34" t="s">
        <v>1496</v>
      </c>
      <c r="E157" s="35" t="s">
        <v>1497</v>
      </c>
      <c r="F157" s="35"/>
      <c r="G157" s="34"/>
      <c r="H157" s="35"/>
      <c r="I157" s="35" t="s">
        <v>1038</v>
      </c>
      <c r="J157" s="35" t="s">
        <v>1006</v>
      </c>
      <c r="K157" s="35" t="s">
        <v>1007</v>
      </c>
      <c r="L157" s="35" t="s">
        <v>1022</v>
      </c>
      <c r="M157" s="35" t="s">
        <v>533</v>
      </c>
      <c r="N157" s="35" t="s">
        <v>968</v>
      </c>
      <c r="O157" s="36">
        <v>49</v>
      </c>
      <c r="P157" s="35" t="s">
        <v>37</v>
      </c>
      <c r="Q157" s="35"/>
      <c r="R157" s="35" t="s">
        <v>1498</v>
      </c>
    </row>
    <row r="158" spans="1:18" ht="24">
      <c r="A158" s="32">
        <v>1320</v>
      </c>
      <c r="B158" s="33">
        <v>46199</v>
      </c>
      <c r="C158" s="32">
        <v>2026</v>
      </c>
      <c r="D158" s="34" t="s">
        <v>1499</v>
      </c>
      <c r="E158" s="35" t="s">
        <v>1500</v>
      </c>
      <c r="F158" s="35"/>
      <c r="G158" s="34"/>
      <c r="H158" s="35" t="s">
        <v>883</v>
      </c>
      <c r="I158" s="35" t="s">
        <v>1134</v>
      </c>
      <c r="J158" s="35" t="s">
        <v>1021</v>
      </c>
      <c r="K158" s="35" t="s">
        <v>888</v>
      </c>
      <c r="L158" s="35" t="s">
        <v>1139</v>
      </c>
      <c r="M158" s="35" t="s">
        <v>519</v>
      </c>
      <c r="N158" s="35" t="s">
        <v>968</v>
      </c>
      <c r="O158" s="36">
        <v>64</v>
      </c>
      <c r="P158" s="35" t="s">
        <v>37</v>
      </c>
      <c r="Q158" s="35"/>
      <c r="R158" s="35" t="s">
        <v>1501</v>
      </c>
    </row>
    <row r="159" spans="1:18" ht="24">
      <c r="A159" s="32">
        <v>1319</v>
      </c>
      <c r="B159" s="33">
        <v>46196</v>
      </c>
      <c r="C159" s="32">
        <v>2026</v>
      </c>
      <c r="D159" s="34" t="s">
        <v>1502</v>
      </c>
      <c r="E159" s="35" t="s">
        <v>1503</v>
      </c>
      <c r="F159" s="35" t="s">
        <v>907</v>
      </c>
      <c r="G159" s="34" t="s">
        <v>885</v>
      </c>
      <c r="H159" s="35" t="s">
        <v>879</v>
      </c>
      <c r="I159" s="35" t="s">
        <v>1317</v>
      </c>
      <c r="J159" s="35" t="s">
        <v>1123</v>
      </c>
      <c r="K159" s="35" t="s">
        <v>897</v>
      </c>
      <c r="L159" s="35" t="s">
        <v>1008</v>
      </c>
      <c r="M159" s="35" t="s">
        <v>526</v>
      </c>
      <c r="N159" s="35" t="s">
        <v>977</v>
      </c>
      <c r="O159" s="36">
        <v>40</v>
      </c>
      <c r="P159" s="35" t="s">
        <v>37</v>
      </c>
      <c r="Q159" s="35"/>
      <c r="R159" s="35" t="s">
        <v>1504</v>
      </c>
    </row>
    <row r="160" spans="1:18" ht="24">
      <c r="A160" s="32">
        <v>1318</v>
      </c>
      <c r="B160" s="33">
        <v>46195</v>
      </c>
      <c r="C160" s="32">
        <v>2026</v>
      </c>
      <c r="D160" s="34" t="s">
        <v>1505</v>
      </c>
      <c r="E160" s="35" t="s">
        <v>1506</v>
      </c>
      <c r="F160" s="35"/>
      <c r="G160" s="34"/>
      <c r="H160" s="35"/>
      <c r="I160" s="35" t="s">
        <v>1005</v>
      </c>
      <c r="J160" s="35" t="s">
        <v>1021</v>
      </c>
      <c r="K160" s="35" t="s">
        <v>888</v>
      </c>
      <c r="L160" s="35" t="s">
        <v>976</v>
      </c>
      <c r="M160" s="35" t="s">
        <v>522</v>
      </c>
      <c r="N160" s="35" t="s">
        <v>968</v>
      </c>
      <c r="O160" s="36">
        <v>26</v>
      </c>
      <c r="P160" s="35" t="s">
        <v>37</v>
      </c>
      <c r="Q160" s="35"/>
      <c r="R160" s="35" t="s">
        <v>1507</v>
      </c>
    </row>
    <row r="161" spans="1:18">
      <c r="A161" s="32">
        <v>1316</v>
      </c>
      <c r="B161" s="33">
        <v>46192</v>
      </c>
      <c r="C161" s="32">
        <v>2026</v>
      </c>
      <c r="D161" s="34" t="s">
        <v>1508</v>
      </c>
      <c r="E161" s="35" t="s">
        <v>1509</v>
      </c>
      <c r="F161" s="35"/>
      <c r="G161" s="34"/>
      <c r="H161" s="35"/>
      <c r="I161" s="35" t="s">
        <v>1005</v>
      </c>
      <c r="J161" s="35" t="s">
        <v>1006</v>
      </c>
      <c r="K161" s="35" t="s">
        <v>1007</v>
      </c>
      <c r="L161" s="35" t="s">
        <v>1139</v>
      </c>
      <c r="M161" s="35" t="s">
        <v>519</v>
      </c>
      <c r="N161" s="35" t="s">
        <v>968</v>
      </c>
      <c r="O161" s="36">
        <v>31</v>
      </c>
      <c r="P161" s="35" t="s">
        <v>37</v>
      </c>
      <c r="Q161" s="35"/>
      <c r="R161" s="35" t="s">
        <v>1510</v>
      </c>
    </row>
    <row r="162" spans="1:18">
      <c r="A162" s="32">
        <v>1315</v>
      </c>
      <c r="B162" s="33">
        <v>46191</v>
      </c>
      <c r="C162" s="32">
        <v>2026</v>
      </c>
      <c r="D162" s="34" t="s">
        <v>1511</v>
      </c>
      <c r="E162" s="35" t="s">
        <v>1512</v>
      </c>
      <c r="F162" s="35"/>
      <c r="G162" s="34"/>
      <c r="H162" s="35"/>
      <c r="I162" s="35" t="s">
        <v>1038</v>
      </c>
      <c r="J162" s="35" t="s">
        <v>1006</v>
      </c>
      <c r="K162" s="35" t="s">
        <v>1007</v>
      </c>
      <c r="L162" s="35" t="s">
        <v>1008</v>
      </c>
      <c r="M162" s="35" t="s">
        <v>526</v>
      </c>
      <c r="N162" s="35" t="s">
        <v>977</v>
      </c>
      <c r="O162" s="36">
        <v>47</v>
      </c>
      <c r="P162" s="35" t="s">
        <v>37</v>
      </c>
      <c r="Q162" s="35"/>
      <c r="R162" s="35" t="s">
        <v>1513</v>
      </c>
    </row>
    <row r="163" spans="1:18" ht="24">
      <c r="A163" s="32">
        <v>1314</v>
      </c>
      <c r="B163" s="33">
        <v>46190</v>
      </c>
      <c r="C163" s="32">
        <v>2026</v>
      </c>
      <c r="D163" s="34" t="s">
        <v>1514</v>
      </c>
      <c r="E163" s="35" t="s">
        <v>1515</v>
      </c>
      <c r="F163" s="35" t="s">
        <v>893</v>
      </c>
      <c r="G163" s="34"/>
      <c r="H163" s="35" t="s">
        <v>879</v>
      </c>
      <c r="I163" s="35" t="s">
        <v>965</v>
      </c>
      <c r="J163" s="35" t="s">
        <v>1110</v>
      </c>
      <c r="K163" s="35" t="s">
        <v>888</v>
      </c>
      <c r="L163" s="35" t="s">
        <v>1034</v>
      </c>
      <c r="M163" s="35" t="s">
        <v>515</v>
      </c>
      <c r="N163" s="35" t="s">
        <v>977</v>
      </c>
      <c r="O163" s="36">
        <v>56</v>
      </c>
      <c r="P163" s="35" t="s">
        <v>37</v>
      </c>
      <c r="Q163" s="35"/>
      <c r="R163" s="35" t="s">
        <v>1516</v>
      </c>
    </row>
    <row r="164" spans="1:18" ht="24">
      <c r="A164" s="32">
        <v>1313</v>
      </c>
      <c r="B164" s="33">
        <v>46188</v>
      </c>
      <c r="C164" s="32">
        <v>2026</v>
      </c>
      <c r="D164" s="34" t="s">
        <v>1517</v>
      </c>
      <c r="E164" s="35" t="s">
        <v>1518</v>
      </c>
      <c r="F164" s="35" t="s">
        <v>893</v>
      </c>
      <c r="G164" s="34" t="s">
        <v>902</v>
      </c>
      <c r="H164" s="35" t="s">
        <v>879</v>
      </c>
      <c r="I164" s="35" t="s">
        <v>1317</v>
      </c>
      <c r="J164" s="35" t="s">
        <v>1123</v>
      </c>
      <c r="K164" s="35" t="s">
        <v>897</v>
      </c>
      <c r="L164" s="35" t="s">
        <v>1034</v>
      </c>
      <c r="M164" s="35" t="s">
        <v>515</v>
      </c>
      <c r="N164" s="35" t="s">
        <v>968</v>
      </c>
      <c r="O164" s="36">
        <v>46</v>
      </c>
      <c r="P164" s="35" t="s">
        <v>37</v>
      </c>
      <c r="Q164" s="35"/>
      <c r="R164" s="35" t="s">
        <v>1519</v>
      </c>
    </row>
    <row r="165" spans="1:18" ht="24">
      <c r="A165" s="32">
        <v>1312</v>
      </c>
      <c r="B165" s="33">
        <v>46186</v>
      </c>
      <c r="C165" s="32">
        <v>2026</v>
      </c>
      <c r="D165" s="34" t="s">
        <v>1520</v>
      </c>
      <c r="E165" s="35" t="s">
        <v>1521</v>
      </c>
      <c r="F165" s="35"/>
      <c r="G165" s="34"/>
      <c r="H165" s="35"/>
      <c r="I165" s="35" t="s">
        <v>1005</v>
      </c>
      <c r="J165" s="35" t="s">
        <v>1021</v>
      </c>
      <c r="K165" s="35" t="s">
        <v>888</v>
      </c>
      <c r="L165" s="35" t="s">
        <v>1139</v>
      </c>
      <c r="M165" s="35" t="s">
        <v>519</v>
      </c>
      <c r="N165" s="35" t="s">
        <v>977</v>
      </c>
      <c r="O165" s="36">
        <v>50</v>
      </c>
      <c r="P165" s="35" t="s">
        <v>37</v>
      </c>
      <c r="Q165" s="35"/>
      <c r="R165" s="35" t="s">
        <v>1522</v>
      </c>
    </row>
    <row r="166" spans="1:18" ht="24">
      <c r="A166" s="32">
        <v>1311</v>
      </c>
      <c r="B166" s="33">
        <v>46185</v>
      </c>
      <c r="C166" s="32">
        <v>2026</v>
      </c>
      <c r="D166" s="34" t="s">
        <v>1523</v>
      </c>
      <c r="E166" s="35" t="s">
        <v>1524</v>
      </c>
      <c r="F166" s="35"/>
      <c r="G166" s="34"/>
      <c r="H166" s="35"/>
      <c r="I166" s="35" t="s">
        <v>1038</v>
      </c>
      <c r="J166" s="35" t="s">
        <v>1006</v>
      </c>
      <c r="K166" s="35" t="s">
        <v>1007</v>
      </c>
      <c r="L166" s="35" t="s">
        <v>1022</v>
      </c>
      <c r="M166" s="35" t="s">
        <v>533</v>
      </c>
      <c r="N166" s="35" t="s">
        <v>968</v>
      </c>
      <c r="O166" s="36">
        <v>43</v>
      </c>
      <c r="P166" s="35" t="s">
        <v>37</v>
      </c>
      <c r="Q166" s="35"/>
      <c r="R166" s="35" t="s">
        <v>1525</v>
      </c>
    </row>
    <row r="167" spans="1:18" ht="24">
      <c r="A167" s="32">
        <v>1309</v>
      </c>
      <c r="B167" s="33">
        <v>46185</v>
      </c>
      <c r="C167" s="32">
        <v>2026</v>
      </c>
      <c r="D167" s="34" t="s">
        <v>1526</v>
      </c>
      <c r="E167" s="35" t="s">
        <v>1527</v>
      </c>
      <c r="F167" s="35" t="s">
        <v>893</v>
      </c>
      <c r="G167" s="34" t="s">
        <v>902</v>
      </c>
      <c r="H167" s="35" t="s">
        <v>879</v>
      </c>
      <c r="I167" s="35" t="s">
        <v>1317</v>
      </c>
      <c r="J167" s="35" t="s">
        <v>1110</v>
      </c>
      <c r="K167" s="35" t="s">
        <v>888</v>
      </c>
      <c r="L167" s="35" t="s">
        <v>1408</v>
      </c>
      <c r="M167" s="35" t="s">
        <v>515</v>
      </c>
      <c r="N167" s="35" t="s">
        <v>968</v>
      </c>
      <c r="O167" s="36">
        <v>38</v>
      </c>
      <c r="P167" s="35" t="s">
        <v>37</v>
      </c>
      <c r="Q167" s="35"/>
      <c r="R167" s="35" t="s">
        <v>1528</v>
      </c>
    </row>
    <row r="168" spans="1:18">
      <c r="A168" s="32">
        <v>1306</v>
      </c>
      <c r="B168" s="33">
        <v>46183</v>
      </c>
      <c r="C168" s="32">
        <v>2026</v>
      </c>
      <c r="D168" s="34" t="s">
        <v>1529</v>
      </c>
      <c r="E168" s="35" t="s">
        <v>1530</v>
      </c>
      <c r="F168" s="35"/>
      <c r="G168" s="34"/>
      <c r="H168" s="35"/>
      <c r="I168" s="35" t="s">
        <v>1005</v>
      </c>
      <c r="J168" s="35" t="s">
        <v>1021</v>
      </c>
      <c r="K168" s="35" t="s">
        <v>888</v>
      </c>
      <c r="L168" s="35" t="s">
        <v>1008</v>
      </c>
      <c r="M168" s="35" t="s">
        <v>526</v>
      </c>
      <c r="N168" s="35" t="s">
        <v>968</v>
      </c>
      <c r="O168" s="36">
        <v>31</v>
      </c>
      <c r="P168" s="35" t="s">
        <v>37</v>
      </c>
      <c r="Q168" s="35"/>
      <c r="R168" s="35" t="s">
        <v>1531</v>
      </c>
    </row>
    <row r="169" spans="1:18" ht="24">
      <c r="A169" s="32">
        <v>1304</v>
      </c>
      <c r="B169" s="33">
        <v>46183</v>
      </c>
      <c r="C169" s="32">
        <v>2026</v>
      </c>
      <c r="D169" s="34" t="s">
        <v>1532</v>
      </c>
      <c r="E169" s="35" t="s">
        <v>1533</v>
      </c>
      <c r="F169" s="35"/>
      <c r="G169" s="34"/>
      <c r="H169" s="35"/>
      <c r="I169" s="35" t="s">
        <v>1005</v>
      </c>
      <c r="J169" s="35" t="s">
        <v>1021</v>
      </c>
      <c r="K169" s="35" t="s">
        <v>888</v>
      </c>
      <c r="L169" s="35" t="s">
        <v>1008</v>
      </c>
      <c r="M169" s="35" t="s">
        <v>526</v>
      </c>
      <c r="N169" s="35" t="s">
        <v>977</v>
      </c>
      <c r="O169" s="36">
        <v>8</v>
      </c>
      <c r="P169" s="35" t="s">
        <v>360</v>
      </c>
      <c r="Q169" s="35"/>
      <c r="R169" s="35" t="s">
        <v>1534</v>
      </c>
    </row>
    <row r="170" spans="1:18">
      <c r="A170" s="32">
        <v>1303</v>
      </c>
      <c r="B170" s="33">
        <v>46182</v>
      </c>
      <c r="C170" s="32">
        <v>2026</v>
      </c>
      <c r="D170" s="34" t="s">
        <v>1535</v>
      </c>
      <c r="E170" s="35" t="s">
        <v>1536</v>
      </c>
      <c r="F170" s="35" t="s">
        <v>885</v>
      </c>
      <c r="G170" s="34"/>
      <c r="H170" s="35" t="s">
        <v>886</v>
      </c>
      <c r="I170" s="35" t="s">
        <v>965</v>
      </c>
      <c r="J170" s="35" t="s">
        <v>1110</v>
      </c>
      <c r="K170" s="35" t="s">
        <v>888</v>
      </c>
      <c r="L170" s="35" t="s">
        <v>1070</v>
      </c>
      <c r="M170" s="35" t="s">
        <v>536</v>
      </c>
      <c r="N170" s="35" t="s">
        <v>977</v>
      </c>
      <c r="O170" s="36">
        <v>33</v>
      </c>
      <c r="P170" s="35" t="s">
        <v>360</v>
      </c>
      <c r="Q170" s="35"/>
      <c r="R170" s="35" t="s">
        <v>1537</v>
      </c>
    </row>
    <row r="171" spans="1:18" ht="24">
      <c r="A171" s="32">
        <v>1301</v>
      </c>
      <c r="B171" s="33">
        <v>46181</v>
      </c>
      <c r="C171" s="32">
        <v>2026</v>
      </c>
      <c r="D171" s="34" t="s">
        <v>1538</v>
      </c>
      <c r="E171" s="35" t="s">
        <v>1539</v>
      </c>
      <c r="F171" s="35" t="s">
        <v>882</v>
      </c>
      <c r="G171" s="34" t="s">
        <v>909</v>
      </c>
      <c r="H171" s="35" t="s">
        <v>883</v>
      </c>
      <c r="I171" s="35" t="s">
        <v>1317</v>
      </c>
      <c r="J171" s="35" t="s">
        <v>1110</v>
      </c>
      <c r="K171" s="35" t="s">
        <v>888</v>
      </c>
      <c r="L171" s="35" t="s">
        <v>1342</v>
      </c>
      <c r="M171" s="35" t="s">
        <v>515</v>
      </c>
      <c r="N171" s="35" t="s">
        <v>977</v>
      </c>
      <c r="O171" s="36">
        <v>41</v>
      </c>
      <c r="P171" s="35" t="s">
        <v>360</v>
      </c>
      <c r="Q171" s="35"/>
      <c r="R171" s="35" t="s">
        <v>1540</v>
      </c>
    </row>
    <row r="172" spans="1:18" ht="24">
      <c r="A172" s="32">
        <v>1299</v>
      </c>
      <c r="B172" s="33">
        <v>46177</v>
      </c>
      <c r="C172" s="32">
        <v>2026</v>
      </c>
      <c r="D172" s="34" t="s">
        <v>1541</v>
      </c>
      <c r="E172" s="35" t="s">
        <v>1542</v>
      </c>
      <c r="F172" s="35" t="s">
        <v>878</v>
      </c>
      <c r="G172" s="34"/>
      <c r="H172" s="35" t="s">
        <v>879</v>
      </c>
      <c r="I172" s="35" t="s">
        <v>965</v>
      </c>
      <c r="J172" s="35" t="s">
        <v>1291</v>
      </c>
      <c r="K172" s="35" t="s">
        <v>897</v>
      </c>
      <c r="L172" s="35" t="s">
        <v>1070</v>
      </c>
      <c r="M172" s="35" t="s">
        <v>536</v>
      </c>
      <c r="N172" s="35" t="s">
        <v>977</v>
      </c>
      <c r="O172" s="36">
        <v>37</v>
      </c>
      <c r="P172" s="35" t="s">
        <v>360</v>
      </c>
      <c r="Q172" s="35"/>
      <c r="R172" s="35" t="s">
        <v>1543</v>
      </c>
    </row>
    <row r="173" spans="1:18" ht="24">
      <c r="A173" s="32">
        <v>1298</v>
      </c>
      <c r="B173" s="33">
        <v>46176</v>
      </c>
      <c r="C173" s="32">
        <v>2026</v>
      </c>
      <c r="D173" s="34" t="s">
        <v>1544</v>
      </c>
      <c r="E173" s="35" t="s">
        <v>1545</v>
      </c>
      <c r="F173" s="35" t="s">
        <v>893</v>
      </c>
      <c r="G173" s="34"/>
      <c r="H173" s="35" t="s">
        <v>879</v>
      </c>
      <c r="I173" s="35" t="s">
        <v>965</v>
      </c>
      <c r="J173" s="35" t="s">
        <v>1291</v>
      </c>
      <c r="K173" s="35" t="s">
        <v>897</v>
      </c>
      <c r="L173" s="35" t="s">
        <v>972</v>
      </c>
      <c r="M173" s="35" t="s">
        <v>512</v>
      </c>
      <c r="N173" s="35" t="s">
        <v>977</v>
      </c>
      <c r="O173" s="36">
        <v>1</v>
      </c>
      <c r="P173" s="35" t="s">
        <v>360</v>
      </c>
      <c r="Q173" s="35"/>
      <c r="R173" s="35" t="s">
        <v>1546</v>
      </c>
    </row>
    <row r="174" spans="1:18" ht="24">
      <c r="A174" s="32">
        <v>1297</v>
      </c>
      <c r="B174" s="33">
        <v>46176</v>
      </c>
      <c r="C174" s="32">
        <v>2026</v>
      </c>
      <c r="D174" s="34" t="s">
        <v>1547</v>
      </c>
      <c r="E174" s="35" t="s">
        <v>1548</v>
      </c>
      <c r="F174" s="35" t="s">
        <v>878</v>
      </c>
      <c r="G174" s="34"/>
      <c r="H174" s="35" t="s">
        <v>879</v>
      </c>
      <c r="I174" s="35" t="s">
        <v>965</v>
      </c>
      <c r="J174" s="35" t="s">
        <v>1110</v>
      </c>
      <c r="K174" s="35" t="s">
        <v>888</v>
      </c>
      <c r="L174" s="35" t="s">
        <v>1008</v>
      </c>
      <c r="M174" s="35" t="s">
        <v>526</v>
      </c>
      <c r="N174" s="35" t="s">
        <v>977</v>
      </c>
      <c r="O174" s="36">
        <v>9</v>
      </c>
      <c r="P174" s="35" t="s">
        <v>360</v>
      </c>
      <c r="Q174" s="35"/>
      <c r="R174" s="35" t="s">
        <v>1549</v>
      </c>
    </row>
    <row r="175" spans="1:18" ht="24">
      <c r="A175" s="32">
        <v>1296</v>
      </c>
      <c r="B175" s="33">
        <v>46174</v>
      </c>
      <c r="C175" s="32">
        <v>2026</v>
      </c>
      <c r="D175" s="34" t="s">
        <v>1550</v>
      </c>
      <c r="E175" s="35" t="s">
        <v>1551</v>
      </c>
      <c r="F175" s="35"/>
      <c r="G175" s="34"/>
      <c r="H175" s="35" t="s">
        <v>883</v>
      </c>
      <c r="I175" s="35" t="s">
        <v>1134</v>
      </c>
      <c r="J175" s="35" t="s">
        <v>1135</v>
      </c>
      <c r="K175" s="35" t="s">
        <v>888</v>
      </c>
      <c r="L175" s="35" t="s">
        <v>1008</v>
      </c>
      <c r="M175" s="35" t="s">
        <v>526</v>
      </c>
      <c r="N175" s="35" t="s">
        <v>977</v>
      </c>
      <c r="O175" s="36">
        <v>12</v>
      </c>
      <c r="P175" s="35" t="s">
        <v>360</v>
      </c>
      <c r="Q175" s="35"/>
      <c r="R175" s="35" t="s">
        <v>1552</v>
      </c>
    </row>
    <row r="176" spans="1:18" ht="24">
      <c r="A176" s="32">
        <v>1295</v>
      </c>
      <c r="B176" s="33">
        <v>46172</v>
      </c>
      <c r="C176" s="32">
        <v>2026</v>
      </c>
      <c r="D176" s="34" t="s">
        <v>1553</v>
      </c>
      <c r="E176" s="35" t="s">
        <v>1554</v>
      </c>
      <c r="F176" s="35"/>
      <c r="G176" s="34"/>
      <c r="H176" s="35"/>
      <c r="I176" s="35" t="s">
        <v>1005</v>
      </c>
      <c r="J176" s="35" t="s">
        <v>1021</v>
      </c>
      <c r="K176" s="35" t="s">
        <v>888</v>
      </c>
      <c r="L176" s="35" t="s">
        <v>976</v>
      </c>
      <c r="M176" s="35" t="s">
        <v>522</v>
      </c>
      <c r="N176" s="35" t="s">
        <v>977</v>
      </c>
      <c r="O176" s="36">
        <v>45</v>
      </c>
      <c r="P176" s="35" t="s">
        <v>37</v>
      </c>
      <c r="Q176" s="35"/>
      <c r="R176" s="35" t="s">
        <v>1555</v>
      </c>
    </row>
    <row r="177" spans="1:18" ht="24">
      <c r="A177" s="32">
        <v>1290</v>
      </c>
      <c r="B177" s="33">
        <v>46170</v>
      </c>
      <c r="C177" s="32">
        <v>2026</v>
      </c>
      <c r="D177" s="34" t="s">
        <v>1556</v>
      </c>
      <c r="E177" s="35" t="s">
        <v>1557</v>
      </c>
      <c r="F177" s="35"/>
      <c r="G177" s="34"/>
      <c r="H177" s="35"/>
      <c r="I177" s="35" t="s">
        <v>1005</v>
      </c>
      <c r="J177" s="35" t="s">
        <v>1021</v>
      </c>
      <c r="K177" s="35" t="s">
        <v>888</v>
      </c>
      <c r="L177" s="35" t="s">
        <v>1034</v>
      </c>
      <c r="M177" s="35" t="s">
        <v>515</v>
      </c>
      <c r="N177" s="35" t="s">
        <v>968</v>
      </c>
      <c r="O177" s="36">
        <v>50</v>
      </c>
      <c r="P177" s="35" t="s">
        <v>37</v>
      </c>
      <c r="Q177" s="35"/>
      <c r="R177" s="35" t="s">
        <v>1558</v>
      </c>
    </row>
    <row r="178" spans="1:18" ht="24">
      <c r="A178" s="32">
        <v>1289</v>
      </c>
      <c r="B178" s="33">
        <v>46168</v>
      </c>
      <c r="C178" s="32">
        <v>2026</v>
      </c>
      <c r="D178" s="34" t="s">
        <v>1559</v>
      </c>
      <c r="E178" s="35" t="s">
        <v>1560</v>
      </c>
      <c r="F178" s="35"/>
      <c r="G178" s="34"/>
      <c r="H178" s="35"/>
      <c r="I178" s="35" t="s">
        <v>1005</v>
      </c>
      <c r="J178" s="35" t="s">
        <v>1021</v>
      </c>
      <c r="K178" s="35" t="s">
        <v>888</v>
      </c>
      <c r="L178" s="35" t="s">
        <v>976</v>
      </c>
      <c r="M178" s="35" t="s">
        <v>522</v>
      </c>
      <c r="N178" s="35" t="s">
        <v>968</v>
      </c>
      <c r="O178" s="36">
        <v>35</v>
      </c>
      <c r="P178" s="35" t="s">
        <v>37</v>
      </c>
      <c r="Q178" s="35"/>
      <c r="R178" s="35" t="s">
        <v>1561</v>
      </c>
    </row>
    <row r="179" spans="1:18" ht="24">
      <c r="A179" s="32">
        <v>1288</v>
      </c>
      <c r="B179" s="33">
        <v>46167</v>
      </c>
      <c r="C179" s="32">
        <v>2026</v>
      </c>
      <c r="D179" s="34" t="s">
        <v>1562</v>
      </c>
      <c r="E179" s="35" t="s">
        <v>1563</v>
      </c>
      <c r="F179" s="35" t="s">
        <v>928</v>
      </c>
      <c r="G179" s="34" t="s">
        <v>1564</v>
      </c>
      <c r="H179" s="35" t="s">
        <v>879</v>
      </c>
      <c r="I179" s="35" t="s">
        <v>1317</v>
      </c>
      <c r="J179" s="35" t="s">
        <v>1291</v>
      </c>
      <c r="K179" s="35" t="s">
        <v>897</v>
      </c>
      <c r="L179" s="35" t="s">
        <v>1342</v>
      </c>
      <c r="M179" s="35" t="s">
        <v>515</v>
      </c>
      <c r="N179" s="35" t="s">
        <v>968</v>
      </c>
      <c r="O179" s="36">
        <v>42</v>
      </c>
      <c r="P179" s="35" t="s">
        <v>37</v>
      </c>
      <c r="Q179" s="35"/>
      <c r="R179" s="35" t="s">
        <v>1565</v>
      </c>
    </row>
    <row r="180" spans="1:18" ht="24">
      <c r="A180" s="32">
        <v>1287</v>
      </c>
      <c r="B180" s="33">
        <v>46166</v>
      </c>
      <c r="C180" s="32">
        <v>2026</v>
      </c>
      <c r="D180" s="34" t="s">
        <v>1566</v>
      </c>
      <c r="E180" s="35" t="s">
        <v>1567</v>
      </c>
      <c r="F180" s="35" t="s">
        <v>905</v>
      </c>
      <c r="G180" s="34"/>
      <c r="H180" s="35" t="s">
        <v>895</v>
      </c>
      <c r="I180" s="35" t="s">
        <v>965</v>
      </c>
      <c r="J180" s="35" t="s">
        <v>1110</v>
      </c>
      <c r="K180" s="35" t="s">
        <v>888</v>
      </c>
      <c r="L180" s="35" t="s">
        <v>1158</v>
      </c>
      <c r="M180" s="35" t="s">
        <v>515</v>
      </c>
      <c r="N180" s="35" t="s">
        <v>968</v>
      </c>
      <c r="O180" s="36">
        <v>51</v>
      </c>
      <c r="P180" s="35" t="s">
        <v>37</v>
      </c>
      <c r="Q180" s="35"/>
      <c r="R180" s="35" t="s">
        <v>1568</v>
      </c>
    </row>
    <row r="181" spans="1:18" ht="24">
      <c r="A181" s="32">
        <v>1286</v>
      </c>
      <c r="B181" s="33">
        <v>46166</v>
      </c>
      <c r="C181" s="32">
        <v>2026</v>
      </c>
      <c r="D181" s="34" t="s">
        <v>1569</v>
      </c>
      <c r="E181" s="35" t="s">
        <v>1570</v>
      </c>
      <c r="F181" s="35" t="s">
        <v>905</v>
      </c>
      <c r="G181" s="34"/>
      <c r="H181" s="35" t="s">
        <v>895</v>
      </c>
      <c r="I181" s="35" t="s">
        <v>965</v>
      </c>
      <c r="J181" s="35" t="s">
        <v>1110</v>
      </c>
      <c r="K181" s="35" t="s">
        <v>888</v>
      </c>
      <c r="L181" s="35" t="s">
        <v>1139</v>
      </c>
      <c r="M181" s="35" t="s">
        <v>519</v>
      </c>
      <c r="N181" s="35" t="s">
        <v>968</v>
      </c>
      <c r="O181" s="36">
        <v>103</v>
      </c>
      <c r="P181" s="35" t="s">
        <v>37</v>
      </c>
      <c r="Q181" s="35"/>
      <c r="R181" s="35" t="s">
        <v>1571</v>
      </c>
    </row>
    <row r="182" spans="1:18" ht="24">
      <c r="A182" s="32">
        <v>1280</v>
      </c>
      <c r="B182" s="33">
        <v>46165</v>
      </c>
      <c r="C182" s="32">
        <v>2026</v>
      </c>
      <c r="D182" s="34" t="s">
        <v>1572</v>
      </c>
      <c r="E182" s="35" t="s">
        <v>1573</v>
      </c>
      <c r="F182" s="35"/>
      <c r="G182" s="34"/>
      <c r="H182" s="35"/>
      <c r="I182" s="35" t="s">
        <v>1005</v>
      </c>
      <c r="J182" s="35" t="s">
        <v>1021</v>
      </c>
      <c r="K182" s="35" t="s">
        <v>888</v>
      </c>
      <c r="L182" s="35" t="s">
        <v>976</v>
      </c>
      <c r="M182" s="35" t="s">
        <v>522</v>
      </c>
      <c r="N182" s="35" t="s">
        <v>977</v>
      </c>
      <c r="O182" s="36">
        <v>25</v>
      </c>
      <c r="P182" s="35" t="s">
        <v>37</v>
      </c>
      <c r="Q182" s="35"/>
      <c r="R182" s="35" t="s">
        <v>1574</v>
      </c>
    </row>
    <row r="183" spans="1:18" ht="24">
      <c r="A183" s="32">
        <v>1279</v>
      </c>
      <c r="B183" s="33">
        <v>46165</v>
      </c>
      <c r="C183" s="32">
        <v>2026</v>
      </c>
      <c r="D183" s="34" t="s">
        <v>1575</v>
      </c>
      <c r="E183" s="35" t="s">
        <v>1576</v>
      </c>
      <c r="F183" s="35" t="s">
        <v>894</v>
      </c>
      <c r="G183" s="34"/>
      <c r="H183" s="35" t="s">
        <v>895</v>
      </c>
      <c r="I183" s="35" t="s">
        <v>965</v>
      </c>
      <c r="J183" s="35" t="s">
        <v>1110</v>
      </c>
      <c r="K183" s="35" t="s">
        <v>888</v>
      </c>
      <c r="L183" s="35" t="s">
        <v>976</v>
      </c>
      <c r="M183" s="35" t="s">
        <v>522</v>
      </c>
      <c r="N183" s="35" t="s">
        <v>977</v>
      </c>
      <c r="O183" s="36">
        <v>33</v>
      </c>
      <c r="P183" s="35" t="s">
        <v>37</v>
      </c>
      <c r="Q183" s="35"/>
      <c r="R183" s="35" t="s">
        <v>1577</v>
      </c>
    </row>
    <row r="184" spans="1:18" ht="24">
      <c r="A184" s="32">
        <v>1278</v>
      </c>
      <c r="B184" s="33">
        <v>46165</v>
      </c>
      <c r="C184" s="32">
        <v>2026</v>
      </c>
      <c r="D184" s="34" t="s">
        <v>1578</v>
      </c>
      <c r="E184" s="35" t="s">
        <v>1579</v>
      </c>
      <c r="F184" s="35" t="s">
        <v>931</v>
      </c>
      <c r="G184" s="34" t="s">
        <v>889</v>
      </c>
      <c r="H184" s="35" t="s">
        <v>890</v>
      </c>
      <c r="I184" s="35" t="s">
        <v>1317</v>
      </c>
      <c r="J184" s="35" t="s">
        <v>1110</v>
      </c>
      <c r="K184" s="35" t="s">
        <v>888</v>
      </c>
      <c r="L184" s="35" t="s">
        <v>1139</v>
      </c>
      <c r="M184" s="35" t="s">
        <v>519</v>
      </c>
      <c r="N184" s="35" t="s">
        <v>968</v>
      </c>
      <c r="O184" s="36">
        <v>40</v>
      </c>
      <c r="P184" s="35" t="s">
        <v>37</v>
      </c>
      <c r="Q184" s="35"/>
      <c r="R184" s="35" t="s">
        <v>1580</v>
      </c>
    </row>
    <row r="185" spans="1:18" ht="24">
      <c r="A185" s="32">
        <v>1276</v>
      </c>
      <c r="B185" s="33">
        <v>46163</v>
      </c>
      <c r="C185" s="32">
        <v>2026</v>
      </c>
      <c r="D185" s="34" t="s">
        <v>1581</v>
      </c>
      <c r="E185" s="35" t="s">
        <v>1582</v>
      </c>
      <c r="F185" s="35"/>
      <c r="G185" s="34"/>
      <c r="H185" s="35"/>
      <c r="I185" s="35" t="s">
        <v>1005</v>
      </c>
      <c r="J185" s="35" t="s">
        <v>1021</v>
      </c>
      <c r="K185" s="35" t="s">
        <v>888</v>
      </c>
      <c r="L185" s="35" t="s">
        <v>976</v>
      </c>
      <c r="M185" s="35" t="s">
        <v>522</v>
      </c>
      <c r="N185" s="35" t="s">
        <v>977</v>
      </c>
      <c r="O185" s="36">
        <v>13</v>
      </c>
      <c r="P185" s="35" t="s">
        <v>37</v>
      </c>
      <c r="Q185" s="35"/>
      <c r="R185" s="35" t="s">
        <v>1583</v>
      </c>
    </row>
    <row r="186" spans="1:18">
      <c r="A186" s="32">
        <v>1275</v>
      </c>
      <c r="B186" s="33">
        <v>46158</v>
      </c>
      <c r="C186" s="32">
        <v>2026</v>
      </c>
      <c r="D186" s="34" t="s">
        <v>1584</v>
      </c>
      <c r="E186" s="35" t="s">
        <v>1585</v>
      </c>
      <c r="F186" s="35"/>
      <c r="G186" s="34"/>
      <c r="H186" s="35"/>
      <c r="I186" s="35" t="s">
        <v>1038</v>
      </c>
      <c r="J186" s="35" t="s">
        <v>1006</v>
      </c>
      <c r="K186" s="35" t="s">
        <v>1007</v>
      </c>
      <c r="L186" s="35" t="s">
        <v>1342</v>
      </c>
      <c r="M186" s="35" t="s">
        <v>515</v>
      </c>
      <c r="N186" s="35" t="s">
        <v>977</v>
      </c>
      <c r="O186" s="36">
        <v>31</v>
      </c>
      <c r="P186" s="35" t="s">
        <v>37</v>
      </c>
      <c r="Q186" s="35"/>
      <c r="R186" s="35" t="s">
        <v>1586</v>
      </c>
    </row>
    <row r="187" spans="1:18" ht="24">
      <c r="A187" s="32">
        <v>1274</v>
      </c>
      <c r="B187" s="33">
        <v>46158</v>
      </c>
      <c r="C187" s="32">
        <v>2026</v>
      </c>
      <c r="D187" s="34" t="s">
        <v>1587</v>
      </c>
      <c r="E187" s="35" t="s">
        <v>1588</v>
      </c>
      <c r="F187" s="35"/>
      <c r="G187" s="34"/>
      <c r="H187" s="35"/>
      <c r="I187" s="35" t="s">
        <v>1038</v>
      </c>
      <c r="J187" s="35" t="s">
        <v>1006</v>
      </c>
      <c r="K187" s="35" t="s">
        <v>1007</v>
      </c>
      <c r="L187" s="35" t="s">
        <v>1139</v>
      </c>
      <c r="M187" s="35" t="s">
        <v>519</v>
      </c>
      <c r="N187" s="35" t="s">
        <v>977</v>
      </c>
      <c r="O187" s="36">
        <v>24</v>
      </c>
      <c r="P187" s="35" t="s">
        <v>37</v>
      </c>
      <c r="Q187" s="35"/>
      <c r="R187" s="35" t="s">
        <v>1589</v>
      </c>
    </row>
    <row r="188" spans="1:18" ht="24">
      <c r="A188" s="32">
        <v>1273</v>
      </c>
      <c r="B188" s="33">
        <v>46156</v>
      </c>
      <c r="C188" s="32">
        <v>2026</v>
      </c>
      <c r="D188" s="34" t="s">
        <v>1590</v>
      </c>
      <c r="E188" s="35" t="s">
        <v>1591</v>
      </c>
      <c r="F188" s="35"/>
      <c r="G188" s="34"/>
      <c r="H188" s="35"/>
      <c r="I188" s="35" t="s">
        <v>1038</v>
      </c>
      <c r="J188" s="35" t="s">
        <v>1006</v>
      </c>
      <c r="K188" s="35" t="s">
        <v>1007</v>
      </c>
      <c r="L188" s="35" t="s">
        <v>1139</v>
      </c>
      <c r="M188" s="35" t="s">
        <v>519</v>
      </c>
      <c r="N188" s="35" t="s">
        <v>968</v>
      </c>
      <c r="O188" s="36">
        <v>20</v>
      </c>
      <c r="P188" s="35" t="s">
        <v>37</v>
      </c>
      <c r="Q188" s="35"/>
      <c r="R188" s="35" t="s">
        <v>1592</v>
      </c>
    </row>
    <row r="189" spans="1:18" ht="24">
      <c r="A189" s="32">
        <v>1272</v>
      </c>
      <c r="B189" s="33">
        <v>46155</v>
      </c>
      <c r="C189" s="32">
        <v>2026</v>
      </c>
      <c r="D189" s="34" t="s">
        <v>1593</v>
      </c>
      <c r="E189" s="35" t="s">
        <v>1594</v>
      </c>
      <c r="F189" s="35" t="s">
        <v>882</v>
      </c>
      <c r="G189" s="34"/>
      <c r="H189" s="35" t="s">
        <v>883</v>
      </c>
      <c r="I189" s="35" t="s">
        <v>965</v>
      </c>
      <c r="J189" s="35" t="s">
        <v>1110</v>
      </c>
      <c r="K189" s="35" t="s">
        <v>888</v>
      </c>
      <c r="L189" s="35" t="s">
        <v>1034</v>
      </c>
      <c r="M189" s="35" t="s">
        <v>515</v>
      </c>
      <c r="N189" s="35" t="s">
        <v>977</v>
      </c>
      <c r="O189" s="36">
        <v>52</v>
      </c>
      <c r="P189" s="35" t="s">
        <v>37</v>
      </c>
      <c r="Q189" s="35"/>
      <c r="R189" s="35" t="s">
        <v>1595</v>
      </c>
    </row>
    <row r="190" spans="1:18" ht="24">
      <c r="A190" s="32">
        <v>1271</v>
      </c>
      <c r="B190" s="33">
        <v>46155</v>
      </c>
      <c r="C190" s="32">
        <v>2026</v>
      </c>
      <c r="D190" s="34" t="s">
        <v>1596</v>
      </c>
      <c r="E190" s="35" t="s">
        <v>1597</v>
      </c>
      <c r="F190" s="35"/>
      <c r="G190" s="34"/>
      <c r="H190" s="35" t="s">
        <v>883</v>
      </c>
      <c r="I190" s="35" t="s">
        <v>1134</v>
      </c>
      <c r="J190" s="35" t="s">
        <v>1135</v>
      </c>
      <c r="K190" s="35" t="s">
        <v>888</v>
      </c>
      <c r="L190" s="35" t="s">
        <v>1008</v>
      </c>
      <c r="M190" s="35" t="s">
        <v>526</v>
      </c>
      <c r="N190" s="35" t="s">
        <v>968</v>
      </c>
      <c r="O190" s="36">
        <v>26</v>
      </c>
      <c r="P190" s="35" t="s">
        <v>37</v>
      </c>
      <c r="Q190" s="35"/>
      <c r="R190" s="35" t="s">
        <v>1598</v>
      </c>
    </row>
    <row r="191" spans="1:18">
      <c r="A191" s="32">
        <v>1270</v>
      </c>
      <c r="B191" s="33">
        <v>46153</v>
      </c>
      <c r="C191" s="32">
        <v>2026</v>
      </c>
      <c r="D191" s="34" t="s">
        <v>1599</v>
      </c>
      <c r="E191" s="35" t="s">
        <v>1600</v>
      </c>
      <c r="F191" s="35" t="s">
        <v>889</v>
      </c>
      <c r="G191" s="34"/>
      <c r="H191" s="35" t="s">
        <v>890</v>
      </c>
      <c r="I191" s="35" t="s">
        <v>965</v>
      </c>
      <c r="J191" s="35" t="s">
        <v>1110</v>
      </c>
      <c r="K191" s="35" t="s">
        <v>888</v>
      </c>
      <c r="L191" s="35" t="s">
        <v>1158</v>
      </c>
      <c r="M191" s="35" t="s">
        <v>515</v>
      </c>
      <c r="N191" s="35" t="s">
        <v>977</v>
      </c>
      <c r="O191" s="36">
        <v>26</v>
      </c>
      <c r="P191" s="35" t="s">
        <v>37</v>
      </c>
      <c r="Q191" s="35"/>
      <c r="R191" s="35" t="s">
        <v>1601</v>
      </c>
    </row>
    <row r="192" spans="1:18" ht="24">
      <c r="A192" s="32">
        <v>1269</v>
      </c>
      <c r="B192" s="33">
        <v>46153</v>
      </c>
      <c r="C192" s="32">
        <v>2026</v>
      </c>
      <c r="D192" s="34" t="s">
        <v>1602</v>
      </c>
      <c r="E192" s="35" t="s">
        <v>1603</v>
      </c>
      <c r="F192" s="35"/>
      <c r="G192" s="34"/>
      <c r="H192" s="35"/>
      <c r="I192" s="35" t="s">
        <v>1005</v>
      </c>
      <c r="J192" s="35" t="s">
        <v>1021</v>
      </c>
      <c r="K192" s="35" t="s">
        <v>888</v>
      </c>
      <c r="L192" s="35" t="s">
        <v>976</v>
      </c>
      <c r="M192" s="35" t="s">
        <v>522</v>
      </c>
      <c r="N192" s="35" t="s">
        <v>968</v>
      </c>
      <c r="O192" s="36">
        <v>29</v>
      </c>
      <c r="P192" s="35" t="s">
        <v>37</v>
      </c>
      <c r="Q192" s="35"/>
      <c r="R192" s="35" t="s">
        <v>1604</v>
      </c>
    </row>
    <row r="193" spans="1:18" ht="24">
      <c r="A193" s="32">
        <v>1268</v>
      </c>
      <c r="B193" s="33">
        <v>46151</v>
      </c>
      <c r="C193" s="32">
        <v>2026</v>
      </c>
      <c r="D193" s="34" t="s">
        <v>1605</v>
      </c>
      <c r="E193" s="35" t="s">
        <v>1606</v>
      </c>
      <c r="F193" s="35" t="s">
        <v>884</v>
      </c>
      <c r="G193" s="34"/>
      <c r="H193" s="35" t="s">
        <v>883</v>
      </c>
      <c r="I193" s="35" t="s">
        <v>965</v>
      </c>
      <c r="J193" s="35" t="s">
        <v>1110</v>
      </c>
      <c r="K193" s="35" t="s">
        <v>888</v>
      </c>
      <c r="L193" s="35" t="s">
        <v>1139</v>
      </c>
      <c r="M193" s="35" t="s">
        <v>519</v>
      </c>
      <c r="N193" s="35" t="s">
        <v>977</v>
      </c>
      <c r="O193" s="36">
        <v>20</v>
      </c>
      <c r="P193" s="35" t="s">
        <v>37</v>
      </c>
      <c r="Q193" s="35"/>
      <c r="R193" s="35" t="s">
        <v>1607</v>
      </c>
    </row>
    <row r="194" spans="1:18" ht="24">
      <c r="A194" s="32">
        <v>1267</v>
      </c>
      <c r="B194" s="33">
        <v>46151</v>
      </c>
      <c r="C194" s="32">
        <v>2026</v>
      </c>
      <c r="D194" s="34" t="s">
        <v>1608</v>
      </c>
      <c r="E194" s="35" t="s">
        <v>1609</v>
      </c>
      <c r="F194" s="35"/>
      <c r="G194" s="34"/>
      <c r="H194" s="35"/>
      <c r="I194" s="35" t="s">
        <v>1484</v>
      </c>
      <c r="J194" s="35" t="s">
        <v>1485</v>
      </c>
      <c r="K194" s="35" t="s">
        <v>888</v>
      </c>
      <c r="L194" s="35" t="s">
        <v>1158</v>
      </c>
      <c r="M194" s="35" t="s">
        <v>515</v>
      </c>
      <c r="N194" s="35" t="s">
        <v>968</v>
      </c>
      <c r="O194" s="36">
        <v>58</v>
      </c>
      <c r="P194" s="35" t="s">
        <v>37</v>
      </c>
      <c r="Q194" s="35"/>
      <c r="R194" s="35" t="s">
        <v>1610</v>
      </c>
    </row>
    <row r="195" spans="1:18" ht="24">
      <c r="A195" s="32">
        <v>1266</v>
      </c>
      <c r="B195" s="33">
        <v>46151</v>
      </c>
      <c r="C195" s="32">
        <v>2026</v>
      </c>
      <c r="D195" s="34" t="s">
        <v>1611</v>
      </c>
      <c r="E195" s="35" t="s">
        <v>1612</v>
      </c>
      <c r="F195" s="35"/>
      <c r="G195" s="34"/>
      <c r="H195" s="35"/>
      <c r="I195" s="35" t="s">
        <v>1005</v>
      </c>
      <c r="J195" s="35" t="s">
        <v>1021</v>
      </c>
      <c r="K195" s="35" t="s">
        <v>888</v>
      </c>
      <c r="L195" s="35" t="s">
        <v>1139</v>
      </c>
      <c r="M195" s="35" t="s">
        <v>519</v>
      </c>
      <c r="N195" s="35" t="s">
        <v>968</v>
      </c>
      <c r="O195" s="36">
        <v>72</v>
      </c>
      <c r="P195" s="35" t="s">
        <v>37</v>
      </c>
      <c r="Q195" s="35"/>
      <c r="R195" s="35" t="s">
        <v>1613</v>
      </c>
    </row>
    <row r="196" spans="1:18" ht="24">
      <c r="A196" s="32">
        <v>1265</v>
      </c>
      <c r="B196" s="33">
        <v>46151</v>
      </c>
      <c r="C196" s="32">
        <v>2026</v>
      </c>
      <c r="D196" s="34" t="s">
        <v>1614</v>
      </c>
      <c r="E196" s="35" t="s">
        <v>1615</v>
      </c>
      <c r="F196" s="35" t="s">
        <v>887</v>
      </c>
      <c r="G196" s="34"/>
      <c r="H196" s="35" t="s">
        <v>883</v>
      </c>
      <c r="I196" s="35" t="s">
        <v>965</v>
      </c>
      <c r="J196" s="35" t="s">
        <v>1110</v>
      </c>
      <c r="K196" s="35" t="s">
        <v>888</v>
      </c>
      <c r="L196" s="35" t="s">
        <v>1008</v>
      </c>
      <c r="M196" s="35" t="s">
        <v>526</v>
      </c>
      <c r="N196" s="35" t="s">
        <v>977</v>
      </c>
      <c r="O196" s="36">
        <v>31</v>
      </c>
      <c r="P196" s="35" t="s">
        <v>37</v>
      </c>
      <c r="Q196" s="35"/>
      <c r="R196" s="35" t="s">
        <v>1616</v>
      </c>
    </row>
    <row r="197" spans="1:18" ht="24">
      <c r="A197" s="32">
        <v>1264</v>
      </c>
      <c r="B197" s="33">
        <v>46151</v>
      </c>
      <c r="C197" s="32">
        <v>2026</v>
      </c>
      <c r="D197" s="34" t="s">
        <v>1617</v>
      </c>
      <c r="E197" s="35" t="s">
        <v>1618</v>
      </c>
      <c r="F197" s="35" t="s">
        <v>878</v>
      </c>
      <c r="G197" s="34"/>
      <c r="H197" s="35" t="s">
        <v>879</v>
      </c>
      <c r="I197" s="35" t="s">
        <v>965</v>
      </c>
      <c r="J197" s="35" t="s">
        <v>1110</v>
      </c>
      <c r="K197" s="35" t="s">
        <v>888</v>
      </c>
      <c r="L197" s="35" t="s">
        <v>1101</v>
      </c>
      <c r="M197" s="35" t="s">
        <v>530</v>
      </c>
      <c r="N197" s="35" t="s">
        <v>977</v>
      </c>
      <c r="O197" s="36">
        <v>46</v>
      </c>
      <c r="P197" s="35" t="s">
        <v>37</v>
      </c>
      <c r="Q197" s="35"/>
      <c r="R197" s="35" t="s">
        <v>1619</v>
      </c>
    </row>
    <row r="198" spans="1:18" ht="24">
      <c r="A198" s="32">
        <v>1263</v>
      </c>
      <c r="B198" s="33">
        <v>46151</v>
      </c>
      <c r="C198" s="32">
        <v>2026</v>
      </c>
      <c r="D198" s="34" t="s">
        <v>1620</v>
      </c>
      <c r="E198" s="35" t="s">
        <v>1621</v>
      </c>
      <c r="F198" s="35" t="s">
        <v>878</v>
      </c>
      <c r="G198" s="34"/>
      <c r="H198" s="35" t="s">
        <v>879</v>
      </c>
      <c r="I198" s="35" t="s">
        <v>965</v>
      </c>
      <c r="J198" s="35" t="s">
        <v>1110</v>
      </c>
      <c r="K198" s="35" t="s">
        <v>888</v>
      </c>
      <c r="L198" s="35" t="s">
        <v>976</v>
      </c>
      <c r="M198" s="35" t="s">
        <v>522</v>
      </c>
      <c r="N198" s="35" t="s">
        <v>977</v>
      </c>
      <c r="O198" s="36">
        <v>43</v>
      </c>
      <c r="P198" s="35" t="s">
        <v>37</v>
      </c>
      <c r="Q198" s="35"/>
      <c r="R198" s="35" t="s">
        <v>1622</v>
      </c>
    </row>
    <row r="199" spans="1:18" ht="24">
      <c r="A199" s="32">
        <v>1262</v>
      </c>
      <c r="B199" s="33">
        <v>46150</v>
      </c>
      <c r="C199" s="32">
        <v>2026</v>
      </c>
      <c r="D199" s="34" t="s">
        <v>1623</v>
      </c>
      <c r="E199" s="35" t="s">
        <v>1624</v>
      </c>
      <c r="F199" s="35" t="s">
        <v>878</v>
      </c>
      <c r="G199" s="34"/>
      <c r="H199" s="35" t="s">
        <v>879</v>
      </c>
      <c r="I199" s="35" t="s">
        <v>965</v>
      </c>
      <c r="J199" s="35" t="s">
        <v>1110</v>
      </c>
      <c r="K199" s="35" t="s">
        <v>888</v>
      </c>
      <c r="L199" s="35" t="s">
        <v>1008</v>
      </c>
      <c r="M199" s="35" t="s">
        <v>526</v>
      </c>
      <c r="N199" s="35" t="s">
        <v>977</v>
      </c>
      <c r="O199" s="36">
        <v>36</v>
      </c>
      <c r="P199" s="35" t="s">
        <v>37</v>
      </c>
      <c r="Q199" s="35"/>
      <c r="R199" s="35" t="s">
        <v>1625</v>
      </c>
    </row>
    <row r="200" spans="1:18" ht="24">
      <c r="A200" s="32">
        <v>1261</v>
      </c>
      <c r="B200" s="33">
        <v>46150</v>
      </c>
      <c r="C200" s="32">
        <v>2026</v>
      </c>
      <c r="D200" s="34" t="s">
        <v>1626</v>
      </c>
      <c r="E200" s="35" t="s">
        <v>1627</v>
      </c>
      <c r="F200" s="35" t="s">
        <v>878</v>
      </c>
      <c r="G200" s="34"/>
      <c r="H200" s="35" t="s">
        <v>879</v>
      </c>
      <c r="I200" s="35" t="s">
        <v>965</v>
      </c>
      <c r="J200" s="35" t="s">
        <v>1110</v>
      </c>
      <c r="K200" s="35" t="s">
        <v>888</v>
      </c>
      <c r="L200" s="35" t="s">
        <v>1158</v>
      </c>
      <c r="M200" s="35" t="s">
        <v>515</v>
      </c>
      <c r="N200" s="35" t="s">
        <v>977</v>
      </c>
      <c r="O200" s="36">
        <v>34</v>
      </c>
      <c r="P200" s="35" t="s">
        <v>37</v>
      </c>
      <c r="Q200" s="35"/>
      <c r="R200" s="35" t="s">
        <v>1628</v>
      </c>
    </row>
    <row r="201" spans="1:18" ht="24">
      <c r="A201" s="32">
        <v>1260</v>
      </c>
      <c r="B201" s="33">
        <v>46150</v>
      </c>
      <c r="C201" s="32">
        <v>2026</v>
      </c>
      <c r="D201" s="34" t="s">
        <v>1629</v>
      </c>
      <c r="E201" s="35" t="s">
        <v>1630</v>
      </c>
      <c r="F201" s="35"/>
      <c r="G201" s="34"/>
      <c r="H201" s="35"/>
      <c r="I201" s="35" t="s">
        <v>1038</v>
      </c>
      <c r="J201" s="35" t="s">
        <v>1006</v>
      </c>
      <c r="K201" s="35" t="s">
        <v>1007</v>
      </c>
      <c r="L201" s="35" t="s">
        <v>1158</v>
      </c>
      <c r="M201" s="35" t="s">
        <v>515</v>
      </c>
      <c r="N201" s="35" t="s">
        <v>977</v>
      </c>
      <c r="O201" s="36">
        <v>16</v>
      </c>
      <c r="P201" s="35" t="s">
        <v>37</v>
      </c>
      <c r="Q201" s="35"/>
      <c r="R201" s="35" t="s">
        <v>1631</v>
      </c>
    </row>
    <row r="202" spans="1:18" ht="24">
      <c r="A202" s="32">
        <v>1259</v>
      </c>
      <c r="B202" s="33">
        <v>46150</v>
      </c>
      <c r="C202" s="32">
        <v>2026</v>
      </c>
      <c r="D202" s="34" t="s">
        <v>1632</v>
      </c>
      <c r="E202" s="35" t="s">
        <v>1633</v>
      </c>
      <c r="F202" s="35"/>
      <c r="G202" s="34"/>
      <c r="H202" s="35"/>
      <c r="I202" s="35" t="s">
        <v>1038</v>
      </c>
      <c r="J202" s="35" t="s">
        <v>1006</v>
      </c>
      <c r="K202" s="35" t="s">
        <v>1007</v>
      </c>
      <c r="L202" s="35" t="s">
        <v>1101</v>
      </c>
      <c r="M202" s="35" t="s">
        <v>530</v>
      </c>
      <c r="N202" s="35" t="s">
        <v>977</v>
      </c>
      <c r="O202" s="36">
        <v>39</v>
      </c>
      <c r="P202" s="35" t="s">
        <v>37</v>
      </c>
      <c r="Q202" s="35"/>
      <c r="R202" s="35" t="s">
        <v>1634</v>
      </c>
    </row>
    <row r="203" spans="1:18" ht="24">
      <c r="A203" s="32">
        <v>1258</v>
      </c>
      <c r="B203" s="33">
        <v>46150</v>
      </c>
      <c r="C203" s="32">
        <v>2026</v>
      </c>
      <c r="D203" s="34" t="s">
        <v>1635</v>
      </c>
      <c r="E203" s="35" t="s">
        <v>1636</v>
      </c>
      <c r="F203" s="35" t="s">
        <v>887</v>
      </c>
      <c r="G203" s="34"/>
      <c r="H203" s="35" t="s">
        <v>883</v>
      </c>
      <c r="I203" s="35" t="s">
        <v>965</v>
      </c>
      <c r="J203" s="35" t="s">
        <v>1291</v>
      </c>
      <c r="K203" s="35" t="s">
        <v>897</v>
      </c>
      <c r="L203" s="35" t="s">
        <v>1139</v>
      </c>
      <c r="M203" s="35" t="s">
        <v>519</v>
      </c>
      <c r="N203" s="35" t="s">
        <v>968</v>
      </c>
      <c r="O203" s="36">
        <v>25</v>
      </c>
      <c r="P203" s="35" t="s">
        <v>37</v>
      </c>
      <c r="Q203" s="35"/>
      <c r="R203" s="35" t="s">
        <v>1637</v>
      </c>
    </row>
    <row r="204" spans="1:18" ht="24">
      <c r="A204" s="32">
        <v>1257</v>
      </c>
      <c r="B204" s="33">
        <v>46150</v>
      </c>
      <c r="C204" s="32">
        <v>2026</v>
      </c>
      <c r="D204" s="34" t="s">
        <v>1638</v>
      </c>
      <c r="E204" s="35" t="s">
        <v>1639</v>
      </c>
      <c r="F204" s="35" t="s">
        <v>887</v>
      </c>
      <c r="G204" s="34"/>
      <c r="H204" s="35" t="s">
        <v>883</v>
      </c>
      <c r="I204" s="35" t="s">
        <v>965</v>
      </c>
      <c r="J204" s="35" t="s">
        <v>1291</v>
      </c>
      <c r="K204" s="35" t="s">
        <v>897</v>
      </c>
      <c r="L204" s="35" t="s">
        <v>1139</v>
      </c>
      <c r="M204" s="35" t="s">
        <v>519</v>
      </c>
      <c r="N204" s="35" t="s">
        <v>977</v>
      </c>
      <c r="O204" s="36">
        <v>29</v>
      </c>
      <c r="P204" s="35" t="s">
        <v>37</v>
      </c>
      <c r="Q204" s="35"/>
      <c r="R204" s="35" t="s">
        <v>1640</v>
      </c>
    </row>
    <row r="205" spans="1:18" ht="24">
      <c r="A205" s="32">
        <v>1256</v>
      </c>
      <c r="B205" s="33">
        <v>46150</v>
      </c>
      <c r="C205" s="32">
        <v>2026</v>
      </c>
      <c r="D205" s="34" t="s">
        <v>1641</v>
      </c>
      <c r="E205" s="35" t="s">
        <v>1642</v>
      </c>
      <c r="F205" s="35" t="s">
        <v>894</v>
      </c>
      <c r="G205" s="34"/>
      <c r="H205" s="35" t="s">
        <v>895</v>
      </c>
      <c r="I205" s="35" t="s">
        <v>965</v>
      </c>
      <c r="J205" s="35" t="s">
        <v>1110</v>
      </c>
      <c r="K205" s="35" t="s">
        <v>888</v>
      </c>
      <c r="L205" s="35" t="s">
        <v>1158</v>
      </c>
      <c r="M205" s="35" t="s">
        <v>515</v>
      </c>
      <c r="N205" s="35" t="s">
        <v>977</v>
      </c>
      <c r="O205" s="36">
        <v>21</v>
      </c>
      <c r="P205" s="35" t="s">
        <v>37</v>
      </c>
      <c r="Q205" s="35"/>
      <c r="R205" s="35" t="s">
        <v>1643</v>
      </c>
    </row>
    <row r="206" spans="1:18">
      <c r="A206" s="32">
        <v>1255</v>
      </c>
      <c r="B206" s="33">
        <v>46149</v>
      </c>
      <c r="C206" s="32">
        <v>2026</v>
      </c>
      <c r="D206" s="34" t="s">
        <v>1644</v>
      </c>
      <c r="E206" s="35" t="s">
        <v>1645</v>
      </c>
      <c r="F206" s="35" t="s">
        <v>887</v>
      </c>
      <c r="G206" s="34"/>
      <c r="H206" s="35" t="s">
        <v>883</v>
      </c>
      <c r="I206" s="35" t="s">
        <v>965</v>
      </c>
      <c r="J206" s="35" t="s">
        <v>1110</v>
      </c>
      <c r="K206" s="35" t="s">
        <v>888</v>
      </c>
      <c r="L206" s="35" t="s">
        <v>1093</v>
      </c>
      <c r="M206" s="35" t="s">
        <v>512</v>
      </c>
      <c r="N206" s="35" t="s">
        <v>977</v>
      </c>
      <c r="O206" s="36">
        <v>5</v>
      </c>
      <c r="P206" s="35" t="s">
        <v>37</v>
      </c>
      <c r="Q206" s="35"/>
      <c r="R206" s="35" t="s">
        <v>1646</v>
      </c>
    </row>
    <row r="207" spans="1:18" ht="24">
      <c r="A207" s="32">
        <v>1254</v>
      </c>
      <c r="B207" s="33">
        <v>46149</v>
      </c>
      <c r="C207" s="32">
        <v>2026</v>
      </c>
      <c r="D207" s="34" t="s">
        <v>1647</v>
      </c>
      <c r="E207" s="35" t="s">
        <v>1648</v>
      </c>
      <c r="F207" s="35"/>
      <c r="G207" s="34"/>
      <c r="H207" s="35"/>
      <c r="I207" s="35" t="s">
        <v>1005</v>
      </c>
      <c r="J207" s="35" t="s">
        <v>1021</v>
      </c>
      <c r="K207" s="35" t="s">
        <v>888</v>
      </c>
      <c r="L207" s="35" t="s">
        <v>1139</v>
      </c>
      <c r="M207" s="35" t="s">
        <v>519</v>
      </c>
      <c r="N207" s="35" t="s">
        <v>968</v>
      </c>
      <c r="O207" s="36">
        <v>37</v>
      </c>
      <c r="P207" s="35" t="s">
        <v>37</v>
      </c>
      <c r="Q207" s="35"/>
      <c r="R207" s="35" t="s">
        <v>1649</v>
      </c>
    </row>
    <row r="208" spans="1:18">
      <c r="A208" s="32">
        <v>1253</v>
      </c>
      <c r="B208" s="33">
        <v>46148</v>
      </c>
      <c r="C208" s="32">
        <v>2026</v>
      </c>
      <c r="D208" s="34" t="s">
        <v>1650</v>
      </c>
      <c r="E208" s="35" t="s">
        <v>1651</v>
      </c>
      <c r="F208" s="35" t="s">
        <v>920</v>
      </c>
      <c r="G208" s="34"/>
      <c r="H208" s="35" t="s">
        <v>890</v>
      </c>
      <c r="I208" s="35" t="s">
        <v>965</v>
      </c>
      <c r="J208" s="35" t="s">
        <v>1110</v>
      </c>
      <c r="K208" s="35" t="s">
        <v>888</v>
      </c>
      <c r="L208" s="35" t="s">
        <v>1139</v>
      </c>
      <c r="M208" s="35" t="s">
        <v>519</v>
      </c>
      <c r="N208" s="35" t="s">
        <v>977</v>
      </c>
      <c r="O208" s="36">
        <v>15</v>
      </c>
      <c r="P208" s="35" t="s">
        <v>37</v>
      </c>
      <c r="Q208" s="35"/>
      <c r="R208" s="35" t="s">
        <v>1652</v>
      </c>
    </row>
    <row r="209" spans="1:18" ht="24">
      <c r="A209" s="32">
        <v>1252</v>
      </c>
      <c r="B209" s="33">
        <v>46147</v>
      </c>
      <c r="C209" s="32">
        <v>2026</v>
      </c>
      <c r="D209" s="34" t="s">
        <v>1653</v>
      </c>
      <c r="E209" s="35" t="s">
        <v>1654</v>
      </c>
      <c r="F209" s="35"/>
      <c r="G209" s="34"/>
      <c r="H209" s="35"/>
      <c r="I209" s="35" t="s">
        <v>1005</v>
      </c>
      <c r="J209" s="35" t="s">
        <v>1006</v>
      </c>
      <c r="K209" s="35" t="s">
        <v>1007</v>
      </c>
      <c r="L209" s="35" t="s">
        <v>1158</v>
      </c>
      <c r="M209" s="35" t="s">
        <v>515</v>
      </c>
      <c r="N209" s="35" t="s">
        <v>968</v>
      </c>
      <c r="O209" s="36">
        <v>22</v>
      </c>
      <c r="P209" s="35" t="s">
        <v>37</v>
      </c>
      <c r="Q209" s="35"/>
      <c r="R209" s="35" t="s">
        <v>1655</v>
      </c>
    </row>
    <row r="210" spans="1:18" ht="24">
      <c r="A210" s="32">
        <v>1251</v>
      </c>
      <c r="B210" s="33">
        <v>46147</v>
      </c>
      <c r="C210" s="32">
        <v>2026</v>
      </c>
      <c r="D210" s="34" t="s">
        <v>1656</v>
      </c>
      <c r="E210" s="35" t="s">
        <v>1657</v>
      </c>
      <c r="F210" s="35"/>
      <c r="G210" s="34"/>
      <c r="H210" s="35"/>
      <c r="I210" s="35" t="s">
        <v>1005</v>
      </c>
      <c r="J210" s="35" t="s">
        <v>1006</v>
      </c>
      <c r="K210" s="35" t="s">
        <v>1007</v>
      </c>
      <c r="L210" s="35" t="s">
        <v>1139</v>
      </c>
      <c r="M210" s="35" t="s">
        <v>519</v>
      </c>
      <c r="N210" s="35" t="s">
        <v>977</v>
      </c>
      <c r="O210" s="36">
        <v>40</v>
      </c>
      <c r="P210" s="35" t="s">
        <v>37</v>
      </c>
      <c r="Q210" s="35"/>
      <c r="R210" s="35" t="s">
        <v>1658</v>
      </c>
    </row>
    <row r="211" spans="1:18" ht="24">
      <c r="A211" s="32">
        <v>1250</v>
      </c>
      <c r="B211" s="33">
        <v>46147</v>
      </c>
      <c r="C211" s="32">
        <v>2026</v>
      </c>
      <c r="D211" s="34" t="s">
        <v>1659</v>
      </c>
      <c r="E211" s="35" t="s">
        <v>1660</v>
      </c>
      <c r="F211" s="35"/>
      <c r="G211" s="34"/>
      <c r="H211" s="35"/>
      <c r="I211" s="35" t="s">
        <v>1005</v>
      </c>
      <c r="J211" s="35" t="s">
        <v>1021</v>
      </c>
      <c r="K211" s="35" t="s">
        <v>888</v>
      </c>
      <c r="L211" s="35" t="s">
        <v>976</v>
      </c>
      <c r="M211" s="35" t="s">
        <v>522</v>
      </c>
      <c r="N211" s="35" t="s">
        <v>968</v>
      </c>
      <c r="O211" s="36">
        <v>20</v>
      </c>
      <c r="P211" s="35" t="s">
        <v>37</v>
      </c>
      <c r="Q211" s="35"/>
      <c r="R211" s="35" t="s">
        <v>1661</v>
      </c>
    </row>
    <row r="212" spans="1:18" ht="24">
      <c r="A212" s="32">
        <v>1249</v>
      </c>
      <c r="B212" s="33">
        <v>46147</v>
      </c>
      <c r="C212" s="32">
        <v>2026</v>
      </c>
      <c r="D212" s="34" t="s">
        <v>1662</v>
      </c>
      <c r="E212" s="35" t="s">
        <v>1663</v>
      </c>
      <c r="F212" s="35" t="s">
        <v>882</v>
      </c>
      <c r="G212" s="34"/>
      <c r="H212" s="35" t="s">
        <v>883</v>
      </c>
      <c r="I212" s="35" t="s">
        <v>965</v>
      </c>
      <c r="J212" s="35" t="s">
        <v>1110</v>
      </c>
      <c r="K212" s="35" t="s">
        <v>888</v>
      </c>
      <c r="L212" s="35" t="s">
        <v>1158</v>
      </c>
      <c r="M212" s="35" t="s">
        <v>515</v>
      </c>
      <c r="N212" s="35" t="s">
        <v>968</v>
      </c>
      <c r="O212" s="36">
        <v>37</v>
      </c>
      <c r="P212" s="35" t="s">
        <v>37</v>
      </c>
      <c r="Q212" s="35"/>
      <c r="R212" s="35" t="s">
        <v>1664</v>
      </c>
    </row>
    <row r="213" spans="1:18" ht="24">
      <c r="A213" s="32">
        <v>1248</v>
      </c>
      <c r="B213" s="33">
        <v>46147</v>
      </c>
      <c r="C213" s="32">
        <v>2026</v>
      </c>
      <c r="D213" s="34" t="s">
        <v>1665</v>
      </c>
      <c r="E213" s="35" t="s">
        <v>1666</v>
      </c>
      <c r="F213" s="35" t="s">
        <v>878</v>
      </c>
      <c r="G213" s="34"/>
      <c r="H213" s="35" t="s">
        <v>879</v>
      </c>
      <c r="I213" s="35" t="s">
        <v>965</v>
      </c>
      <c r="J213" s="35" t="s">
        <v>1110</v>
      </c>
      <c r="K213" s="35" t="s">
        <v>888</v>
      </c>
      <c r="L213" s="35" t="s">
        <v>1139</v>
      </c>
      <c r="M213" s="35" t="s">
        <v>519</v>
      </c>
      <c r="N213" s="35" t="s">
        <v>968</v>
      </c>
      <c r="O213" s="36">
        <v>8</v>
      </c>
      <c r="P213" s="35" t="s">
        <v>37</v>
      </c>
      <c r="Q213" s="35"/>
      <c r="R213" s="35" t="s">
        <v>1667</v>
      </c>
    </row>
    <row r="214" spans="1:18" ht="24">
      <c r="A214" s="32">
        <v>1247</v>
      </c>
      <c r="B214" s="33">
        <v>46144</v>
      </c>
      <c r="C214" s="32">
        <v>2026</v>
      </c>
      <c r="D214" s="34" t="s">
        <v>1668</v>
      </c>
      <c r="E214" s="35" t="s">
        <v>1669</v>
      </c>
      <c r="F214" s="35" t="s">
        <v>922</v>
      </c>
      <c r="G214" s="34"/>
      <c r="H214" s="35" t="s">
        <v>890</v>
      </c>
      <c r="I214" s="35" t="s">
        <v>965</v>
      </c>
      <c r="J214" s="35" t="s">
        <v>1110</v>
      </c>
      <c r="K214" s="35" t="s">
        <v>888</v>
      </c>
      <c r="L214" s="35" t="s">
        <v>1139</v>
      </c>
      <c r="M214" s="35" t="s">
        <v>519</v>
      </c>
      <c r="N214" s="35" t="s">
        <v>968</v>
      </c>
      <c r="O214" s="36">
        <v>56</v>
      </c>
      <c r="P214" s="35" t="s">
        <v>37</v>
      </c>
      <c r="Q214" s="35"/>
      <c r="R214" s="35" t="s">
        <v>1670</v>
      </c>
    </row>
    <row r="215" spans="1:18" ht="24">
      <c r="A215" s="32">
        <v>1246</v>
      </c>
      <c r="B215" s="33">
        <v>46144</v>
      </c>
      <c r="C215" s="32">
        <v>2026</v>
      </c>
      <c r="D215" s="34" t="s">
        <v>1671</v>
      </c>
      <c r="E215" s="35" t="s">
        <v>1672</v>
      </c>
      <c r="F215" s="35" t="s">
        <v>892</v>
      </c>
      <c r="G215" s="34"/>
      <c r="H215" s="35" t="s">
        <v>879</v>
      </c>
      <c r="I215" s="35" t="s">
        <v>965</v>
      </c>
      <c r="J215" s="35" t="s">
        <v>1110</v>
      </c>
      <c r="K215" s="35" t="s">
        <v>888</v>
      </c>
      <c r="L215" s="35" t="s">
        <v>1139</v>
      </c>
      <c r="M215" s="35" t="s">
        <v>519</v>
      </c>
      <c r="N215" s="35" t="s">
        <v>968</v>
      </c>
      <c r="O215" s="36">
        <v>5</v>
      </c>
      <c r="P215" s="35" t="s">
        <v>37</v>
      </c>
      <c r="Q215" s="35"/>
      <c r="R215" s="35" t="s">
        <v>1673</v>
      </c>
    </row>
    <row r="216" spans="1:18" ht="24">
      <c r="A216" s="32">
        <v>1245</v>
      </c>
      <c r="B216" s="33">
        <v>46143</v>
      </c>
      <c r="C216" s="32">
        <v>2026</v>
      </c>
      <c r="D216" s="34" t="s">
        <v>1674</v>
      </c>
      <c r="E216" s="35" t="s">
        <v>1675</v>
      </c>
      <c r="F216" s="35"/>
      <c r="G216" s="34"/>
      <c r="H216" s="35"/>
      <c r="I216" s="35" t="s">
        <v>1005</v>
      </c>
      <c r="J216" s="35" t="s">
        <v>1021</v>
      </c>
      <c r="K216" s="35" t="s">
        <v>888</v>
      </c>
      <c r="L216" s="35" t="s">
        <v>976</v>
      </c>
      <c r="M216" s="35" t="s">
        <v>522</v>
      </c>
      <c r="N216" s="35" t="s">
        <v>968</v>
      </c>
      <c r="O216" s="36">
        <v>13</v>
      </c>
      <c r="P216" s="35" t="s">
        <v>37</v>
      </c>
      <c r="Q216" s="35"/>
      <c r="R216" s="35" t="s">
        <v>1676</v>
      </c>
    </row>
    <row r="217" spans="1:18" ht="24">
      <c r="A217" s="32">
        <v>1243</v>
      </c>
      <c r="B217" s="33">
        <v>46143</v>
      </c>
      <c r="C217" s="32">
        <v>2026</v>
      </c>
      <c r="D217" s="34" t="s">
        <v>1677</v>
      </c>
      <c r="E217" s="35" t="s">
        <v>1678</v>
      </c>
      <c r="F217" s="35" t="s">
        <v>887</v>
      </c>
      <c r="G217" s="34"/>
      <c r="H217" s="35" t="s">
        <v>883</v>
      </c>
      <c r="I217" s="35" t="s">
        <v>965</v>
      </c>
      <c r="J217" s="35" t="s">
        <v>1110</v>
      </c>
      <c r="K217" s="35" t="s">
        <v>888</v>
      </c>
      <c r="L217" s="35" t="s">
        <v>1008</v>
      </c>
      <c r="M217" s="35" t="s">
        <v>526</v>
      </c>
      <c r="N217" s="35" t="s">
        <v>977</v>
      </c>
      <c r="O217" s="36">
        <v>43</v>
      </c>
      <c r="P217" s="35" t="s">
        <v>37</v>
      </c>
      <c r="Q217" s="35"/>
      <c r="R217" s="35" t="s">
        <v>1679</v>
      </c>
    </row>
    <row r="218" spans="1:18">
      <c r="A218" s="32">
        <v>1241</v>
      </c>
      <c r="B218" s="33">
        <v>46140</v>
      </c>
      <c r="C218" s="32">
        <v>2026</v>
      </c>
      <c r="D218" s="34" t="s">
        <v>1680</v>
      </c>
      <c r="E218" s="35" t="s">
        <v>1681</v>
      </c>
      <c r="F218" s="35" t="s">
        <v>882</v>
      </c>
      <c r="G218" s="34"/>
      <c r="H218" s="35" t="s">
        <v>883</v>
      </c>
      <c r="I218" s="35" t="s">
        <v>965</v>
      </c>
      <c r="J218" s="35" t="s">
        <v>1110</v>
      </c>
      <c r="K218" s="35" t="s">
        <v>888</v>
      </c>
      <c r="L218" s="35" t="s">
        <v>1101</v>
      </c>
      <c r="M218" s="35" t="s">
        <v>530</v>
      </c>
      <c r="N218" s="35" t="s">
        <v>968</v>
      </c>
      <c r="O218" s="36">
        <v>25</v>
      </c>
      <c r="P218" s="35" t="s">
        <v>37</v>
      </c>
      <c r="Q218" s="35"/>
      <c r="R218" s="35" t="s">
        <v>1682</v>
      </c>
    </row>
    <row r="219" spans="1:18">
      <c r="A219" s="32">
        <v>1240</v>
      </c>
      <c r="B219" s="33">
        <v>46140</v>
      </c>
      <c r="C219" s="32">
        <v>2026</v>
      </c>
      <c r="D219" s="34" t="s">
        <v>1683</v>
      </c>
      <c r="E219" s="35" t="s">
        <v>1684</v>
      </c>
      <c r="F219" s="35"/>
      <c r="G219" s="34"/>
      <c r="H219" s="35" t="s">
        <v>883</v>
      </c>
      <c r="I219" s="35" t="s">
        <v>1134</v>
      </c>
      <c r="J219" s="35" t="s">
        <v>1135</v>
      </c>
      <c r="K219" s="35" t="s">
        <v>888</v>
      </c>
      <c r="L219" s="35" t="s">
        <v>976</v>
      </c>
      <c r="M219" s="35" t="s">
        <v>522</v>
      </c>
      <c r="N219" s="35" t="s">
        <v>977</v>
      </c>
      <c r="O219" s="36">
        <v>23</v>
      </c>
      <c r="P219" s="35" t="s">
        <v>37</v>
      </c>
      <c r="Q219" s="35"/>
      <c r="R219" s="35" t="s">
        <v>1685</v>
      </c>
    </row>
    <row r="220" spans="1:18">
      <c r="A220" s="32">
        <v>1239</v>
      </c>
      <c r="B220" s="33">
        <v>46140</v>
      </c>
      <c r="C220" s="32">
        <v>2026</v>
      </c>
      <c r="D220" s="34" t="s">
        <v>1686</v>
      </c>
      <c r="E220" s="35" t="s">
        <v>1687</v>
      </c>
      <c r="F220" s="35" t="s">
        <v>939</v>
      </c>
      <c r="G220" s="34" t="s">
        <v>889</v>
      </c>
      <c r="H220" s="35" t="s">
        <v>890</v>
      </c>
      <c r="I220" s="35" t="s">
        <v>1317</v>
      </c>
      <c r="J220" s="35" t="s">
        <v>1291</v>
      </c>
      <c r="K220" s="35" t="s">
        <v>897</v>
      </c>
      <c r="L220" s="35" t="s">
        <v>976</v>
      </c>
      <c r="M220" s="35" t="s">
        <v>522</v>
      </c>
      <c r="N220" s="35" t="s">
        <v>977</v>
      </c>
      <c r="O220" s="36">
        <v>14</v>
      </c>
      <c r="P220" s="35" t="s">
        <v>37</v>
      </c>
      <c r="Q220" s="35"/>
      <c r="R220" s="35" t="s">
        <v>1688</v>
      </c>
    </row>
    <row r="221" spans="1:18">
      <c r="A221" s="32">
        <v>1238</v>
      </c>
      <c r="B221" s="33">
        <v>46139</v>
      </c>
      <c r="C221" s="32">
        <v>2026</v>
      </c>
      <c r="D221" s="34" t="s">
        <v>1689</v>
      </c>
      <c r="E221" s="35" t="s">
        <v>1690</v>
      </c>
      <c r="F221" s="35"/>
      <c r="G221" s="34"/>
      <c r="H221" s="35"/>
      <c r="I221" s="35" t="s">
        <v>1005</v>
      </c>
      <c r="J221" s="35" t="s">
        <v>1021</v>
      </c>
      <c r="K221" s="35" t="s">
        <v>888</v>
      </c>
      <c r="L221" s="35" t="s">
        <v>1101</v>
      </c>
      <c r="M221" s="35" t="s">
        <v>530</v>
      </c>
      <c r="N221" s="35" t="s">
        <v>968</v>
      </c>
      <c r="O221" s="36">
        <v>25</v>
      </c>
      <c r="P221" s="35" t="s">
        <v>37</v>
      </c>
      <c r="Q221" s="35"/>
      <c r="R221" s="35" t="s">
        <v>1691</v>
      </c>
    </row>
    <row r="222" spans="1:18" ht="24">
      <c r="A222" s="32">
        <v>1233</v>
      </c>
      <c r="B222" s="33">
        <v>46138</v>
      </c>
      <c r="C222" s="32">
        <v>2026</v>
      </c>
      <c r="D222" s="34" t="s">
        <v>1692</v>
      </c>
      <c r="E222" s="35" t="s">
        <v>1693</v>
      </c>
      <c r="F222" s="35" t="s">
        <v>878</v>
      </c>
      <c r="G222" s="34" t="s">
        <v>894</v>
      </c>
      <c r="H222" s="35" t="s">
        <v>879</v>
      </c>
      <c r="I222" s="35" t="s">
        <v>1317</v>
      </c>
      <c r="J222" s="35" t="s">
        <v>1110</v>
      </c>
      <c r="K222" s="35" t="s">
        <v>888</v>
      </c>
      <c r="L222" s="35" t="s">
        <v>1008</v>
      </c>
      <c r="M222" s="35" t="s">
        <v>526</v>
      </c>
      <c r="N222" s="35" t="s">
        <v>968</v>
      </c>
      <c r="O222" s="36">
        <v>10</v>
      </c>
      <c r="P222" s="35" t="s">
        <v>37</v>
      </c>
      <c r="Q222" s="35"/>
      <c r="R222" s="35" t="s">
        <v>1694</v>
      </c>
    </row>
    <row r="223" spans="1:18" ht="24">
      <c r="A223" s="32">
        <v>1222</v>
      </c>
      <c r="B223" s="33">
        <v>46137</v>
      </c>
      <c r="C223" s="32">
        <v>2026</v>
      </c>
      <c r="D223" s="34" t="s">
        <v>1695</v>
      </c>
      <c r="E223" s="35" t="s">
        <v>1696</v>
      </c>
      <c r="F223" s="35"/>
      <c r="G223" s="34"/>
      <c r="H223" s="35"/>
      <c r="I223" s="35" t="s">
        <v>1038</v>
      </c>
      <c r="J223" s="35" t="s">
        <v>1006</v>
      </c>
      <c r="K223" s="35" t="s">
        <v>1007</v>
      </c>
      <c r="L223" s="35" t="s">
        <v>1139</v>
      </c>
      <c r="M223" s="35" t="s">
        <v>519</v>
      </c>
      <c r="N223" s="35" t="s">
        <v>977</v>
      </c>
      <c r="O223" s="36">
        <v>13</v>
      </c>
      <c r="P223" s="35" t="s">
        <v>37</v>
      </c>
      <c r="Q223" s="35"/>
      <c r="R223" s="35" t="s">
        <v>1697</v>
      </c>
    </row>
    <row r="224" spans="1:18">
      <c r="A224" s="32">
        <v>1221</v>
      </c>
      <c r="B224" s="33">
        <v>46137</v>
      </c>
      <c r="C224" s="32">
        <v>2026</v>
      </c>
      <c r="D224" s="34" t="s">
        <v>1698</v>
      </c>
      <c r="E224" s="35" t="s">
        <v>1699</v>
      </c>
      <c r="F224" s="35"/>
      <c r="G224" s="34"/>
      <c r="H224" s="35"/>
      <c r="I224" s="35" t="s">
        <v>1038</v>
      </c>
      <c r="J224" s="35" t="s">
        <v>1006</v>
      </c>
      <c r="K224" s="35" t="s">
        <v>1007</v>
      </c>
      <c r="L224" s="35" t="s">
        <v>1139</v>
      </c>
      <c r="M224" s="35" t="s">
        <v>519</v>
      </c>
      <c r="N224" s="35" t="s">
        <v>977</v>
      </c>
      <c r="O224" s="36">
        <v>18</v>
      </c>
      <c r="P224" s="35" t="s">
        <v>37</v>
      </c>
      <c r="Q224" s="35"/>
      <c r="R224" s="35" t="s">
        <v>1700</v>
      </c>
    </row>
    <row r="225" spans="1:18">
      <c r="A225" s="32">
        <v>1220</v>
      </c>
      <c r="B225" s="33">
        <v>46137</v>
      </c>
      <c r="C225" s="32">
        <v>2026</v>
      </c>
      <c r="D225" s="34" t="s">
        <v>1701</v>
      </c>
      <c r="E225" s="35" t="s">
        <v>1702</v>
      </c>
      <c r="F225" s="35"/>
      <c r="G225" s="34"/>
      <c r="H225" s="35"/>
      <c r="I225" s="35" t="s">
        <v>1038</v>
      </c>
      <c r="J225" s="35" t="s">
        <v>1006</v>
      </c>
      <c r="K225" s="35" t="s">
        <v>1007</v>
      </c>
      <c r="L225" s="35" t="s">
        <v>1101</v>
      </c>
      <c r="M225" s="35" t="s">
        <v>530</v>
      </c>
      <c r="N225" s="35" t="s">
        <v>977</v>
      </c>
      <c r="O225" s="36">
        <v>42</v>
      </c>
      <c r="P225" s="35" t="s">
        <v>37</v>
      </c>
      <c r="Q225" s="35"/>
      <c r="R225" s="35" t="s">
        <v>1703</v>
      </c>
    </row>
    <row r="226" spans="1:18" ht="24">
      <c r="A226" s="32">
        <v>1219</v>
      </c>
      <c r="B226" s="33">
        <v>46137</v>
      </c>
      <c r="C226" s="32">
        <v>2026</v>
      </c>
      <c r="D226" s="34" t="s">
        <v>1704</v>
      </c>
      <c r="E226" s="35" t="s">
        <v>1705</v>
      </c>
      <c r="F226" s="35"/>
      <c r="G226" s="34"/>
      <c r="H226" s="35"/>
      <c r="I226" s="35" t="s">
        <v>1005</v>
      </c>
      <c r="J226" s="35" t="s">
        <v>1021</v>
      </c>
      <c r="K226" s="35" t="s">
        <v>888</v>
      </c>
      <c r="L226" s="35" t="s">
        <v>1101</v>
      </c>
      <c r="M226" s="35" t="s">
        <v>530</v>
      </c>
      <c r="N226" s="35" t="s">
        <v>968</v>
      </c>
      <c r="O226" s="36">
        <v>31</v>
      </c>
      <c r="P226" s="35" t="s">
        <v>37</v>
      </c>
      <c r="Q226" s="35"/>
      <c r="R226" s="35" t="s">
        <v>1706</v>
      </c>
    </row>
    <row r="227" spans="1:18" ht="24">
      <c r="A227" s="32">
        <v>1218</v>
      </c>
      <c r="B227" s="33">
        <v>46136</v>
      </c>
      <c r="C227" s="32">
        <v>2026</v>
      </c>
      <c r="D227" s="34" t="s">
        <v>1707</v>
      </c>
      <c r="E227" s="35" t="s">
        <v>1708</v>
      </c>
      <c r="F227" s="35" t="s">
        <v>885</v>
      </c>
      <c r="G227" s="34" t="s">
        <v>923</v>
      </c>
      <c r="H227" s="35" t="s">
        <v>886</v>
      </c>
      <c r="I227" s="35" t="s">
        <v>1317</v>
      </c>
      <c r="J227" s="35" t="s">
        <v>1110</v>
      </c>
      <c r="K227" s="35" t="s">
        <v>888</v>
      </c>
      <c r="L227" s="35" t="s">
        <v>1101</v>
      </c>
      <c r="M227" s="35" t="s">
        <v>530</v>
      </c>
      <c r="N227" s="35" t="s">
        <v>977</v>
      </c>
      <c r="O227" s="36">
        <v>28</v>
      </c>
      <c r="P227" s="35" t="s">
        <v>37</v>
      </c>
      <c r="Q227" s="35"/>
      <c r="R227" s="35" t="s">
        <v>1709</v>
      </c>
    </row>
    <row r="228" spans="1:18" ht="24">
      <c r="A228" s="32">
        <v>1214</v>
      </c>
      <c r="B228" s="33">
        <v>46133</v>
      </c>
      <c r="C228" s="32">
        <v>2026</v>
      </c>
      <c r="D228" s="34" t="s">
        <v>1710</v>
      </c>
      <c r="E228" s="35" t="s">
        <v>1711</v>
      </c>
      <c r="F228" s="35"/>
      <c r="G228" s="34"/>
      <c r="H228" s="35" t="s">
        <v>886</v>
      </c>
      <c r="I228" s="35" t="s">
        <v>1134</v>
      </c>
      <c r="J228" s="35" t="s">
        <v>1135</v>
      </c>
      <c r="K228" s="35" t="s">
        <v>888</v>
      </c>
      <c r="L228" s="35" t="s">
        <v>1342</v>
      </c>
      <c r="M228" s="35" t="s">
        <v>515</v>
      </c>
      <c r="N228" s="35" t="s">
        <v>977</v>
      </c>
      <c r="O228" s="36">
        <v>35</v>
      </c>
      <c r="P228" s="35" t="s">
        <v>37</v>
      </c>
      <c r="Q228" s="35"/>
      <c r="R228" s="35" t="s">
        <v>1712</v>
      </c>
    </row>
    <row r="229" spans="1:18">
      <c r="A229" s="32">
        <v>1213</v>
      </c>
      <c r="B229" s="33">
        <v>46133</v>
      </c>
      <c r="C229" s="32">
        <v>2026</v>
      </c>
      <c r="D229" s="34" t="s">
        <v>1713</v>
      </c>
      <c r="E229" s="35" t="s">
        <v>1714</v>
      </c>
      <c r="F229" s="35" t="s">
        <v>884</v>
      </c>
      <c r="G229" s="34"/>
      <c r="H229" s="35" t="s">
        <v>883</v>
      </c>
      <c r="I229" s="35" t="s">
        <v>965</v>
      </c>
      <c r="J229" s="35" t="s">
        <v>1110</v>
      </c>
      <c r="K229" s="35" t="s">
        <v>888</v>
      </c>
      <c r="L229" s="35" t="s">
        <v>1342</v>
      </c>
      <c r="M229" s="35" t="s">
        <v>515</v>
      </c>
      <c r="N229" s="35" t="s">
        <v>968</v>
      </c>
      <c r="O229" s="36">
        <v>33</v>
      </c>
      <c r="P229" s="35" t="s">
        <v>37</v>
      </c>
      <c r="Q229" s="35"/>
      <c r="R229" s="35" t="s">
        <v>1715</v>
      </c>
    </row>
    <row r="230" spans="1:18">
      <c r="A230" s="32">
        <v>1212</v>
      </c>
      <c r="B230" s="33">
        <v>46132</v>
      </c>
      <c r="C230" s="32">
        <v>2026</v>
      </c>
      <c r="D230" s="34" t="s">
        <v>1716</v>
      </c>
      <c r="E230" s="35" t="s">
        <v>1717</v>
      </c>
      <c r="F230" s="35" t="s">
        <v>885</v>
      </c>
      <c r="G230" s="34"/>
      <c r="H230" s="35" t="s">
        <v>886</v>
      </c>
      <c r="I230" s="35" t="s">
        <v>965</v>
      </c>
      <c r="J230" s="35" t="s">
        <v>1110</v>
      </c>
      <c r="K230" s="35" t="s">
        <v>888</v>
      </c>
      <c r="L230" s="35" t="s">
        <v>1342</v>
      </c>
      <c r="M230" s="35" t="s">
        <v>515</v>
      </c>
      <c r="N230" s="35" t="s">
        <v>968</v>
      </c>
      <c r="O230" s="36">
        <v>42</v>
      </c>
      <c r="P230" s="35" t="s">
        <v>37</v>
      </c>
      <c r="Q230" s="35"/>
      <c r="R230" s="35" t="s">
        <v>1718</v>
      </c>
    </row>
    <row r="231" spans="1:18">
      <c r="A231" s="32">
        <v>1206</v>
      </c>
      <c r="B231" s="33">
        <v>46128</v>
      </c>
      <c r="C231" s="32">
        <v>2026</v>
      </c>
      <c r="D231" s="34" t="s">
        <v>1719</v>
      </c>
      <c r="E231" s="35" t="s">
        <v>1720</v>
      </c>
      <c r="F231" s="35"/>
      <c r="G231" s="34"/>
      <c r="H231" s="35"/>
      <c r="I231" s="35" t="s">
        <v>1005</v>
      </c>
      <c r="J231" s="35" t="s">
        <v>1021</v>
      </c>
      <c r="K231" s="35" t="s">
        <v>888</v>
      </c>
      <c r="L231" s="35" t="s">
        <v>1139</v>
      </c>
      <c r="M231" s="35" t="s">
        <v>519</v>
      </c>
      <c r="N231" s="35" t="s">
        <v>968</v>
      </c>
      <c r="O231" s="36">
        <v>25</v>
      </c>
      <c r="P231" s="35" t="s">
        <v>37</v>
      </c>
      <c r="Q231" s="35"/>
      <c r="R231" s="35" t="s">
        <v>1721</v>
      </c>
    </row>
    <row r="232" spans="1:18">
      <c r="A232" s="32">
        <v>1202</v>
      </c>
      <c r="B232" s="33">
        <v>46126</v>
      </c>
      <c r="C232" s="32">
        <v>2026</v>
      </c>
      <c r="D232" s="34" t="s">
        <v>1722</v>
      </c>
      <c r="E232" s="35" t="s">
        <v>1723</v>
      </c>
      <c r="F232" s="35"/>
      <c r="G232" s="34"/>
      <c r="H232" s="35"/>
      <c r="I232" s="35" t="s">
        <v>1005</v>
      </c>
      <c r="J232" s="35" t="s">
        <v>1021</v>
      </c>
      <c r="K232" s="35" t="s">
        <v>888</v>
      </c>
      <c r="L232" s="35" t="s">
        <v>1139</v>
      </c>
      <c r="M232" s="35" t="s">
        <v>519</v>
      </c>
      <c r="N232" s="35" t="s">
        <v>968</v>
      </c>
      <c r="O232" s="36">
        <v>20</v>
      </c>
      <c r="P232" s="35" t="s">
        <v>37</v>
      </c>
      <c r="Q232" s="35"/>
      <c r="R232" s="35" t="s">
        <v>1724</v>
      </c>
    </row>
    <row r="233" spans="1:18">
      <c r="A233" s="32">
        <v>1201</v>
      </c>
      <c r="B233" s="33">
        <v>46126</v>
      </c>
      <c r="C233" s="32">
        <v>2026</v>
      </c>
      <c r="D233" s="34" t="s">
        <v>1725</v>
      </c>
      <c r="E233" s="35" t="s">
        <v>1726</v>
      </c>
      <c r="F233" s="35" t="s">
        <v>885</v>
      </c>
      <c r="G233" s="34"/>
      <c r="H233" s="35" t="s">
        <v>886</v>
      </c>
      <c r="I233" s="35" t="s">
        <v>965</v>
      </c>
      <c r="J233" s="35" t="s">
        <v>1110</v>
      </c>
      <c r="K233" s="35" t="s">
        <v>888</v>
      </c>
      <c r="L233" s="35" t="s">
        <v>1139</v>
      </c>
      <c r="M233" s="35" t="s">
        <v>519</v>
      </c>
      <c r="N233" s="35" t="s">
        <v>977</v>
      </c>
      <c r="O233" s="36">
        <v>15</v>
      </c>
      <c r="P233" s="35" t="s">
        <v>37</v>
      </c>
      <c r="Q233" s="35"/>
      <c r="R233" s="35" t="s">
        <v>1727</v>
      </c>
    </row>
    <row r="234" spans="1:18" ht="24">
      <c r="A234" s="32">
        <v>1200</v>
      </c>
      <c r="B234" s="33">
        <v>46125</v>
      </c>
      <c r="C234" s="32">
        <v>2026</v>
      </c>
      <c r="D234" s="34" t="s">
        <v>1728</v>
      </c>
      <c r="E234" s="35" t="s">
        <v>1729</v>
      </c>
      <c r="F234" s="35" t="s">
        <v>894</v>
      </c>
      <c r="G234" s="34"/>
      <c r="H234" s="35" t="s">
        <v>895</v>
      </c>
      <c r="I234" s="35" t="s">
        <v>965</v>
      </c>
      <c r="J234" s="35" t="s">
        <v>1110</v>
      </c>
      <c r="K234" s="35" t="s">
        <v>888</v>
      </c>
      <c r="L234" s="35" t="s">
        <v>1158</v>
      </c>
      <c r="M234" s="35" t="s">
        <v>515</v>
      </c>
      <c r="N234" s="35" t="s">
        <v>968</v>
      </c>
      <c r="O234" s="36">
        <v>28</v>
      </c>
      <c r="P234" s="35" t="s">
        <v>37</v>
      </c>
      <c r="Q234" s="35"/>
      <c r="R234" s="35" t="s">
        <v>1730</v>
      </c>
    </row>
    <row r="235" spans="1:18">
      <c r="A235" s="32">
        <v>1196</v>
      </c>
      <c r="B235" s="33">
        <v>46122</v>
      </c>
      <c r="C235" s="32">
        <v>2026</v>
      </c>
      <c r="D235" s="34" t="s">
        <v>1731</v>
      </c>
      <c r="E235" s="35" t="s">
        <v>1732</v>
      </c>
      <c r="F235" s="35" t="s">
        <v>914</v>
      </c>
      <c r="G235" s="34"/>
      <c r="H235" s="35" t="s">
        <v>886</v>
      </c>
      <c r="I235" s="35" t="s">
        <v>965</v>
      </c>
      <c r="J235" s="35" t="s">
        <v>1123</v>
      </c>
      <c r="K235" s="35" t="s">
        <v>897</v>
      </c>
      <c r="L235" s="35" t="s">
        <v>976</v>
      </c>
      <c r="M235" s="35" t="s">
        <v>522</v>
      </c>
      <c r="N235" s="35" t="s">
        <v>968</v>
      </c>
      <c r="O235" s="36">
        <v>27</v>
      </c>
      <c r="P235" s="35" t="s">
        <v>37</v>
      </c>
      <c r="Q235" s="35"/>
      <c r="R235" s="35" t="s">
        <v>1733</v>
      </c>
    </row>
    <row r="236" spans="1:18" ht="24">
      <c r="A236" s="32">
        <v>1195</v>
      </c>
      <c r="B236" s="33">
        <v>46122</v>
      </c>
      <c r="C236" s="32">
        <v>2026</v>
      </c>
      <c r="D236" s="34" t="s">
        <v>1734</v>
      </c>
      <c r="E236" s="35" t="s">
        <v>1735</v>
      </c>
      <c r="F236" s="35"/>
      <c r="G236" s="34"/>
      <c r="H236" s="35" t="s">
        <v>883</v>
      </c>
      <c r="I236" s="35" t="s">
        <v>1134</v>
      </c>
      <c r="J236" s="35" t="s">
        <v>1135</v>
      </c>
      <c r="K236" s="35" t="s">
        <v>888</v>
      </c>
      <c r="L236" s="35" t="s">
        <v>1139</v>
      </c>
      <c r="M236" s="35" t="s">
        <v>519</v>
      </c>
      <c r="N236" s="35" t="s">
        <v>977</v>
      </c>
      <c r="O236" s="36">
        <v>16</v>
      </c>
      <c r="P236" s="35" t="s">
        <v>37</v>
      </c>
      <c r="Q236" s="35"/>
      <c r="R236" s="35" t="s">
        <v>1736</v>
      </c>
    </row>
    <row r="237" spans="1:18">
      <c r="A237" s="32">
        <v>1194</v>
      </c>
      <c r="B237" s="33">
        <v>46120</v>
      </c>
      <c r="C237" s="32">
        <v>2026</v>
      </c>
      <c r="D237" s="34" t="s">
        <v>1737</v>
      </c>
      <c r="E237" s="35" t="s">
        <v>1738</v>
      </c>
      <c r="F237" s="35" t="s">
        <v>919</v>
      </c>
      <c r="G237" s="34"/>
      <c r="H237" s="35" t="s">
        <v>883</v>
      </c>
      <c r="I237" s="35" t="s">
        <v>965</v>
      </c>
      <c r="J237" s="35" t="s">
        <v>1110</v>
      </c>
      <c r="K237" s="35" t="s">
        <v>888</v>
      </c>
      <c r="L237" s="35" t="s">
        <v>1008</v>
      </c>
      <c r="M237" s="35" t="s">
        <v>526</v>
      </c>
      <c r="N237" s="35" t="s">
        <v>968</v>
      </c>
      <c r="O237" s="36">
        <v>21</v>
      </c>
      <c r="P237" s="35" t="s">
        <v>37</v>
      </c>
      <c r="Q237" s="35"/>
      <c r="R237" s="35" t="s">
        <v>1739</v>
      </c>
    </row>
    <row r="238" spans="1:18" ht="24">
      <c r="A238" s="32">
        <v>1193</v>
      </c>
      <c r="B238" s="33">
        <v>46115</v>
      </c>
      <c r="C238" s="32">
        <v>2026</v>
      </c>
      <c r="D238" s="34" t="s">
        <v>1740</v>
      </c>
      <c r="E238" s="35" t="s">
        <v>1741</v>
      </c>
      <c r="F238" s="35" t="s">
        <v>889</v>
      </c>
      <c r="G238" s="34"/>
      <c r="H238" s="35" t="s">
        <v>890</v>
      </c>
      <c r="I238" s="35" t="s">
        <v>965</v>
      </c>
      <c r="J238" s="35" t="s">
        <v>1110</v>
      </c>
      <c r="K238" s="35" t="s">
        <v>888</v>
      </c>
      <c r="L238" s="35" t="s">
        <v>1158</v>
      </c>
      <c r="M238" s="35" t="s">
        <v>515</v>
      </c>
      <c r="N238" s="35" t="s">
        <v>977</v>
      </c>
      <c r="O238" s="36">
        <v>12</v>
      </c>
      <c r="P238" s="35" t="s">
        <v>37</v>
      </c>
      <c r="Q238" s="35"/>
      <c r="R238" s="35" t="s">
        <v>1742</v>
      </c>
    </row>
    <row r="239" spans="1:18">
      <c r="A239" s="32">
        <v>1192</v>
      </c>
      <c r="B239" s="33">
        <v>46111</v>
      </c>
      <c r="C239" s="32">
        <v>2026</v>
      </c>
      <c r="D239" s="34" t="s">
        <v>1743</v>
      </c>
      <c r="E239" s="35" t="s">
        <v>1744</v>
      </c>
      <c r="F239" s="35" t="s">
        <v>894</v>
      </c>
      <c r="G239" s="34"/>
      <c r="H239" s="35" t="s">
        <v>895</v>
      </c>
      <c r="I239" s="35" t="s">
        <v>965</v>
      </c>
      <c r="J239" s="35" t="s">
        <v>1123</v>
      </c>
      <c r="K239" s="35" t="s">
        <v>897</v>
      </c>
      <c r="L239" s="35" t="s">
        <v>976</v>
      </c>
      <c r="M239" s="35" t="s">
        <v>522</v>
      </c>
      <c r="N239" s="35" t="s">
        <v>968</v>
      </c>
      <c r="O239" s="36">
        <v>13</v>
      </c>
      <c r="P239" s="35" t="s">
        <v>37</v>
      </c>
      <c r="Q239" s="35"/>
      <c r="R239" s="35" t="s">
        <v>1745</v>
      </c>
    </row>
    <row r="240" spans="1:18">
      <c r="A240" s="32">
        <v>1191</v>
      </c>
      <c r="B240" s="33">
        <v>46108</v>
      </c>
      <c r="C240" s="32">
        <v>2026</v>
      </c>
      <c r="D240" s="34" t="s">
        <v>1746</v>
      </c>
      <c r="E240" s="35" t="s">
        <v>1747</v>
      </c>
      <c r="F240" s="35" t="s">
        <v>913</v>
      </c>
      <c r="G240" s="34"/>
      <c r="H240" s="35" t="s">
        <v>895</v>
      </c>
      <c r="I240" s="35" t="s">
        <v>965</v>
      </c>
      <c r="J240" s="35" t="s">
        <v>1110</v>
      </c>
      <c r="K240" s="35" t="s">
        <v>888</v>
      </c>
      <c r="L240" s="35" t="s">
        <v>976</v>
      </c>
      <c r="M240" s="35" t="s">
        <v>522</v>
      </c>
      <c r="N240" s="35" t="s">
        <v>977</v>
      </c>
      <c r="O240" s="36">
        <v>12</v>
      </c>
      <c r="P240" s="35" t="s">
        <v>37</v>
      </c>
      <c r="Q240" s="35"/>
      <c r="R240" s="35" t="s">
        <v>1748</v>
      </c>
    </row>
    <row r="241" spans="1:18">
      <c r="A241" s="32">
        <v>1190</v>
      </c>
      <c r="B241" s="33">
        <v>46108</v>
      </c>
      <c r="C241" s="32">
        <v>2026</v>
      </c>
      <c r="D241" s="34" t="s">
        <v>1749</v>
      </c>
      <c r="E241" s="35" t="s">
        <v>1750</v>
      </c>
      <c r="F241" s="35"/>
      <c r="G241" s="34"/>
      <c r="H241" s="35"/>
      <c r="I241" s="35" t="s">
        <v>1005</v>
      </c>
      <c r="J241" s="35" t="s">
        <v>1021</v>
      </c>
      <c r="K241" s="35" t="s">
        <v>888</v>
      </c>
      <c r="L241" s="35" t="s">
        <v>976</v>
      </c>
      <c r="M241" s="35" t="s">
        <v>522</v>
      </c>
      <c r="N241" s="35" t="s">
        <v>977</v>
      </c>
      <c r="O241" s="36">
        <v>14</v>
      </c>
      <c r="P241" s="35" t="s">
        <v>37</v>
      </c>
      <c r="Q241" s="35"/>
      <c r="R241" s="35" t="s">
        <v>1751</v>
      </c>
    </row>
    <row r="242" spans="1:18">
      <c r="A242" s="32">
        <v>1189</v>
      </c>
      <c r="B242" s="33">
        <v>46105</v>
      </c>
      <c r="C242" s="32">
        <v>2026</v>
      </c>
      <c r="D242" s="34" t="s">
        <v>1752</v>
      </c>
      <c r="E242" s="35" t="s">
        <v>1753</v>
      </c>
      <c r="F242" s="35"/>
      <c r="G242" s="34"/>
      <c r="H242" s="35" t="s">
        <v>890</v>
      </c>
      <c r="I242" s="35" t="s">
        <v>1134</v>
      </c>
      <c r="J242" s="35" t="s">
        <v>1021</v>
      </c>
      <c r="K242" s="35" t="s">
        <v>888</v>
      </c>
      <c r="L242" s="35" t="s">
        <v>1158</v>
      </c>
      <c r="M242" s="35" t="s">
        <v>515</v>
      </c>
      <c r="N242" s="35" t="s">
        <v>968</v>
      </c>
      <c r="O242" s="36">
        <v>20</v>
      </c>
      <c r="P242" s="35" t="s">
        <v>37</v>
      </c>
      <c r="Q242" s="35"/>
      <c r="R242" s="35" t="s">
        <v>1754</v>
      </c>
    </row>
    <row r="243" spans="1:18" ht="24">
      <c r="A243" s="32">
        <v>1188</v>
      </c>
      <c r="B243" s="33">
        <v>46102</v>
      </c>
      <c r="C243" s="32">
        <v>2026</v>
      </c>
      <c r="D243" s="34" t="s">
        <v>1755</v>
      </c>
      <c r="E243" s="35" t="s">
        <v>1756</v>
      </c>
      <c r="F243" s="35" t="s">
        <v>889</v>
      </c>
      <c r="G243" s="34"/>
      <c r="H243" s="35" t="s">
        <v>890</v>
      </c>
      <c r="I243" s="35" t="s">
        <v>965</v>
      </c>
      <c r="J243" s="35" t="s">
        <v>1110</v>
      </c>
      <c r="K243" s="35" t="s">
        <v>888</v>
      </c>
      <c r="L243" s="35" t="s">
        <v>1158</v>
      </c>
      <c r="M243" s="35" t="s">
        <v>515</v>
      </c>
      <c r="N243" s="35" t="s">
        <v>977</v>
      </c>
      <c r="O243" s="36">
        <v>21</v>
      </c>
      <c r="P243" s="35" t="s">
        <v>37</v>
      </c>
      <c r="Q243" s="35"/>
      <c r="R243" s="35" t="s">
        <v>1757</v>
      </c>
    </row>
    <row r="244" spans="1:18">
      <c r="A244" s="32">
        <v>1187</v>
      </c>
      <c r="B244" s="33">
        <v>46102</v>
      </c>
      <c r="C244" s="32">
        <v>2026</v>
      </c>
      <c r="D244" s="34" t="s">
        <v>1758</v>
      </c>
      <c r="E244" s="35" t="s">
        <v>1759</v>
      </c>
      <c r="F244" s="35" t="s">
        <v>919</v>
      </c>
      <c r="G244" s="34"/>
      <c r="H244" s="35" t="s">
        <v>883</v>
      </c>
      <c r="I244" s="35" t="s">
        <v>965</v>
      </c>
      <c r="J244" s="35" t="s">
        <v>1110</v>
      </c>
      <c r="K244" s="35" t="s">
        <v>888</v>
      </c>
      <c r="L244" s="35" t="s">
        <v>1139</v>
      </c>
      <c r="M244" s="35" t="s">
        <v>519</v>
      </c>
      <c r="N244" s="35" t="s">
        <v>968</v>
      </c>
      <c r="O244" s="36">
        <v>6</v>
      </c>
      <c r="P244" s="35" t="s">
        <v>37</v>
      </c>
      <c r="Q244" s="35"/>
      <c r="R244" s="35" t="s">
        <v>1760</v>
      </c>
    </row>
    <row r="245" spans="1:18" ht="24">
      <c r="A245" s="32">
        <v>1186</v>
      </c>
      <c r="B245" s="33">
        <v>46088</v>
      </c>
      <c r="C245" s="32">
        <v>2026</v>
      </c>
      <c r="D245" s="34" t="s">
        <v>1761</v>
      </c>
      <c r="E245" s="35" t="s">
        <v>1762</v>
      </c>
      <c r="F245" s="35"/>
      <c r="G245" s="34"/>
      <c r="H245" s="35"/>
      <c r="I245" s="35" t="s">
        <v>1005</v>
      </c>
      <c r="J245" s="35" t="s">
        <v>1021</v>
      </c>
      <c r="K245" s="35" t="s">
        <v>888</v>
      </c>
      <c r="L245" s="35" t="s">
        <v>1408</v>
      </c>
      <c r="M245" s="35" t="s">
        <v>515</v>
      </c>
      <c r="N245" s="35" t="s">
        <v>977</v>
      </c>
      <c r="O245" s="36">
        <v>32</v>
      </c>
      <c r="P245" s="35" t="s">
        <v>37</v>
      </c>
      <c r="Q245" s="35"/>
      <c r="R245" s="35" t="s">
        <v>1763</v>
      </c>
    </row>
    <row r="246" spans="1:18">
      <c r="A246" s="32">
        <v>1185</v>
      </c>
      <c r="B246" s="33">
        <v>46088</v>
      </c>
      <c r="C246" s="32">
        <v>2026</v>
      </c>
      <c r="D246" s="34" t="s">
        <v>1764</v>
      </c>
      <c r="E246" s="35" t="s">
        <v>1765</v>
      </c>
      <c r="F246" s="35" t="s">
        <v>889</v>
      </c>
      <c r="G246" s="34"/>
      <c r="H246" s="35" t="s">
        <v>890</v>
      </c>
      <c r="I246" s="35" t="s">
        <v>965</v>
      </c>
      <c r="J246" s="35" t="s">
        <v>1123</v>
      </c>
      <c r="K246" s="35" t="s">
        <v>897</v>
      </c>
      <c r="L246" s="35" t="s">
        <v>1139</v>
      </c>
      <c r="M246" s="35" t="s">
        <v>519</v>
      </c>
      <c r="N246" s="35" t="s">
        <v>977</v>
      </c>
      <c r="O246" s="36">
        <v>21</v>
      </c>
      <c r="P246" s="35" t="s">
        <v>37</v>
      </c>
      <c r="Q246" s="35"/>
      <c r="R246" s="35" t="s">
        <v>1766</v>
      </c>
    </row>
    <row r="247" spans="1:18" ht="24">
      <c r="A247" s="32">
        <v>1182</v>
      </c>
      <c r="B247" s="33">
        <v>46088</v>
      </c>
      <c r="C247" s="32">
        <v>2026</v>
      </c>
      <c r="D247" s="34" t="s">
        <v>1767</v>
      </c>
      <c r="E247" s="35" t="s">
        <v>1768</v>
      </c>
      <c r="F247" s="35"/>
      <c r="G247" s="34"/>
      <c r="H247" s="35"/>
      <c r="I247" s="35" t="s">
        <v>1038</v>
      </c>
      <c r="J247" s="35" t="s">
        <v>1006</v>
      </c>
      <c r="K247" s="35" t="s">
        <v>1007</v>
      </c>
      <c r="L247" s="35" t="s">
        <v>1101</v>
      </c>
      <c r="M247" s="35" t="s">
        <v>530</v>
      </c>
      <c r="N247" s="35" t="s">
        <v>977</v>
      </c>
      <c r="O247" s="36">
        <v>17</v>
      </c>
      <c r="P247" s="35" t="s">
        <v>37</v>
      </c>
      <c r="Q247" s="35"/>
      <c r="R247" s="35" t="s">
        <v>1769</v>
      </c>
    </row>
    <row r="248" spans="1:18">
      <c r="A248" s="32">
        <v>1181</v>
      </c>
      <c r="B248" s="33">
        <v>46083</v>
      </c>
      <c r="C248" s="32">
        <v>2026</v>
      </c>
      <c r="D248" s="34" t="s">
        <v>1770</v>
      </c>
      <c r="E248" s="35" t="s">
        <v>1771</v>
      </c>
      <c r="F248" s="35"/>
      <c r="G248" s="34"/>
      <c r="H248" s="35"/>
      <c r="I248" s="35" t="s">
        <v>1038</v>
      </c>
      <c r="J248" s="35" t="s">
        <v>1006</v>
      </c>
      <c r="K248" s="35" t="s">
        <v>1007</v>
      </c>
      <c r="L248" s="35" t="s">
        <v>1408</v>
      </c>
      <c r="M248" s="35" t="s">
        <v>515</v>
      </c>
      <c r="N248" s="35" t="s">
        <v>977</v>
      </c>
      <c r="O248" s="36">
        <v>25</v>
      </c>
      <c r="P248" s="35" t="s">
        <v>37</v>
      </c>
      <c r="Q248" s="35"/>
      <c r="R248" s="35" t="s">
        <v>1772</v>
      </c>
    </row>
    <row r="249" spans="1:18" ht="24">
      <c r="A249" s="32">
        <v>1180</v>
      </c>
      <c r="B249" s="33">
        <v>46083</v>
      </c>
      <c r="C249" s="32">
        <v>2026</v>
      </c>
      <c r="D249" s="34" t="s">
        <v>1773</v>
      </c>
      <c r="E249" s="35" t="s">
        <v>1774</v>
      </c>
      <c r="F249" s="35"/>
      <c r="G249" s="34"/>
      <c r="H249" s="35"/>
      <c r="I249" s="35" t="s">
        <v>1038</v>
      </c>
      <c r="J249" s="35" t="s">
        <v>1006</v>
      </c>
      <c r="K249" s="35" t="s">
        <v>1007</v>
      </c>
      <c r="L249" s="35" t="s">
        <v>1101</v>
      </c>
      <c r="M249" s="35" t="s">
        <v>530</v>
      </c>
      <c r="N249" s="35" t="s">
        <v>977</v>
      </c>
      <c r="O249" s="36">
        <v>23</v>
      </c>
      <c r="P249" s="35" t="s">
        <v>37</v>
      </c>
      <c r="Q249" s="35"/>
      <c r="R249" s="35" t="s">
        <v>1775</v>
      </c>
    </row>
    <row r="250" spans="1:18" ht="24">
      <c r="A250" s="32">
        <v>1178</v>
      </c>
      <c r="B250" s="33">
        <v>46078</v>
      </c>
      <c r="C250" s="32">
        <v>2026</v>
      </c>
      <c r="D250" s="34" t="s">
        <v>1776</v>
      </c>
      <c r="E250" s="35" t="s">
        <v>1777</v>
      </c>
      <c r="F250" s="35"/>
      <c r="G250" s="34"/>
      <c r="H250" s="35"/>
      <c r="I250" s="35" t="s">
        <v>1005</v>
      </c>
      <c r="J250" s="35" t="s">
        <v>1021</v>
      </c>
      <c r="K250" s="35" t="s">
        <v>888</v>
      </c>
      <c r="L250" s="35" t="s">
        <v>976</v>
      </c>
      <c r="M250" s="35" t="s">
        <v>522</v>
      </c>
      <c r="N250" s="35" t="s">
        <v>977</v>
      </c>
      <c r="O250" s="36">
        <v>25</v>
      </c>
      <c r="P250" s="35" t="s">
        <v>37</v>
      </c>
      <c r="Q250" s="35"/>
      <c r="R250" s="35" t="s">
        <v>1778</v>
      </c>
    </row>
    <row r="251" spans="1:18">
      <c r="A251" s="32">
        <v>1177</v>
      </c>
      <c r="B251" s="33">
        <v>46076</v>
      </c>
      <c r="C251" s="32">
        <v>2026</v>
      </c>
      <c r="D251" s="34" t="s">
        <v>1779</v>
      </c>
      <c r="E251" s="35" t="s">
        <v>1780</v>
      </c>
      <c r="F251" s="35" t="s">
        <v>939</v>
      </c>
      <c r="G251" s="34" t="s">
        <v>889</v>
      </c>
      <c r="H251" s="35" t="s">
        <v>890</v>
      </c>
      <c r="I251" s="35" t="s">
        <v>1317</v>
      </c>
      <c r="J251" s="35" t="s">
        <v>1123</v>
      </c>
      <c r="K251" s="35" t="s">
        <v>897</v>
      </c>
      <c r="L251" s="35" t="s">
        <v>1158</v>
      </c>
      <c r="M251" s="35" t="s">
        <v>515</v>
      </c>
      <c r="N251" s="35" t="s">
        <v>968</v>
      </c>
      <c r="O251" s="36">
        <v>27</v>
      </c>
      <c r="P251" s="35" t="s">
        <v>37</v>
      </c>
      <c r="Q251" s="35"/>
      <c r="R251" s="35" t="s">
        <v>1781</v>
      </c>
    </row>
    <row r="252" spans="1:18" ht="24">
      <c r="A252" s="32">
        <v>1176</v>
      </c>
      <c r="B252" s="33">
        <v>46073</v>
      </c>
      <c r="C252" s="32">
        <v>2026</v>
      </c>
      <c r="D252" s="34" t="s">
        <v>1782</v>
      </c>
      <c r="E252" s="35" t="s">
        <v>1783</v>
      </c>
      <c r="F252" s="35"/>
      <c r="G252" s="34"/>
      <c r="H252" s="35" t="s">
        <v>890</v>
      </c>
      <c r="I252" s="35" t="s">
        <v>1134</v>
      </c>
      <c r="J252" s="35" t="s">
        <v>1135</v>
      </c>
      <c r="K252" s="35" t="s">
        <v>888</v>
      </c>
      <c r="L252" s="35" t="s">
        <v>1158</v>
      </c>
      <c r="M252" s="35" t="s">
        <v>515</v>
      </c>
      <c r="N252" s="35" t="s">
        <v>977</v>
      </c>
      <c r="O252" s="36">
        <v>10</v>
      </c>
      <c r="P252" s="35" t="s">
        <v>37</v>
      </c>
      <c r="Q252" s="35"/>
      <c r="R252" s="35" t="s">
        <v>1784</v>
      </c>
    </row>
    <row r="253" spans="1:18" ht="24">
      <c r="A253" s="32">
        <v>1175</v>
      </c>
      <c r="B253" s="33">
        <v>46073</v>
      </c>
      <c r="C253" s="32">
        <v>2026</v>
      </c>
      <c r="D253" s="34" t="s">
        <v>1785</v>
      </c>
      <c r="E253" s="35" t="s">
        <v>1786</v>
      </c>
      <c r="F253" s="35"/>
      <c r="G253" s="34"/>
      <c r="H253" s="35" t="s">
        <v>883</v>
      </c>
      <c r="I253" s="35" t="s">
        <v>1134</v>
      </c>
      <c r="J253" s="35" t="s">
        <v>1021</v>
      </c>
      <c r="K253" s="35" t="s">
        <v>888</v>
      </c>
      <c r="L253" s="35" t="s">
        <v>1008</v>
      </c>
      <c r="M253" s="35" t="s">
        <v>526</v>
      </c>
      <c r="N253" s="35" t="s">
        <v>968</v>
      </c>
      <c r="O253" s="36">
        <v>16</v>
      </c>
      <c r="P253" s="35" t="s">
        <v>37</v>
      </c>
      <c r="Q253" s="35"/>
      <c r="R253" s="35" t="s">
        <v>1787</v>
      </c>
    </row>
    <row r="254" spans="1:18" ht="24">
      <c r="A254" s="32">
        <v>1174</v>
      </c>
      <c r="B254" s="33">
        <v>46072</v>
      </c>
      <c r="C254" s="32">
        <v>2026</v>
      </c>
      <c r="D254" s="34" t="s">
        <v>1788</v>
      </c>
      <c r="E254" s="35" t="s">
        <v>1789</v>
      </c>
      <c r="F254" s="35" t="s">
        <v>891</v>
      </c>
      <c r="G254" s="34"/>
      <c r="H254" s="35" t="s">
        <v>883</v>
      </c>
      <c r="I254" s="35" t="s">
        <v>965</v>
      </c>
      <c r="J254" s="35" t="s">
        <v>1110</v>
      </c>
      <c r="K254" s="35" t="s">
        <v>888</v>
      </c>
      <c r="L254" s="35" t="s">
        <v>1008</v>
      </c>
      <c r="M254" s="35" t="s">
        <v>526</v>
      </c>
      <c r="N254" s="35" t="s">
        <v>977</v>
      </c>
      <c r="O254" s="36">
        <v>13</v>
      </c>
      <c r="P254" s="35" t="s">
        <v>37</v>
      </c>
      <c r="Q254" s="35"/>
      <c r="R254" s="35" t="s">
        <v>1790</v>
      </c>
    </row>
    <row r="255" spans="1:18" ht="24">
      <c r="A255" s="32">
        <v>1172</v>
      </c>
      <c r="B255" s="33">
        <v>46069</v>
      </c>
      <c r="C255" s="32">
        <v>2026</v>
      </c>
      <c r="D255" s="34" t="s">
        <v>1791</v>
      </c>
      <c r="E255" s="35" t="s">
        <v>1792</v>
      </c>
      <c r="F255" s="35" t="s">
        <v>882</v>
      </c>
      <c r="G255" s="34"/>
      <c r="H255" s="35" t="s">
        <v>883</v>
      </c>
      <c r="I255" s="35" t="s">
        <v>965</v>
      </c>
      <c r="J255" s="35" t="s">
        <v>1110</v>
      </c>
      <c r="K255" s="35" t="s">
        <v>888</v>
      </c>
      <c r="L255" s="35" t="s">
        <v>976</v>
      </c>
      <c r="M255" s="35" t="s">
        <v>522</v>
      </c>
      <c r="N255" s="35" t="s">
        <v>977</v>
      </c>
      <c r="O255" s="36">
        <v>15</v>
      </c>
      <c r="P255" s="35" t="s">
        <v>37</v>
      </c>
      <c r="Q255" s="35"/>
      <c r="R255" s="35" t="s">
        <v>1793</v>
      </c>
    </row>
    <row r="256" spans="1:18" ht="24">
      <c r="A256" s="32">
        <v>1170</v>
      </c>
      <c r="B256" s="33">
        <v>46066</v>
      </c>
      <c r="C256" s="32">
        <v>2026</v>
      </c>
      <c r="D256" s="34" t="s">
        <v>1794</v>
      </c>
      <c r="E256" s="35" t="s">
        <v>1795</v>
      </c>
      <c r="F256" s="35"/>
      <c r="G256" s="34"/>
      <c r="H256" s="35"/>
      <c r="I256" s="35" t="s">
        <v>1005</v>
      </c>
      <c r="J256" s="35" t="s">
        <v>1021</v>
      </c>
      <c r="K256" s="35" t="s">
        <v>888</v>
      </c>
      <c r="L256" s="35" t="s">
        <v>1086</v>
      </c>
      <c r="M256" s="35" t="s">
        <v>530</v>
      </c>
      <c r="N256" s="35" t="s">
        <v>977</v>
      </c>
      <c r="O256" s="36">
        <v>44</v>
      </c>
      <c r="P256" s="35" t="s">
        <v>360</v>
      </c>
      <c r="Q256" s="35"/>
      <c r="R256" s="35" t="s">
        <v>1796</v>
      </c>
    </row>
    <row r="257" spans="1:18" ht="24">
      <c r="A257" s="32">
        <v>1169</v>
      </c>
      <c r="B257" s="33">
        <v>46066</v>
      </c>
      <c r="C257" s="32">
        <v>2026</v>
      </c>
      <c r="D257" s="34" t="s">
        <v>1797</v>
      </c>
      <c r="E257" s="35" t="s">
        <v>1798</v>
      </c>
      <c r="F257" s="35" t="s">
        <v>878</v>
      </c>
      <c r="G257" s="34" t="s">
        <v>892</v>
      </c>
      <c r="H257" s="35" t="s">
        <v>879</v>
      </c>
      <c r="I257" s="35" t="s">
        <v>1317</v>
      </c>
      <c r="J257" s="35" t="s">
        <v>1291</v>
      </c>
      <c r="K257" s="35" t="s">
        <v>897</v>
      </c>
      <c r="L257" s="35" t="s">
        <v>1119</v>
      </c>
      <c r="M257" s="35" t="s">
        <v>519</v>
      </c>
      <c r="N257" s="35" t="s">
        <v>968</v>
      </c>
      <c r="O257" s="36">
        <v>27</v>
      </c>
      <c r="P257" s="35" t="s">
        <v>360</v>
      </c>
      <c r="Q257" s="35"/>
      <c r="R257" s="35" t="s">
        <v>1799</v>
      </c>
    </row>
    <row r="258" spans="1:18" ht="24">
      <c r="A258" s="32">
        <v>1168</v>
      </c>
      <c r="B258" s="33">
        <v>46065</v>
      </c>
      <c r="C258" s="32">
        <v>2026</v>
      </c>
      <c r="D258" s="34" t="s">
        <v>1800</v>
      </c>
      <c r="E258" s="35" t="s">
        <v>1801</v>
      </c>
      <c r="F258" s="35"/>
      <c r="G258" s="34"/>
      <c r="H258" s="35" t="s">
        <v>883</v>
      </c>
      <c r="I258" s="35" t="s">
        <v>1134</v>
      </c>
      <c r="J258" s="35" t="s">
        <v>1135</v>
      </c>
      <c r="K258" s="35" t="s">
        <v>888</v>
      </c>
      <c r="L258" s="35" t="s">
        <v>1139</v>
      </c>
      <c r="M258" s="35" t="s">
        <v>519</v>
      </c>
      <c r="N258" s="35" t="s">
        <v>977</v>
      </c>
      <c r="O258" s="36">
        <v>26</v>
      </c>
      <c r="P258" s="35" t="s">
        <v>360</v>
      </c>
      <c r="Q258" s="35"/>
      <c r="R258" s="35" t="s">
        <v>1802</v>
      </c>
    </row>
    <row r="259" spans="1:18" ht="24">
      <c r="A259" s="32">
        <v>1166</v>
      </c>
      <c r="B259" s="33">
        <v>46063</v>
      </c>
      <c r="C259" s="32">
        <v>2026</v>
      </c>
      <c r="D259" s="34" t="s">
        <v>1803</v>
      </c>
      <c r="E259" s="35" t="s">
        <v>1804</v>
      </c>
      <c r="F259" s="35"/>
      <c r="G259" s="34"/>
      <c r="H259" s="35"/>
      <c r="I259" s="35" t="s">
        <v>1005</v>
      </c>
      <c r="J259" s="35" t="s">
        <v>1021</v>
      </c>
      <c r="K259" s="35" t="s">
        <v>888</v>
      </c>
      <c r="L259" s="35" t="s">
        <v>1139</v>
      </c>
      <c r="M259" s="35" t="s">
        <v>519</v>
      </c>
      <c r="N259" s="35" t="s">
        <v>968</v>
      </c>
      <c r="O259" s="36">
        <v>154</v>
      </c>
      <c r="P259" s="35" t="s">
        <v>360</v>
      </c>
      <c r="Q259" s="35"/>
      <c r="R259" s="35" t="s">
        <v>1805</v>
      </c>
    </row>
    <row r="260" spans="1:18" ht="24">
      <c r="A260" s="32">
        <v>1028</v>
      </c>
      <c r="B260" s="33">
        <v>46061</v>
      </c>
      <c r="C260" s="32">
        <v>2026</v>
      </c>
      <c r="D260" s="34" t="s">
        <v>1806</v>
      </c>
      <c r="E260" s="35" t="s">
        <v>1807</v>
      </c>
      <c r="F260" s="35" t="s">
        <v>885</v>
      </c>
      <c r="G260" s="34"/>
      <c r="H260" s="35" t="s">
        <v>886</v>
      </c>
      <c r="I260" s="35" t="s">
        <v>965</v>
      </c>
      <c r="J260" s="35" t="s">
        <v>1110</v>
      </c>
      <c r="K260" s="35" t="s">
        <v>888</v>
      </c>
      <c r="L260" s="35" t="s">
        <v>1086</v>
      </c>
      <c r="M260" s="35" t="s">
        <v>512</v>
      </c>
      <c r="N260" s="35" t="s">
        <v>968</v>
      </c>
      <c r="O260" s="36">
        <v>45</v>
      </c>
      <c r="P260" s="35" t="s">
        <v>371</v>
      </c>
      <c r="Q260" s="35"/>
      <c r="R260" s="35" t="s">
        <v>1808</v>
      </c>
    </row>
    <row r="261" spans="1:18" ht="24">
      <c r="A261" s="32">
        <v>1110</v>
      </c>
      <c r="B261" s="33">
        <v>46060</v>
      </c>
      <c r="C261" s="32">
        <v>2026</v>
      </c>
      <c r="D261" s="34" t="s">
        <v>1809</v>
      </c>
      <c r="E261" s="35" t="s">
        <v>1810</v>
      </c>
      <c r="F261" s="35"/>
      <c r="G261" s="34"/>
      <c r="H261" s="35"/>
      <c r="I261" s="35" t="s">
        <v>1038</v>
      </c>
      <c r="J261" s="35" t="s">
        <v>1006</v>
      </c>
      <c r="K261" s="35" t="s">
        <v>1007</v>
      </c>
      <c r="L261" s="35" t="s">
        <v>972</v>
      </c>
      <c r="M261" s="35" t="s">
        <v>512</v>
      </c>
      <c r="N261" s="35" t="s">
        <v>977</v>
      </c>
      <c r="O261" s="36">
        <v>31</v>
      </c>
      <c r="P261" s="35" t="s">
        <v>382</v>
      </c>
      <c r="Q261" s="35"/>
      <c r="R261" s="35" t="s">
        <v>1811</v>
      </c>
    </row>
    <row r="262" spans="1:18" ht="24">
      <c r="A262" s="32">
        <v>850</v>
      </c>
      <c r="B262" s="33">
        <v>46060</v>
      </c>
      <c r="C262" s="32">
        <v>2026</v>
      </c>
      <c r="D262" s="34" t="s">
        <v>1812</v>
      </c>
      <c r="E262" s="35" t="s">
        <v>1813</v>
      </c>
      <c r="F262" s="35" t="s">
        <v>887</v>
      </c>
      <c r="G262" s="34"/>
      <c r="H262" s="35" t="s">
        <v>883</v>
      </c>
      <c r="I262" s="35" t="s">
        <v>965</v>
      </c>
      <c r="J262" s="35" t="s">
        <v>1110</v>
      </c>
      <c r="K262" s="35" t="s">
        <v>888</v>
      </c>
      <c r="L262" s="35" t="s">
        <v>972</v>
      </c>
      <c r="M262" s="35" t="s">
        <v>512</v>
      </c>
      <c r="N262" s="35" t="s">
        <v>977</v>
      </c>
      <c r="O262" s="36">
        <v>33</v>
      </c>
      <c r="P262" s="35" t="s">
        <v>37</v>
      </c>
      <c r="Q262" s="35"/>
      <c r="R262" s="35" t="s">
        <v>1814</v>
      </c>
    </row>
    <row r="263" spans="1:18" ht="24">
      <c r="A263" s="32">
        <v>1165</v>
      </c>
      <c r="B263" s="33">
        <v>46058</v>
      </c>
      <c r="C263" s="32">
        <v>2026</v>
      </c>
      <c r="D263" s="34" t="s">
        <v>1815</v>
      </c>
      <c r="E263" s="35" t="s">
        <v>1816</v>
      </c>
      <c r="F263" s="35" t="s">
        <v>931</v>
      </c>
      <c r="G263" s="34" t="s">
        <v>889</v>
      </c>
      <c r="H263" s="35" t="s">
        <v>890</v>
      </c>
      <c r="I263" s="35" t="s">
        <v>1317</v>
      </c>
      <c r="J263" s="35" t="s">
        <v>1110</v>
      </c>
      <c r="K263" s="35" t="s">
        <v>888</v>
      </c>
      <c r="L263" s="35" t="s">
        <v>972</v>
      </c>
      <c r="M263" s="35" t="s">
        <v>512</v>
      </c>
      <c r="N263" s="35" t="s">
        <v>977</v>
      </c>
      <c r="O263" s="36">
        <v>18</v>
      </c>
      <c r="P263" s="35" t="s">
        <v>360</v>
      </c>
      <c r="Q263" s="35"/>
      <c r="R263" s="35" t="s">
        <v>1817</v>
      </c>
    </row>
    <row r="264" spans="1:18" ht="24">
      <c r="A264" s="32">
        <v>834</v>
      </c>
      <c r="B264" s="33">
        <v>46057</v>
      </c>
      <c r="C264" s="32">
        <v>2026</v>
      </c>
      <c r="D264" s="34" t="s">
        <v>1818</v>
      </c>
      <c r="E264" s="35" t="s">
        <v>1819</v>
      </c>
      <c r="F264" s="35"/>
      <c r="G264" s="34"/>
      <c r="H264" s="35"/>
      <c r="I264" s="35" t="s">
        <v>1484</v>
      </c>
      <c r="J264" s="35" t="s">
        <v>1485</v>
      </c>
      <c r="K264" s="35" t="s">
        <v>888</v>
      </c>
      <c r="L264" s="35" t="s">
        <v>972</v>
      </c>
      <c r="M264" s="35" t="s">
        <v>512</v>
      </c>
      <c r="N264" s="35" t="s">
        <v>977</v>
      </c>
      <c r="O264" s="36">
        <v>23</v>
      </c>
      <c r="P264" s="35" t="s">
        <v>37</v>
      </c>
      <c r="Q264" s="35"/>
      <c r="R264" s="35" t="s">
        <v>1820</v>
      </c>
    </row>
    <row r="265" spans="1:18" ht="24">
      <c r="A265" s="32">
        <v>1108</v>
      </c>
      <c r="B265" s="33">
        <v>46056</v>
      </c>
      <c r="C265" s="32">
        <v>2026</v>
      </c>
      <c r="D265" s="34" t="s">
        <v>1821</v>
      </c>
      <c r="E265" s="35" t="s">
        <v>1822</v>
      </c>
      <c r="F265" s="35" t="s">
        <v>892</v>
      </c>
      <c r="G265" s="34"/>
      <c r="H265" s="35" t="s">
        <v>879</v>
      </c>
      <c r="I265" s="35" t="s">
        <v>965</v>
      </c>
      <c r="J265" s="35" t="s">
        <v>1110</v>
      </c>
      <c r="K265" s="35" t="s">
        <v>888</v>
      </c>
      <c r="L265" s="35" t="s">
        <v>972</v>
      </c>
      <c r="M265" s="35" t="s">
        <v>512</v>
      </c>
      <c r="N265" s="35" t="s">
        <v>977</v>
      </c>
      <c r="O265" s="36">
        <v>13</v>
      </c>
      <c r="P265" s="35" t="s">
        <v>382</v>
      </c>
      <c r="Q265" s="35"/>
      <c r="R265" s="35" t="s">
        <v>1823</v>
      </c>
    </row>
    <row r="266" spans="1:18">
      <c r="A266" s="32">
        <v>1164</v>
      </c>
      <c r="B266" s="33">
        <v>46055</v>
      </c>
      <c r="C266" s="32">
        <v>2026</v>
      </c>
      <c r="D266" s="34" t="s">
        <v>1824</v>
      </c>
      <c r="E266" s="35" t="s">
        <v>1825</v>
      </c>
      <c r="F266" s="35" t="s">
        <v>887</v>
      </c>
      <c r="G266" s="34"/>
      <c r="H266" s="35" t="s">
        <v>883</v>
      </c>
      <c r="I266" s="35" t="s">
        <v>965</v>
      </c>
      <c r="J266" s="35" t="s">
        <v>1110</v>
      </c>
      <c r="K266" s="35" t="s">
        <v>888</v>
      </c>
      <c r="L266" s="35" t="s">
        <v>972</v>
      </c>
      <c r="M266" s="35" t="s">
        <v>512</v>
      </c>
      <c r="N266" s="35" t="s">
        <v>977</v>
      </c>
      <c r="O266" s="36">
        <v>64</v>
      </c>
      <c r="P266" s="35" t="s">
        <v>360</v>
      </c>
      <c r="Q266" s="35"/>
      <c r="R266" s="35" t="s">
        <v>1826</v>
      </c>
    </row>
    <row r="267" spans="1:18" ht="24">
      <c r="A267" s="32">
        <v>1023</v>
      </c>
      <c r="B267" s="33">
        <v>46055</v>
      </c>
      <c r="C267" s="32">
        <v>2026</v>
      </c>
      <c r="D267" s="34" t="s">
        <v>1827</v>
      </c>
      <c r="E267" s="35" t="s">
        <v>1828</v>
      </c>
      <c r="F267" s="35" t="s">
        <v>918</v>
      </c>
      <c r="G267" s="34" t="s">
        <v>1829</v>
      </c>
      <c r="H267" s="35" t="s">
        <v>883</v>
      </c>
      <c r="I267" s="35" t="s">
        <v>1317</v>
      </c>
      <c r="J267" s="35" t="s">
        <v>1110</v>
      </c>
      <c r="K267" s="35" t="s">
        <v>888</v>
      </c>
      <c r="L267" s="35" t="s">
        <v>1086</v>
      </c>
      <c r="M267" s="35" t="s">
        <v>512</v>
      </c>
      <c r="N267" s="35" t="s">
        <v>968</v>
      </c>
      <c r="O267" s="36">
        <v>56</v>
      </c>
      <c r="P267" s="35" t="s">
        <v>371</v>
      </c>
      <c r="Q267" s="35"/>
      <c r="R267" s="35" t="s">
        <v>1830</v>
      </c>
    </row>
    <row r="268" spans="1:18" ht="24">
      <c r="A268" s="32">
        <v>832</v>
      </c>
      <c r="B268" s="33">
        <v>46055</v>
      </c>
      <c r="C268" s="32">
        <v>2026</v>
      </c>
      <c r="D268" s="34" t="s">
        <v>1831</v>
      </c>
      <c r="E268" s="35" t="s">
        <v>1832</v>
      </c>
      <c r="F268" s="35" t="s">
        <v>924</v>
      </c>
      <c r="G268" s="34" t="s">
        <v>1833</v>
      </c>
      <c r="H268" s="35" t="s">
        <v>879</v>
      </c>
      <c r="I268" s="35" t="s">
        <v>1317</v>
      </c>
      <c r="J268" s="35" t="s">
        <v>1291</v>
      </c>
      <c r="K268" s="35" t="s">
        <v>897</v>
      </c>
      <c r="L268" s="35" t="s">
        <v>972</v>
      </c>
      <c r="M268" s="35" t="s">
        <v>512</v>
      </c>
      <c r="N268" s="35" t="s">
        <v>977</v>
      </c>
      <c r="O268" s="36">
        <v>37</v>
      </c>
      <c r="P268" s="35" t="s">
        <v>37</v>
      </c>
      <c r="Q268" s="35"/>
      <c r="R268" s="35" t="s">
        <v>1834</v>
      </c>
    </row>
    <row r="269" spans="1:18" ht="24">
      <c r="A269" s="32">
        <v>1107</v>
      </c>
      <c r="B269" s="33">
        <v>46055</v>
      </c>
      <c r="C269" s="32">
        <v>2026</v>
      </c>
      <c r="D269" s="34" t="s">
        <v>1835</v>
      </c>
      <c r="E269" s="35" t="s">
        <v>1836</v>
      </c>
      <c r="F269" s="35"/>
      <c r="G269" s="34"/>
      <c r="H269" s="35"/>
      <c r="I269" s="35" t="s">
        <v>1005</v>
      </c>
      <c r="J269" s="35" t="s">
        <v>1021</v>
      </c>
      <c r="K269" s="35" t="s">
        <v>888</v>
      </c>
      <c r="L269" s="35" t="s">
        <v>972</v>
      </c>
      <c r="M269" s="35" t="s">
        <v>512</v>
      </c>
      <c r="N269" s="35" t="s">
        <v>977</v>
      </c>
      <c r="O269" s="36">
        <v>40</v>
      </c>
      <c r="P269" s="35" t="s">
        <v>382</v>
      </c>
      <c r="Q269" s="35"/>
      <c r="R269" s="35" t="s">
        <v>1837</v>
      </c>
    </row>
    <row r="270" spans="1:18">
      <c r="A270" s="32">
        <v>1011</v>
      </c>
      <c r="B270" s="33">
        <v>46053</v>
      </c>
      <c r="C270" s="32">
        <v>2026</v>
      </c>
      <c r="D270" s="34" t="s">
        <v>1838</v>
      </c>
      <c r="E270" s="35" t="s">
        <v>1839</v>
      </c>
      <c r="F270" s="35"/>
      <c r="G270" s="34"/>
      <c r="H270" s="35"/>
      <c r="I270" s="35" t="s">
        <v>1038</v>
      </c>
      <c r="J270" s="35" t="s">
        <v>1006</v>
      </c>
      <c r="K270" s="35" t="s">
        <v>1007</v>
      </c>
      <c r="L270" s="35" t="s">
        <v>1840</v>
      </c>
      <c r="M270" s="35" t="s">
        <v>512</v>
      </c>
      <c r="N270" s="35" t="s">
        <v>977</v>
      </c>
      <c r="O270" s="36">
        <v>23</v>
      </c>
      <c r="P270" s="35" t="s">
        <v>371</v>
      </c>
      <c r="Q270" s="35"/>
      <c r="R270" s="35" t="s">
        <v>1841</v>
      </c>
    </row>
    <row r="271" spans="1:18" ht="36">
      <c r="A271" s="32">
        <v>831</v>
      </c>
      <c r="B271" s="33">
        <v>46053</v>
      </c>
      <c r="C271" s="32">
        <v>2026</v>
      </c>
      <c r="D271" s="34" t="s">
        <v>1842</v>
      </c>
      <c r="E271" s="35" t="s">
        <v>1843</v>
      </c>
      <c r="F271" s="35"/>
      <c r="G271" s="34"/>
      <c r="H271" s="35"/>
      <c r="I271" s="35" t="s">
        <v>1005</v>
      </c>
      <c r="J271" s="35" t="s">
        <v>1021</v>
      </c>
      <c r="K271" s="35" t="s">
        <v>888</v>
      </c>
      <c r="L271" s="35" t="s">
        <v>972</v>
      </c>
      <c r="M271" s="35" t="s">
        <v>512</v>
      </c>
      <c r="N271" s="35" t="s">
        <v>977</v>
      </c>
      <c r="O271" s="36">
        <v>20</v>
      </c>
      <c r="P271" s="35" t="s">
        <v>37</v>
      </c>
      <c r="Q271" s="35"/>
      <c r="R271" s="35" t="s">
        <v>1844</v>
      </c>
    </row>
    <row r="272" spans="1:18" ht="24">
      <c r="A272" s="32">
        <v>1106</v>
      </c>
      <c r="B272" s="33">
        <v>46053</v>
      </c>
      <c r="C272" s="32">
        <v>2026</v>
      </c>
      <c r="D272" s="34" t="s">
        <v>1845</v>
      </c>
      <c r="E272" s="35" t="s">
        <v>1846</v>
      </c>
      <c r="F272" s="35" t="s">
        <v>907</v>
      </c>
      <c r="G272" s="34"/>
      <c r="H272" s="35" t="s">
        <v>879</v>
      </c>
      <c r="I272" s="35" t="s">
        <v>965</v>
      </c>
      <c r="J272" s="35" t="s">
        <v>1110</v>
      </c>
      <c r="K272" s="35" t="s">
        <v>888</v>
      </c>
      <c r="L272" s="35" t="s">
        <v>1086</v>
      </c>
      <c r="M272" s="35" t="s">
        <v>512</v>
      </c>
      <c r="N272" s="35" t="s">
        <v>977</v>
      </c>
      <c r="O272" s="36">
        <v>17</v>
      </c>
      <c r="P272" s="35" t="s">
        <v>382</v>
      </c>
      <c r="Q272" s="35"/>
      <c r="R272" s="35" t="s">
        <v>1847</v>
      </c>
    </row>
    <row r="273" spans="1:18" ht="24">
      <c r="A273" s="32">
        <v>1104</v>
      </c>
      <c r="B273" s="33">
        <v>46051</v>
      </c>
      <c r="C273" s="32">
        <v>2026</v>
      </c>
      <c r="D273" s="34" t="s">
        <v>1848</v>
      </c>
      <c r="E273" s="35" t="s">
        <v>1849</v>
      </c>
      <c r="F273" s="35" t="s">
        <v>885</v>
      </c>
      <c r="G273" s="34"/>
      <c r="H273" s="35" t="s">
        <v>886</v>
      </c>
      <c r="I273" s="35" t="s">
        <v>965</v>
      </c>
      <c r="J273" s="35" t="s">
        <v>1110</v>
      </c>
      <c r="K273" s="35" t="s">
        <v>888</v>
      </c>
      <c r="L273" s="35" t="s">
        <v>972</v>
      </c>
      <c r="M273" s="35" t="s">
        <v>512</v>
      </c>
      <c r="N273" s="35" t="s">
        <v>977</v>
      </c>
      <c r="O273" s="36">
        <v>40</v>
      </c>
      <c r="P273" s="35" t="s">
        <v>382</v>
      </c>
      <c r="Q273" s="35"/>
      <c r="R273" s="35" t="s">
        <v>1850</v>
      </c>
    </row>
    <row r="274" spans="1:18" ht="24">
      <c r="A274" s="32">
        <v>827</v>
      </c>
      <c r="B274" s="33">
        <v>46048</v>
      </c>
      <c r="C274" s="32">
        <v>2026</v>
      </c>
      <c r="D274" s="34" t="s">
        <v>1851</v>
      </c>
      <c r="E274" s="35" t="s">
        <v>1852</v>
      </c>
      <c r="F274" s="35" t="s">
        <v>882</v>
      </c>
      <c r="G274" s="34"/>
      <c r="H274" s="35" t="s">
        <v>883</v>
      </c>
      <c r="I274" s="35" t="s">
        <v>965</v>
      </c>
      <c r="J274" s="35" t="s">
        <v>1110</v>
      </c>
      <c r="K274" s="35" t="s">
        <v>888</v>
      </c>
      <c r="L274" s="35" t="s">
        <v>1119</v>
      </c>
      <c r="M274" s="35" t="s">
        <v>519</v>
      </c>
      <c r="N274" s="35" t="s">
        <v>977</v>
      </c>
      <c r="O274" s="36">
        <v>40</v>
      </c>
      <c r="P274" s="35" t="s">
        <v>37</v>
      </c>
      <c r="Q274" s="35"/>
      <c r="R274" s="35" t="s">
        <v>1853</v>
      </c>
    </row>
    <row r="275" spans="1:18" ht="24">
      <c r="A275" s="32">
        <v>826</v>
      </c>
      <c r="B275" s="33">
        <v>46047</v>
      </c>
      <c r="C275" s="32">
        <v>2026</v>
      </c>
      <c r="D275" s="34" t="s">
        <v>1854</v>
      </c>
      <c r="E275" s="35" t="s">
        <v>1855</v>
      </c>
      <c r="F275" s="35" t="s">
        <v>878</v>
      </c>
      <c r="G275" s="34"/>
      <c r="H275" s="35" t="s">
        <v>879</v>
      </c>
      <c r="I275" s="35" t="s">
        <v>965</v>
      </c>
      <c r="J275" s="35" t="s">
        <v>1110</v>
      </c>
      <c r="K275" s="35" t="s">
        <v>888</v>
      </c>
      <c r="L275" s="35" t="s">
        <v>972</v>
      </c>
      <c r="M275" s="35" t="s">
        <v>512</v>
      </c>
      <c r="N275" s="35" t="s">
        <v>977</v>
      </c>
      <c r="O275" s="36">
        <v>62</v>
      </c>
      <c r="P275" s="35" t="s">
        <v>37</v>
      </c>
      <c r="Q275" s="35"/>
      <c r="R275" s="35" t="s">
        <v>1856</v>
      </c>
    </row>
    <row r="276" spans="1:18" ht="24">
      <c r="A276" s="32">
        <v>1101</v>
      </c>
      <c r="B276" s="33">
        <v>46047</v>
      </c>
      <c r="C276" s="32">
        <v>2026</v>
      </c>
      <c r="D276" s="34" t="s">
        <v>1857</v>
      </c>
      <c r="E276" s="35" t="s">
        <v>1858</v>
      </c>
      <c r="F276" s="35" t="s">
        <v>878</v>
      </c>
      <c r="G276" s="34"/>
      <c r="H276" s="35" t="s">
        <v>879</v>
      </c>
      <c r="I276" s="35" t="s">
        <v>965</v>
      </c>
      <c r="J276" s="35" t="s">
        <v>1110</v>
      </c>
      <c r="K276" s="35" t="s">
        <v>888</v>
      </c>
      <c r="L276" s="35" t="s">
        <v>972</v>
      </c>
      <c r="M276" s="35" t="s">
        <v>512</v>
      </c>
      <c r="N276" s="35" t="s">
        <v>968</v>
      </c>
      <c r="O276" s="36">
        <v>34</v>
      </c>
      <c r="P276" s="35" t="s">
        <v>382</v>
      </c>
      <c r="Q276" s="35"/>
      <c r="R276" s="35" t="s">
        <v>1859</v>
      </c>
    </row>
    <row r="277" spans="1:18" ht="24">
      <c r="A277" s="32">
        <v>828</v>
      </c>
      <c r="B277" s="33">
        <v>46046</v>
      </c>
      <c r="C277" s="32">
        <v>2026</v>
      </c>
      <c r="D277" s="34" t="s">
        <v>1860</v>
      </c>
      <c r="E277" s="35" t="s">
        <v>1861</v>
      </c>
      <c r="F277" s="35"/>
      <c r="G277" s="34"/>
      <c r="H277" s="35"/>
      <c r="I277" s="35" t="s">
        <v>1484</v>
      </c>
      <c r="J277" s="35" t="s">
        <v>1485</v>
      </c>
      <c r="K277" s="35" t="s">
        <v>888</v>
      </c>
      <c r="L277" s="35" t="s">
        <v>972</v>
      </c>
      <c r="M277" s="35" t="s">
        <v>512</v>
      </c>
      <c r="N277" s="35" t="s">
        <v>977</v>
      </c>
      <c r="O277" s="36">
        <v>31</v>
      </c>
      <c r="P277" s="35" t="s">
        <v>37</v>
      </c>
      <c r="Q277" s="35"/>
      <c r="R277" s="35" t="s">
        <v>1862</v>
      </c>
    </row>
    <row r="278" spans="1:18" ht="24">
      <c r="A278" s="32">
        <v>1100</v>
      </c>
      <c r="B278" s="33">
        <v>46046</v>
      </c>
      <c r="C278" s="32">
        <v>2026</v>
      </c>
      <c r="D278" s="34" t="s">
        <v>1863</v>
      </c>
      <c r="E278" s="35" t="s">
        <v>1864</v>
      </c>
      <c r="F278" s="35" t="s">
        <v>932</v>
      </c>
      <c r="G278" s="34" t="s">
        <v>908</v>
      </c>
      <c r="H278" s="35" t="s">
        <v>886</v>
      </c>
      <c r="I278" s="35" t="s">
        <v>1317</v>
      </c>
      <c r="J278" s="35" t="s">
        <v>1291</v>
      </c>
      <c r="K278" s="35" t="s">
        <v>897</v>
      </c>
      <c r="L278" s="35" t="s">
        <v>972</v>
      </c>
      <c r="M278" s="35" t="s">
        <v>512</v>
      </c>
      <c r="N278" s="35" t="s">
        <v>977</v>
      </c>
      <c r="O278" s="36">
        <v>37</v>
      </c>
      <c r="P278" s="35" t="s">
        <v>382</v>
      </c>
      <c r="Q278" s="35"/>
      <c r="R278" s="35" t="s">
        <v>1865</v>
      </c>
    </row>
    <row r="279" spans="1:18" ht="24">
      <c r="A279" s="32">
        <v>1099</v>
      </c>
      <c r="B279" s="33">
        <v>46046</v>
      </c>
      <c r="C279" s="32">
        <v>2026</v>
      </c>
      <c r="D279" s="34" t="s">
        <v>1866</v>
      </c>
      <c r="E279" s="35" t="s">
        <v>1867</v>
      </c>
      <c r="F279" s="35" t="s">
        <v>882</v>
      </c>
      <c r="G279" s="34"/>
      <c r="H279" s="35" t="s">
        <v>883</v>
      </c>
      <c r="I279" s="35" t="s">
        <v>965</v>
      </c>
      <c r="J279" s="35" t="s">
        <v>1110</v>
      </c>
      <c r="K279" s="35" t="s">
        <v>888</v>
      </c>
      <c r="L279" s="35" t="s">
        <v>972</v>
      </c>
      <c r="M279" s="35" t="s">
        <v>512</v>
      </c>
      <c r="N279" s="35" t="s">
        <v>977</v>
      </c>
      <c r="O279" s="36">
        <v>23</v>
      </c>
      <c r="P279" s="35" t="s">
        <v>382</v>
      </c>
      <c r="Q279" s="35"/>
      <c r="R279" s="35" t="s">
        <v>1868</v>
      </c>
    </row>
    <row r="280" spans="1:18" ht="36">
      <c r="A280" s="32">
        <v>1098</v>
      </c>
      <c r="B280" s="33">
        <v>46045</v>
      </c>
      <c r="C280" s="32">
        <v>2026</v>
      </c>
      <c r="D280" s="34" t="s">
        <v>1869</v>
      </c>
      <c r="E280" s="35" t="s">
        <v>1870</v>
      </c>
      <c r="F280" s="35" t="s">
        <v>884</v>
      </c>
      <c r="G280" s="34"/>
      <c r="H280" s="35" t="s">
        <v>883</v>
      </c>
      <c r="I280" s="35" t="s">
        <v>965</v>
      </c>
      <c r="J280" s="35" t="s">
        <v>1110</v>
      </c>
      <c r="K280" s="35" t="s">
        <v>888</v>
      </c>
      <c r="L280" s="35" t="s">
        <v>1086</v>
      </c>
      <c r="M280" s="35" t="s">
        <v>512</v>
      </c>
      <c r="N280" s="35" t="s">
        <v>977</v>
      </c>
      <c r="O280" s="36">
        <v>10</v>
      </c>
      <c r="P280" s="35" t="s">
        <v>382</v>
      </c>
      <c r="Q280" s="35"/>
      <c r="R280" s="35" t="s">
        <v>1871</v>
      </c>
    </row>
    <row r="281" spans="1:18" ht="24">
      <c r="A281" s="32">
        <v>1163</v>
      </c>
      <c r="B281" s="33">
        <v>46045</v>
      </c>
      <c r="C281" s="32">
        <v>2026</v>
      </c>
      <c r="D281" s="34" t="s">
        <v>1872</v>
      </c>
      <c r="E281" s="35" t="s">
        <v>1873</v>
      </c>
      <c r="F281" s="35" t="s">
        <v>889</v>
      </c>
      <c r="G281" s="34"/>
      <c r="H281" s="35" t="s">
        <v>890</v>
      </c>
      <c r="I281" s="35" t="s">
        <v>965</v>
      </c>
      <c r="J281" s="35" t="s">
        <v>1291</v>
      </c>
      <c r="K281" s="35" t="s">
        <v>897</v>
      </c>
      <c r="L281" s="35" t="s">
        <v>976</v>
      </c>
      <c r="M281" s="35" t="s">
        <v>522</v>
      </c>
      <c r="N281" s="35" t="s">
        <v>968</v>
      </c>
      <c r="O281" s="36">
        <v>21</v>
      </c>
      <c r="P281" s="35" t="s">
        <v>360</v>
      </c>
      <c r="Q281" s="35"/>
      <c r="R281" s="35" t="s">
        <v>1874</v>
      </c>
    </row>
    <row r="282" spans="1:18" ht="24">
      <c r="A282" s="32">
        <v>1162</v>
      </c>
      <c r="B282" s="33">
        <v>46045</v>
      </c>
      <c r="C282" s="32">
        <v>2026</v>
      </c>
      <c r="D282" s="34" t="s">
        <v>1875</v>
      </c>
      <c r="E282" s="35" t="s">
        <v>1876</v>
      </c>
      <c r="F282" s="35" t="s">
        <v>878</v>
      </c>
      <c r="G282" s="34"/>
      <c r="H282" s="35" t="s">
        <v>879</v>
      </c>
      <c r="I282" s="35" t="s">
        <v>965</v>
      </c>
      <c r="J282" s="35" t="s">
        <v>1123</v>
      </c>
      <c r="K282" s="35" t="s">
        <v>897</v>
      </c>
      <c r="L282" s="35" t="s">
        <v>1086</v>
      </c>
      <c r="M282" s="35" t="s">
        <v>512</v>
      </c>
      <c r="N282" s="35" t="s">
        <v>977</v>
      </c>
      <c r="O282" s="36">
        <v>29</v>
      </c>
      <c r="P282" s="35" t="s">
        <v>360</v>
      </c>
      <c r="Q282" s="35"/>
      <c r="R282" s="35" t="s">
        <v>1877</v>
      </c>
    </row>
    <row r="283" spans="1:18" ht="24">
      <c r="A283" s="32">
        <v>824</v>
      </c>
      <c r="B283" s="33">
        <v>46044</v>
      </c>
      <c r="C283" s="32">
        <v>2026</v>
      </c>
      <c r="D283" s="34" t="s">
        <v>1878</v>
      </c>
      <c r="E283" s="35" t="s">
        <v>1879</v>
      </c>
      <c r="F283" s="35" t="s">
        <v>891</v>
      </c>
      <c r="G283" s="34" t="s">
        <v>889</v>
      </c>
      <c r="H283" s="35" t="s">
        <v>883</v>
      </c>
      <c r="I283" s="35" t="s">
        <v>1317</v>
      </c>
      <c r="J283" s="35" t="s">
        <v>1110</v>
      </c>
      <c r="K283" s="35" t="s">
        <v>888</v>
      </c>
      <c r="L283" s="35" t="s">
        <v>972</v>
      </c>
      <c r="M283" s="35" t="s">
        <v>512</v>
      </c>
      <c r="N283" s="35" t="s">
        <v>977</v>
      </c>
      <c r="O283" s="36">
        <v>11</v>
      </c>
      <c r="P283" s="35" t="s">
        <v>37</v>
      </c>
      <c r="Q283" s="35"/>
      <c r="R283" s="35" t="s">
        <v>1880</v>
      </c>
    </row>
    <row r="284" spans="1:18" ht="24">
      <c r="A284" s="32">
        <v>823</v>
      </c>
      <c r="B284" s="33">
        <v>46043</v>
      </c>
      <c r="C284" s="32">
        <v>2026</v>
      </c>
      <c r="D284" s="34" t="s">
        <v>1881</v>
      </c>
      <c r="E284" s="35" t="s">
        <v>1882</v>
      </c>
      <c r="F284" s="35"/>
      <c r="G284" s="34"/>
      <c r="H284" s="35"/>
      <c r="I284" s="35" t="s">
        <v>1038</v>
      </c>
      <c r="J284" s="35" t="s">
        <v>1006</v>
      </c>
      <c r="K284" s="35" t="s">
        <v>1007</v>
      </c>
      <c r="L284" s="35" t="s">
        <v>972</v>
      </c>
      <c r="M284" s="35" t="s">
        <v>512</v>
      </c>
      <c r="N284" s="35" t="s">
        <v>977</v>
      </c>
      <c r="O284" s="36">
        <v>34</v>
      </c>
      <c r="P284" s="35" t="s">
        <v>37</v>
      </c>
      <c r="Q284" s="35"/>
      <c r="R284" s="35" t="s">
        <v>1883</v>
      </c>
    </row>
    <row r="285" spans="1:18" ht="24">
      <c r="A285" s="32">
        <v>1161</v>
      </c>
      <c r="B285" s="33">
        <v>46043</v>
      </c>
      <c r="C285" s="32">
        <v>2026</v>
      </c>
      <c r="D285" s="34" t="s">
        <v>1884</v>
      </c>
      <c r="E285" s="35" t="s">
        <v>1885</v>
      </c>
      <c r="F285" s="35" t="s">
        <v>894</v>
      </c>
      <c r="G285" s="34"/>
      <c r="H285" s="35" t="s">
        <v>895</v>
      </c>
      <c r="I285" s="35" t="s">
        <v>965</v>
      </c>
      <c r="J285" s="35" t="s">
        <v>1110</v>
      </c>
      <c r="K285" s="35" t="s">
        <v>888</v>
      </c>
      <c r="L285" s="35" t="s">
        <v>1086</v>
      </c>
      <c r="M285" s="35" t="s">
        <v>530</v>
      </c>
      <c r="N285" s="35" t="s">
        <v>977</v>
      </c>
      <c r="O285" s="36">
        <v>13</v>
      </c>
      <c r="P285" s="35" t="s">
        <v>360</v>
      </c>
      <c r="Q285" s="35"/>
      <c r="R285" s="35" t="s">
        <v>1886</v>
      </c>
    </row>
    <row r="286" spans="1:18" ht="24">
      <c r="A286" s="32">
        <v>1091</v>
      </c>
      <c r="B286" s="33">
        <v>46040</v>
      </c>
      <c r="C286" s="32">
        <v>2026</v>
      </c>
      <c r="D286" s="34" t="s">
        <v>1887</v>
      </c>
      <c r="E286" s="35" t="s">
        <v>1888</v>
      </c>
      <c r="F286" s="35"/>
      <c r="G286" s="34"/>
      <c r="H286" s="35"/>
      <c r="I286" s="35" t="s">
        <v>1038</v>
      </c>
      <c r="J286" s="35" t="s">
        <v>1006</v>
      </c>
      <c r="K286" s="35" t="s">
        <v>1007</v>
      </c>
      <c r="L286" s="35" t="s">
        <v>972</v>
      </c>
      <c r="M286" s="35" t="s">
        <v>512</v>
      </c>
      <c r="N286" s="35" t="s">
        <v>977</v>
      </c>
      <c r="O286" s="36">
        <v>18</v>
      </c>
      <c r="P286" s="35" t="s">
        <v>382</v>
      </c>
      <c r="Q286" s="35"/>
      <c r="R286" s="35" t="s">
        <v>1889</v>
      </c>
    </row>
    <row r="287" spans="1:18">
      <c r="A287" s="32">
        <v>1160</v>
      </c>
      <c r="B287" s="33">
        <v>46037</v>
      </c>
      <c r="C287" s="32">
        <v>2026</v>
      </c>
      <c r="D287" s="34" t="s">
        <v>1890</v>
      </c>
      <c r="E287" s="35" t="s">
        <v>1891</v>
      </c>
      <c r="F287" s="35" t="s">
        <v>911</v>
      </c>
      <c r="G287" s="34"/>
      <c r="H287" s="35" t="s">
        <v>883</v>
      </c>
      <c r="I287" s="35" t="s">
        <v>965</v>
      </c>
      <c r="J287" s="35" t="s">
        <v>1291</v>
      </c>
      <c r="K287" s="35" t="s">
        <v>897</v>
      </c>
      <c r="L287" s="35" t="s">
        <v>976</v>
      </c>
      <c r="M287" s="35" t="s">
        <v>522</v>
      </c>
      <c r="N287" s="35" t="s">
        <v>977</v>
      </c>
      <c r="O287" s="36">
        <v>14</v>
      </c>
      <c r="P287" s="35" t="s">
        <v>360</v>
      </c>
      <c r="Q287" s="35"/>
      <c r="R287" s="35" t="s">
        <v>1892</v>
      </c>
    </row>
    <row r="288" spans="1:18" ht="24">
      <c r="A288" s="32">
        <v>1159</v>
      </c>
      <c r="B288" s="33">
        <v>46037</v>
      </c>
      <c r="C288" s="32">
        <v>2026</v>
      </c>
      <c r="D288" s="34" t="s">
        <v>1893</v>
      </c>
      <c r="E288" s="35" t="s">
        <v>1894</v>
      </c>
      <c r="F288" s="35" t="s">
        <v>882</v>
      </c>
      <c r="G288" s="34"/>
      <c r="H288" s="35" t="s">
        <v>883</v>
      </c>
      <c r="I288" s="35" t="s">
        <v>965</v>
      </c>
      <c r="J288" s="35" t="s">
        <v>1110</v>
      </c>
      <c r="K288" s="35" t="s">
        <v>888</v>
      </c>
      <c r="L288" s="35" t="s">
        <v>1086</v>
      </c>
      <c r="M288" s="35" t="s">
        <v>512</v>
      </c>
      <c r="N288" s="35" t="s">
        <v>968</v>
      </c>
      <c r="O288" s="36">
        <v>14</v>
      </c>
      <c r="P288" s="35" t="s">
        <v>360</v>
      </c>
      <c r="Q288" s="35"/>
      <c r="R288" s="35" t="s">
        <v>1895</v>
      </c>
    </row>
    <row r="289" spans="1:18" ht="24">
      <c r="A289" s="32">
        <v>1158</v>
      </c>
      <c r="B289" s="33">
        <v>46037</v>
      </c>
      <c r="C289" s="32">
        <v>2026</v>
      </c>
      <c r="D289" s="34" t="s">
        <v>1896</v>
      </c>
      <c r="E289" s="35" t="s">
        <v>1897</v>
      </c>
      <c r="F289" s="35" t="s">
        <v>913</v>
      </c>
      <c r="G289" s="34"/>
      <c r="H289" s="35" t="s">
        <v>895</v>
      </c>
      <c r="I289" s="35" t="s">
        <v>965</v>
      </c>
      <c r="J289" s="35" t="s">
        <v>1110</v>
      </c>
      <c r="K289" s="35" t="s">
        <v>888</v>
      </c>
      <c r="L289" s="35" t="s">
        <v>1086</v>
      </c>
      <c r="M289" s="35" t="s">
        <v>512</v>
      </c>
      <c r="N289" s="35" t="s">
        <v>968</v>
      </c>
      <c r="O289" s="36">
        <v>14</v>
      </c>
      <c r="P289" s="35" t="s">
        <v>360</v>
      </c>
      <c r="Q289" s="35"/>
      <c r="R289" s="35" t="s">
        <v>1898</v>
      </c>
    </row>
    <row r="290" spans="1:18" ht="24">
      <c r="A290" s="32">
        <v>1157</v>
      </c>
      <c r="B290" s="33">
        <v>46037</v>
      </c>
      <c r="C290" s="32">
        <v>2026</v>
      </c>
      <c r="D290" s="34" t="s">
        <v>1899</v>
      </c>
      <c r="E290" s="35" t="s">
        <v>1900</v>
      </c>
      <c r="F290" s="35" t="s">
        <v>882</v>
      </c>
      <c r="G290" s="34"/>
      <c r="H290" s="35" t="s">
        <v>883</v>
      </c>
      <c r="I290" s="35" t="s">
        <v>965</v>
      </c>
      <c r="J290" s="35" t="s">
        <v>1110</v>
      </c>
      <c r="K290" s="35" t="s">
        <v>888</v>
      </c>
      <c r="L290" s="35" t="s">
        <v>1086</v>
      </c>
      <c r="M290" s="35" t="s">
        <v>512</v>
      </c>
      <c r="N290" s="35" t="s">
        <v>977</v>
      </c>
      <c r="O290" s="36">
        <v>11</v>
      </c>
      <c r="P290" s="35" t="s">
        <v>360</v>
      </c>
      <c r="Q290" s="35"/>
      <c r="R290" s="35" t="s">
        <v>1901</v>
      </c>
    </row>
    <row r="291" spans="1:18" ht="24">
      <c r="A291" s="32">
        <v>1155</v>
      </c>
      <c r="B291" s="33">
        <v>46031</v>
      </c>
      <c r="C291" s="32">
        <v>2026</v>
      </c>
      <c r="D291" s="34" t="s">
        <v>1902</v>
      </c>
      <c r="E291" s="35" t="s">
        <v>1903</v>
      </c>
      <c r="F291" s="35"/>
      <c r="G291" s="34"/>
      <c r="H291" s="35"/>
      <c r="I291" s="35" t="s">
        <v>1005</v>
      </c>
      <c r="J291" s="35" t="s">
        <v>1021</v>
      </c>
      <c r="K291" s="35" t="s">
        <v>888</v>
      </c>
      <c r="L291" s="35" t="s">
        <v>1119</v>
      </c>
      <c r="M291" s="35" t="s">
        <v>519</v>
      </c>
      <c r="N291" s="35" t="s">
        <v>968</v>
      </c>
      <c r="O291" s="36">
        <v>32</v>
      </c>
      <c r="P291" s="35" t="s">
        <v>360</v>
      </c>
      <c r="Q291" s="35"/>
      <c r="R291" s="35" t="s">
        <v>1904</v>
      </c>
    </row>
    <row r="292" spans="1:18" ht="24">
      <c r="A292" s="32">
        <v>1154</v>
      </c>
      <c r="B292" s="33">
        <v>46031</v>
      </c>
      <c r="C292" s="32">
        <v>2026</v>
      </c>
      <c r="D292" s="34" t="s">
        <v>1905</v>
      </c>
      <c r="E292" s="35" t="s">
        <v>1906</v>
      </c>
      <c r="F292" s="35" t="s">
        <v>903</v>
      </c>
      <c r="G292" s="34"/>
      <c r="H292" s="35" t="s">
        <v>886</v>
      </c>
      <c r="I292" s="35" t="s">
        <v>965</v>
      </c>
      <c r="J292" s="35" t="s">
        <v>1110</v>
      </c>
      <c r="K292" s="35" t="s">
        <v>888</v>
      </c>
      <c r="L292" s="35" t="s">
        <v>1342</v>
      </c>
      <c r="M292" s="35" t="s">
        <v>515</v>
      </c>
      <c r="N292" s="35" t="s">
        <v>968</v>
      </c>
      <c r="O292" s="36">
        <v>29</v>
      </c>
      <c r="P292" s="35" t="s">
        <v>360</v>
      </c>
      <c r="Q292" s="35"/>
      <c r="R292" s="35" t="s">
        <v>1907</v>
      </c>
    </row>
    <row r="293" spans="1:18">
      <c r="A293" s="32">
        <v>1153</v>
      </c>
      <c r="B293" s="33">
        <v>46030</v>
      </c>
      <c r="C293" s="32">
        <v>2026</v>
      </c>
      <c r="D293" s="34" t="s">
        <v>1908</v>
      </c>
      <c r="E293" s="35" t="s">
        <v>1909</v>
      </c>
      <c r="F293" s="35"/>
      <c r="G293" s="34"/>
      <c r="H293" s="35"/>
      <c r="I293" s="35" t="s">
        <v>1005</v>
      </c>
      <c r="J293" s="35" t="s">
        <v>1021</v>
      </c>
      <c r="K293" s="35" t="s">
        <v>888</v>
      </c>
      <c r="L293" s="35" t="s">
        <v>1101</v>
      </c>
      <c r="M293" s="35" t="s">
        <v>530</v>
      </c>
      <c r="N293" s="35" t="s">
        <v>968</v>
      </c>
      <c r="O293" s="36">
        <v>33</v>
      </c>
      <c r="P293" s="35" t="s">
        <v>360</v>
      </c>
      <c r="Q293" s="35"/>
      <c r="R293" s="35" t="s">
        <v>1910</v>
      </c>
    </row>
    <row r="294" spans="1:18" ht="24">
      <c r="A294" s="32">
        <v>820</v>
      </c>
      <c r="B294" s="33">
        <v>46028</v>
      </c>
      <c r="C294" s="32">
        <v>2026</v>
      </c>
      <c r="D294" s="34" t="s">
        <v>1911</v>
      </c>
      <c r="E294" s="35" t="s">
        <v>1912</v>
      </c>
      <c r="F294" s="35" t="s">
        <v>911</v>
      </c>
      <c r="G294" s="34"/>
      <c r="H294" s="35" t="s">
        <v>883</v>
      </c>
      <c r="I294" s="35" t="s">
        <v>965</v>
      </c>
      <c r="J294" s="35" t="s">
        <v>1110</v>
      </c>
      <c r="K294" s="35" t="s">
        <v>888</v>
      </c>
      <c r="L294" s="35" t="s">
        <v>972</v>
      </c>
      <c r="M294" s="35" t="s">
        <v>512</v>
      </c>
      <c r="N294" s="35" t="s">
        <v>977</v>
      </c>
      <c r="O294" s="36">
        <v>14</v>
      </c>
      <c r="P294" s="35" t="s">
        <v>37</v>
      </c>
      <c r="Q294" s="35"/>
      <c r="R294" s="35" t="s">
        <v>1913</v>
      </c>
    </row>
    <row r="295" spans="1:18" ht="24">
      <c r="A295" s="32">
        <v>818</v>
      </c>
      <c r="B295" s="33">
        <v>46028</v>
      </c>
      <c r="C295" s="32">
        <v>2026</v>
      </c>
      <c r="D295" s="34" t="s">
        <v>1914</v>
      </c>
      <c r="E295" s="35" t="s">
        <v>1915</v>
      </c>
      <c r="F295" s="35" t="s">
        <v>908</v>
      </c>
      <c r="G295" s="34"/>
      <c r="H295" s="35" t="s">
        <v>886</v>
      </c>
      <c r="I295" s="35" t="s">
        <v>965</v>
      </c>
      <c r="J295" s="35" t="s">
        <v>1110</v>
      </c>
      <c r="K295" s="35" t="s">
        <v>888</v>
      </c>
      <c r="L295" s="35" t="s">
        <v>1086</v>
      </c>
      <c r="M295" s="35" t="s">
        <v>512</v>
      </c>
      <c r="N295" s="35" t="s">
        <v>977</v>
      </c>
      <c r="O295" s="36">
        <v>23</v>
      </c>
      <c r="P295" s="35" t="s">
        <v>37</v>
      </c>
      <c r="Q295" s="35"/>
      <c r="R295" s="35" t="s">
        <v>1916</v>
      </c>
    </row>
    <row r="296" spans="1:18" ht="24">
      <c r="A296" s="32">
        <v>825</v>
      </c>
      <c r="B296" s="33">
        <v>46027</v>
      </c>
      <c r="C296" s="32">
        <v>2026</v>
      </c>
      <c r="D296" s="34" t="s">
        <v>1917</v>
      </c>
      <c r="E296" s="35" t="s">
        <v>1918</v>
      </c>
      <c r="F296" s="35" t="s">
        <v>892</v>
      </c>
      <c r="G296" s="34"/>
      <c r="H296" s="35" t="s">
        <v>879</v>
      </c>
      <c r="I296" s="35" t="s">
        <v>965</v>
      </c>
      <c r="J296" s="35" t="s">
        <v>1110</v>
      </c>
      <c r="K296" s="35" t="s">
        <v>888</v>
      </c>
      <c r="L296" s="35" t="s">
        <v>972</v>
      </c>
      <c r="M296" s="35" t="s">
        <v>512</v>
      </c>
      <c r="N296" s="35" t="s">
        <v>977</v>
      </c>
      <c r="O296" s="36">
        <v>40</v>
      </c>
      <c r="P296" s="35" t="s">
        <v>37</v>
      </c>
      <c r="Q296" s="35"/>
      <c r="R296" s="35" t="s">
        <v>1919</v>
      </c>
    </row>
    <row r="297" spans="1:18" ht="24">
      <c r="A297" s="32">
        <v>817</v>
      </c>
      <c r="B297" s="33">
        <v>46026</v>
      </c>
      <c r="C297" s="32">
        <v>2026</v>
      </c>
      <c r="D297" s="34" t="s">
        <v>1920</v>
      </c>
      <c r="E297" s="35" t="s">
        <v>1921</v>
      </c>
      <c r="F297" s="35" t="s">
        <v>896</v>
      </c>
      <c r="G297" s="34"/>
      <c r="H297" s="35" t="s">
        <v>883</v>
      </c>
      <c r="I297" s="35" t="s">
        <v>965</v>
      </c>
      <c r="J297" s="35" t="s">
        <v>1110</v>
      </c>
      <c r="K297" s="35" t="s">
        <v>888</v>
      </c>
      <c r="L297" s="35" t="s">
        <v>972</v>
      </c>
      <c r="M297" s="35" t="s">
        <v>512</v>
      </c>
      <c r="N297" s="35" t="s">
        <v>977</v>
      </c>
      <c r="O297" s="36">
        <v>58</v>
      </c>
      <c r="P297" s="35" t="s">
        <v>37</v>
      </c>
      <c r="Q297" s="35"/>
      <c r="R297" s="35" t="s">
        <v>1922</v>
      </c>
    </row>
    <row r="298" spans="1:18" ht="24">
      <c r="A298" s="32">
        <v>1090</v>
      </c>
      <c r="B298" s="33">
        <v>46026</v>
      </c>
      <c r="C298" s="32">
        <v>2026</v>
      </c>
      <c r="D298" s="34" t="s">
        <v>1923</v>
      </c>
      <c r="E298" s="35" t="s">
        <v>1924</v>
      </c>
      <c r="F298" s="35" t="s">
        <v>921</v>
      </c>
      <c r="G298" s="34"/>
      <c r="H298" s="35" t="s">
        <v>895</v>
      </c>
      <c r="I298" s="35" t="s">
        <v>965</v>
      </c>
      <c r="J298" s="35" t="s">
        <v>1110</v>
      </c>
      <c r="K298" s="35" t="s">
        <v>888</v>
      </c>
      <c r="L298" s="35" t="s">
        <v>1150</v>
      </c>
      <c r="M298" s="35" t="s">
        <v>515</v>
      </c>
      <c r="N298" s="35" t="s">
        <v>977</v>
      </c>
      <c r="O298" s="36">
        <v>28</v>
      </c>
      <c r="P298" s="35" t="s">
        <v>382</v>
      </c>
      <c r="Q298" s="35"/>
      <c r="R298" s="35" t="s">
        <v>1925</v>
      </c>
    </row>
    <row r="299" spans="1:18" ht="24">
      <c r="A299" s="32">
        <v>992</v>
      </c>
      <c r="B299" s="33">
        <v>46024</v>
      </c>
      <c r="C299" s="32">
        <v>2026</v>
      </c>
      <c r="D299" s="34" t="s">
        <v>1926</v>
      </c>
      <c r="E299" s="35" t="s">
        <v>1927</v>
      </c>
      <c r="F299" s="35" t="s">
        <v>889</v>
      </c>
      <c r="G299" s="34"/>
      <c r="H299" s="35" t="s">
        <v>890</v>
      </c>
      <c r="I299" s="35" t="s">
        <v>965</v>
      </c>
      <c r="J299" s="35" t="s">
        <v>1110</v>
      </c>
      <c r="K299" s="35" t="s">
        <v>888</v>
      </c>
      <c r="L299" s="35" t="s">
        <v>1119</v>
      </c>
      <c r="M299" s="35" t="s">
        <v>519</v>
      </c>
      <c r="N299" s="35" t="s">
        <v>968</v>
      </c>
      <c r="O299" s="36">
        <v>94</v>
      </c>
      <c r="P299" s="35" t="s">
        <v>371</v>
      </c>
      <c r="Q299" s="35"/>
      <c r="R299" s="35" t="s">
        <v>1928</v>
      </c>
    </row>
    <row r="300" spans="1:18" ht="24">
      <c r="A300" s="32">
        <v>814</v>
      </c>
      <c r="B300" s="33">
        <v>46023</v>
      </c>
      <c r="C300" s="32">
        <v>2026</v>
      </c>
      <c r="D300" s="34" t="s">
        <v>1929</v>
      </c>
      <c r="E300" s="35" t="s">
        <v>1930</v>
      </c>
      <c r="F300" s="35" t="s">
        <v>887</v>
      </c>
      <c r="G300" s="34"/>
      <c r="H300" s="35" t="s">
        <v>883</v>
      </c>
      <c r="I300" s="35" t="s">
        <v>965</v>
      </c>
      <c r="J300" s="35" t="s">
        <v>1110</v>
      </c>
      <c r="K300" s="35" t="s">
        <v>888</v>
      </c>
      <c r="L300" s="35" t="s">
        <v>972</v>
      </c>
      <c r="M300" s="35" t="s">
        <v>512</v>
      </c>
      <c r="N300" s="35" t="s">
        <v>977</v>
      </c>
      <c r="O300" s="36">
        <v>21</v>
      </c>
      <c r="P300" s="35" t="s">
        <v>37</v>
      </c>
      <c r="Q300" s="35"/>
      <c r="R300" s="35" t="s">
        <v>1931</v>
      </c>
    </row>
    <row r="301" spans="1:18" ht="24">
      <c r="A301" s="32">
        <v>813</v>
      </c>
      <c r="B301" s="33">
        <v>46023</v>
      </c>
      <c r="C301" s="32">
        <v>2026</v>
      </c>
      <c r="D301" s="34" t="s">
        <v>1932</v>
      </c>
      <c r="E301" s="35" t="s">
        <v>1933</v>
      </c>
      <c r="F301" s="35" t="s">
        <v>882</v>
      </c>
      <c r="G301" s="34"/>
      <c r="H301" s="35" t="s">
        <v>883</v>
      </c>
      <c r="I301" s="35" t="s">
        <v>965</v>
      </c>
      <c r="J301" s="35" t="s">
        <v>1110</v>
      </c>
      <c r="K301" s="35" t="s">
        <v>888</v>
      </c>
      <c r="L301" s="35" t="s">
        <v>1408</v>
      </c>
      <c r="M301" s="35" t="s">
        <v>515</v>
      </c>
      <c r="N301" s="35" t="s">
        <v>977</v>
      </c>
      <c r="O301" s="36">
        <v>17</v>
      </c>
      <c r="P301" s="35" t="s">
        <v>37</v>
      </c>
      <c r="Q301" s="35"/>
      <c r="R301" s="35" t="s">
        <v>1934</v>
      </c>
    </row>
    <row r="302" spans="1:18" ht="24">
      <c r="A302" s="32">
        <v>812</v>
      </c>
      <c r="B302" s="33">
        <v>46023</v>
      </c>
      <c r="C302" s="32">
        <v>2026</v>
      </c>
      <c r="D302" s="34" t="s">
        <v>1935</v>
      </c>
      <c r="E302" s="35" t="s">
        <v>1936</v>
      </c>
      <c r="F302" s="35" t="s">
        <v>884</v>
      </c>
      <c r="G302" s="34"/>
      <c r="H302" s="35" t="s">
        <v>883</v>
      </c>
      <c r="I302" s="35" t="s">
        <v>965</v>
      </c>
      <c r="J302" s="35" t="s">
        <v>1110</v>
      </c>
      <c r="K302" s="35" t="s">
        <v>888</v>
      </c>
      <c r="L302" s="35" t="s">
        <v>976</v>
      </c>
      <c r="M302" s="35" t="s">
        <v>522</v>
      </c>
      <c r="N302" s="35" t="s">
        <v>977</v>
      </c>
      <c r="O302" s="36">
        <v>13</v>
      </c>
      <c r="P302" s="35" t="s">
        <v>37</v>
      </c>
      <c r="Q302" s="35"/>
      <c r="R302" s="35" t="s">
        <v>1937</v>
      </c>
    </row>
    <row r="303" spans="1:18" ht="24">
      <c r="A303" s="32">
        <v>1089</v>
      </c>
      <c r="B303" s="33">
        <v>46022</v>
      </c>
      <c r="C303" s="32">
        <v>2025</v>
      </c>
      <c r="D303" s="34" t="s">
        <v>1938</v>
      </c>
      <c r="E303" s="35" t="s">
        <v>1939</v>
      </c>
      <c r="F303" s="35" t="s">
        <v>878</v>
      </c>
      <c r="G303" s="34"/>
      <c r="H303" s="35" t="s">
        <v>879</v>
      </c>
      <c r="I303" s="35" t="s">
        <v>965</v>
      </c>
      <c r="J303" s="35" t="s">
        <v>1110</v>
      </c>
      <c r="K303" s="35" t="s">
        <v>888</v>
      </c>
      <c r="L303" s="35" t="s">
        <v>1086</v>
      </c>
      <c r="M303" s="35" t="s">
        <v>512</v>
      </c>
      <c r="N303" s="35" t="s">
        <v>977</v>
      </c>
      <c r="O303" s="36">
        <v>22</v>
      </c>
      <c r="P303" s="35" t="s">
        <v>382</v>
      </c>
      <c r="Q303" s="35"/>
      <c r="R303" s="35" t="s">
        <v>1940</v>
      </c>
    </row>
    <row r="304" spans="1:18" ht="36">
      <c r="A304" s="32">
        <v>991</v>
      </c>
      <c r="B304" s="33">
        <v>46021</v>
      </c>
      <c r="C304" s="32">
        <v>2025</v>
      </c>
      <c r="D304" s="34" t="s">
        <v>1941</v>
      </c>
      <c r="E304" s="35" t="s">
        <v>1942</v>
      </c>
      <c r="F304" s="35" t="s">
        <v>894</v>
      </c>
      <c r="G304" s="34"/>
      <c r="H304" s="35" t="s">
        <v>895</v>
      </c>
      <c r="I304" s="35" t="s">
        <v>965</v>
      </c>
      <c r="J304" s="35" t="s">
        <v>1110</v>
      </c>
      <c r="K304" s="35" t="s">
        <v>888</v>
      </c>
      <c r="L304" s="35" t="s">
        <v>972</v>
      </c>
      <c r="M304" s="35" t="s">
        <v>512</v>
      </c>
      <c r="N304" s="35" t="s">
        <v>977</v>
      </c>
      <c r="O304" s="36">
        <v>6</v>
      </c>
      <c r="P304" s="35" t="s">
        <v>371</v>
      </c>
      <c r="Q304" s="35"/>
      <c r="R304" s="35" t="s">
        <v>1943</v>
      </c>
    </row>
    <row r="305" spans="1:18" ht="36">
      <c r="A305" s="32">
        <v>811</v>
      </c>
      <c r="B305" s="33">
        <v>46020</v>
      </c>
      <c r="C305" s="32">
        <v>2025</v>
      </c>
      <c r="D305" s="34" t="s">
        <v>1944</v>
      </c>
      <c r="E305" s="35" t="s">
        <v>1945</v>
      </c>
      <c r="F305" s="35" t="s">
        <v>887</v>
      </c>
      <c r="G305" s="34"/>
      <c r="H305" s="35" t="s">
        <v>883</v>
      </c>
      <c r="I305" s="35" t="s">
        <v>965</v>
      </c>
      <c r="J305" s="35" t="s">
        <v>1110</v>
      </c>
      <c r="K305" s="35" t="s">
        <v>888</v>
      </c>
      <c r="L305" s="35" t="s">
        <v>972</v>
      </c>
      <c r="M305" s="35" t="s">
        <v>512</v>
      </c>
      <c r="N305" s="35" t="s">
        <v>977</v>
      </c>
      <c r="O305" s="36">
        <v>54</v>
      </c>
      <c r="P305" s="35" t="s">
        <v>37</v>
      </c>
      <c r="Q305" s="35"/>
      <c r="R305" s="35" t="s">
        <v>1946</v>
      </c>
    </row>
    <row r="306" spans="1:18" ht="24">
      <c r="A306" s="32">
        <v>810</v>
      </c>
      <c r="B306" s="33">
        <v>46019</v>
      </c>
      <c r="C306" s="32">
        <v>2025</v>
      </c>
      <c r="D306" s="34" t="s">
        <v>1947</v>
      </c>
      <c r="E306" s="35" t="s">
        <v>1948</v>
      </c>
      <c r="F306" s="35" t="s">
        <v>884</v>
      </c>
      <c r="G306" s="34"/>
      <c r="H306" s="35" t="s">
        <v>883</v>
      </c>
      <c r="I306" s="35" t="s">
        <v>965</v>
      </c>
      <c r="J306" s="35" t="s">
        <v>1110</v>
      </c>
      <c r="K306" s="35" t="s">
        <v>888</v>
      </c>
      <c r="L306" s="35" t="s">
        <v>972</v>
      </c>
      <c r="M306" s="35" t="s">
        <v>530</v>
      </c>
      <c r="N306" s="35" t="s">
        <v>977</v>
      </c>
      <c r="O306" s="36">
        <v>48</v>
      </c>
      <c r="P306" s="35" t="s">
        <v>37</v>
      </c>
      <c r="Q306" s="35"/>
      <c r="R306" s="35" t="s">
        <v>1949</v>
      </c>
    </row>
    <row r="307" spans="1:18" ht="36">
      <c r="A307" s="32">
        <v>1088</v>
      </c>
      <c r="B307" s="33">
        <v>46018</v>
      </c>
      <c r="C307" s="32">
        <v>2025</v>
      </c>
      <c r="D307" s="34" t="s">
        <v>1950</v>
      </c>
      <c r="E307" s="35" t="s">
        <v>1951</v>
      </c>
      <c r="F307" s="35" t="s">
        <v>889</v>
      </c>
      <c r="G307" s="34"/>
      <c r="H307" s="35" t="s">
        <v>890</v>
      </c>
      <c r="I307" s="35" t="s">
        <v>965</v>
      </c>
      <c r="J307" s="35" t="s">
        <v>1110</v>
      </c>
      <c r="K307" s="35" t="s">
        <v>888</v>
      </c>
      <c r="L307" s="35" t="s">
        <v>972</v>
      </c>
      <c r="M307" s="35" t="s">
        <v>512</v>
      </c>
      <c r="N307" s="35" t="s">
        <v>977</v>
      </c>
      <c r="O307" s="36">
        <v>17</v>
      </c>
      <c r="P307" s="35" t="s">
        <v>382</v>
      </c>
      <c r="Q307" s="35"/>
      <c r="R307" s="35" t="s">
        <v>1952</v>
      </c>
    </row>
    <row r="308" spans="1:18" ht="24">
      <c r="A308" s="32">
        <v>990</v>
      </c>
      <c r="B308" s="33">
        <v>46017</v>
      </c>
      <c r="C308" s="32">
        <v>2025</v>
      </c>
      <c r="D308" s="34" t="s">
        <v>1953</v>
      </c>
      <c r="E308" s="35" t="s">
        <v>1954</v>
      </c>
      <c r="F308" s="35"/>
      <c r="G308" s="34"/>
      <c r="H308" s="35"/>
      <c r="I308" s="35" t="s">
        <v>1005</v>
      </c>
      <c r="J308" s="35" t="s">
        <v>1021</v>
      </c>
      <c r="K308" s="35" t="s">
        <v>888</v>
      </c>
      <c r="L308" s="35" t="s">
        <v>972</v>
      </c>
      <c r="M308" s="35" t="s">
        <v>512</v>
      </c>
      <c r="N308" s="35" t="s">
        <v>977</v>
      </c>
      <c r="O308" s="36">
        <v>12</v>
      </c>
      <c r="P308" s="35" t="s">
        <v>371</v>
      </c>
      <c r="Q308" s="35"/>
      <c r="R308" s="35" t="s">
        <v>1955</v>
      </c>
    </row>
    <row r="309" spans="1:18" ht="24">
      <c r="A309" s="32">
        <v>989</v>
      </c>
      <c r="B309" s="33">
        <v>46016</v>
      </c>
      <c r="C309" s="32">
        <v>2025</v>
      </c>
      <c r="D309" s="34" t="s">
        <v>1956</v>
      </c>
      <c r="E309" s="35" t="s">
        <v>1957</v>
      </c>
      <c r="F309" s="35"/>
      <c r="G309" s="34"/>
      <c r="H309" s="35"/>
      <c r="I309" s="35" t="s">
        <v>1038</v>
      </c>
      <c r="J309" s="35" t="s">
        <v>1006</v>
      </c>
      <c r="K309" s="35" t="s">
        <v>1007</v>
      </c>
      <c r="L309" s="35" t="s">
        <v>972</v>
      </c>
      <c r="M309" s="35" t="s">
        <v>512</v>
      </c>
      <c r="N309" s="35" t="s">
        <v>968</v>
      </c>
      <c r="O309" s="36">
        <v>74</v>
      </c>
      <c r="P309" s="35" t="s">
        <v>371</v>
      </c>
      <c r="Q309" s="35"/>
      <c r="R309" s="35" t="s">
        <v>1958</v>
      </c>
    </row>
    <row r="310" spans="1:18" ht="24">
      <c r="A310" s="32">
        <v>809</v>
      </c>
      <c r="B310" s="33">
        <v>46016</v>
      </c>
      <c r="C310" s="32">
        <v>2025</v>
      </c>
      <c r="D310" s="34" t="s">
        <v>1959</v>
      </c>
      <c r="E310" s="35" t="s">
        <v>1960</v>
      </c>
      <c r="F310" s="35" t="s">
        <v>882</v>
      </c>
      <c r="G310" s="34"/>
      <c r="H310" s="35" t="s">
        <v>883</v>
      </c>
      <c r="I310" s="35" t="s">
        <v>965</v>
      </c>
      <c r="J310" s="35" t="s">
        <v>1110</v>
      </c>
      <c r="K310" s="35" t="s">
        <v>888</v>
      </c>
      <c r="L310" s="35" t="s">
        <v>972</v>
      </c>
      <c r="M310" s="35" t="s">
        <v>512</v>
      </c>
      <c r="N310" s="35" t="s">
        <v>968</v>
      </c>
      <c r="O310" s="36">
        <v>31</v>
      </c>
      <c r="P310" s="35" t="s">
        <v>37</v>
      </c>
      <c r="Q310" s="35"/>
      <c r="R310" s="35" t="s">
        <v>1961</v>
      </c>
    </row>
    <row r="311" spans="1:18" ht="24">
      <c r="A311" s="32">
        <v>1087</v>
      </c>
      <c r="B311" s="33">
        <v>46016</v>
      </c>
      <c r="C311" s="32">
        <v>2025</v>
      </c>
      <c r="D311" s="34" t="s">
        <v>1962</v>
      </c>
      <c r="E311" s="35" t="s">
        <v>1963</v>
      </c>
      <c r="F311" s="35"/>
      <c r="G311" s="34"/>
      <c r="H311" s="35"/>
      <c r="I311" s="35" t="s">
        <v>1038</v>
      </c>
      <c r="J311" s="35" t="s">
        <v>1006</v>
      </c>
      <c r="K311" s="35" t="s">
        <v>1007</v>
      </c>
      <c r="L311" s="35" t="s">
        <v>1119</v>
      </c>
      <c r="M311" s="35" t="s">
        <v>519</v>
      </c>
      <c r="N311" s="35" t="s">
        <v>977</v>
      </c>
      <c r="O311" s="36">
        <v>15</v>
      </c>
      <c r="P311" s="35" t="s">
        <v>382</v>
      </c>
      <c r="Q311" s="35"/>
      <c r="R311" s="35" t="s">
        <v>1964</v>
      </c>
    </row>
    <row r="312" spans="1:18">
      <c r="A312" s="32">
        <v>1152</v>
      </c>
      <c r="B312" s="33">
        <v>46014</v>
      </c>
      <c r="C312" s="32">
        <v>2025</v>
      </c>
      <c r="D312" s="34" t="s">
        <v>1965</v>
      </c>
      <c r="E312" s="35" t="s">
        <v>1966</v>
      </c>
      <c r="F312" s="35" t="s">
        <v>889</v>
      </c>
      <c r="G312" s="34"/>
      <c r="H312" s="35" t="s">
        <v>890</v>
      </c>
      <c r="I312" s="35" t="s">
        <v>965</v>
      </c>
      <c r="J312" s="35" t="s">
        <v>1110</v>
      </c>
      <c r="K312" s="35" t="s">
        <v>888</v>
      </c>
      <c r="L312" s="35" t="s">
        <v>1101</v>
      </c>
      <c r="M312" s="35" t="s">
        <v>530</v>
      </c>
      <c r="N312" s="35" t="s">
        <v>968</v>
      </c>
      <c r="O312" s="36">
        <v>11</v>
      </c>
      <c r="P312" s="35" t="s">
        <v>360</v>
      </c>
      <c r="Q312" s="35"/>
      <c r="R312" s="35" t="s">
        <v>1967</v>
      </c>
    </row>
    <row r="313" spans="1:18" ht="24">
      <c r="A313" s="32">
        <v>1151</v>
      </c>
      <c r="B313" s="33">
        <v>46014</v>
      </c>
      <c r="C313" s="32">
        <v>2025</v>
      </c>
      <c r="D313" s="34" t="s">
        <v>1968</v>
      </c>
      <c r="E313" s="35" t="s">
        <v>1969</v>
      </c>
      <c r="F313" s="35" t="s">
        <v>908</v>
      </c>
      <c r="G313" s="34"/>
      <c r="H313" s="35" t="s">
        <v>886</v>
      </c>
      <c r="I313" s="35" t="s">
        <v>965</v>
      </c>
      <c r="J313" s="35" t="s">
        <v>1110</v>
      </c>
      <c r="K313" s="35" t="s">
        <v>888</v>
      </c>
      <c r="L313" s="35" t="s">
        <v>1139</v>
      </c>
      <c r="M313" s="35" t="s">
        <v>519</v>
      </c>
      <c r="N313" s="35" t="s">
        <v>968</v>
      </c>
      <c r="O313" s="36">
        <v>28</v>
      </c>
      <c r="P313" s="35" t="s">
        <v>360</v>
      </c>
      <c r="Q313" s="35"/>
      <c r="R313" s="35" t="s">
        <v>1970</v>
      </c>
    </row>
    <row r="314" spans="1:18">
      <c r="A314" s="32">
        <v>1150</v>
      </c>
      <c r="B314" s="33">
        <v>46014</v>
      </c>
      <c r="C314" s="32">
        <v>2025</v>
      </c>
      <c r="D314" s="34" t="s">
        <v>1971</v>
      </c>
      <c r="E314" s="35" t="s">
        <v>1972</v>
      </c>
      <c r="F314" s="35"/>
      <c r="G314" s="34"/>
      <c r="H314" s="35"/>
      <c r="I314" s="35" t="s">
        <v>1038</v>
      </c>
      <c r="J314" s="35" t="s">
        <v>1006</v>
      </c>
      <c r="K314" s="35" t="s">
        <v>1007</v>
      </c>
      <c r="L314" s="35" t="s">
        <v>1158</v>
      </c>
      <c r="M314" s="35" t="s">
        <v>515</v>
      </c>
      <c r="N314" s="35" t="s">
        <v>977</v>
      </c>
      <c r="O314" s="36">
        <v>18</v>
      </c>
      <c r="P314" s="35" t="s">
        <v>360</v>
      </c>
      <c r="Q314" s="35"/>
      <c r="R314" s="35" t="s">
        <v>1973</v>
      </c>
    </row>
    <row r="315" spans="1:18" ht="24">
      <c r="A315" s="32">
        <v>1149</v>
      </c>
      <c r="B315" s="33">
        <v>46013</v>
      </c>
      <c r="C315" s="32">
        <v>2025</v>
      </c>
      <c r="D315" s="34" t="s">
        <v>1974</v>
      </c>
      <c r="E315" s="35" t="s">
        <v>1975</v>
      </c>
      <c r="F315" s="35" t="s">
        <v>892</v>
      </c>
      <c r="G315" s="34"/>
      <c r="H315" s="35" t="s">
        <v>879</v>
      </c>
      <c r="I315" s="35" t="s">
        <v>965</v>
      </c>
      <c r="J315" s="35" t="s">
        <v>1291</v>
      </c>
      <c r="K315" s="35" t="s">
        <v>897</v>
      </c>
      <c r="L315" s="35" t="s">
        <v>1086</v>
      </c>
      <c r="M315" s="35" t="s">
        <v>512</v>
      </c>
      <c r="N315" s="35" t="s">
        <v>977</v>
      </c>
      <c r="O315" s="36">
        <v>31</v>
      </c>
      <c r="P315" s="35" t="s">
        <v>360</v>
      </c>
      <c r="Q315" s="35"/>
      <c r="R315" s="35" t="s">
        <v>1976</v>
      </c>
    </row>
    <row r="316" spans="1:18" ht="24">
      <c r="A316" s="32">
        <v>807</v>
      </c>
      <c r="B316" s="33">
        <v>46013</v>
      </c>
      <c r="C316" s="32">
        <v>2025</v>
      </c>
      <c r="D316" s="34" t="s">
        <v>1977</v>
      </c>
      <c r="E316" s="35" t="s">
        <v>1978</v>
      </c>
      <c r="F316" s="35" t="s">
        <v>882</v>
      </c>
      <c r="G316" s="34"/>
      <c r="H316" s="35" t="s">
        <v>883</v>
      </c>
      <c r="I316" s="35" t="s">
        <v>965</v>
      </c>
      <c r="J316" s="35" t="s">
        <v>1110</v>
      </c>
      <c r="K316" s="35" t="s">
        <v>888</v>
      </c>
      <c r="L316" s="35" t="s">
        <v>972</v>
      </c>
      <c r="M316" s="35" t="s">
        <v>512</v>
      </c>
      <c r="N316" s="35" t="s">
        <v>977</v>
      </c>
      <c r="O316" s="36">
        <v>42</v>
      </c>
      <c r="P316" s="35" t="s">
        <v>37</v>
      </c>
      <c r="Q316" s="35"/>
      <c r="R316" s="35" t="s">
        <v>1979</v>
      </c>
    </row>
    <row r="317" spans="1:18" ht="24">
      <c r="A317" s="32">
        <v>1085</v>
      </c>
      <c r="B317" s="33">
        <v>46013</v>
      </c>
      <c r="C317" s="32">
        <v>2025</v>
      </c>
      <c r="D317" s="34" t="s">
        <v>1980</v>
      </c>
      <c r="E317" s="35" t="s">
        <v>1981</v>
      </c>
      <c r="F317" s="35"/>
      <c r="G317" s="34"/>
      <c r="H317" s="35"/>
      <c r="I317" s="35" t="s">
        <v>1005</v>
      </c>
      <c r="J317" s="35" t="s">
        <v>1021</v>
      </c>
      <c r="K317" s="35" t="s">
        <v>888</v>
      </c>
      <c r="L317" s="35" t="s">
        <v>1034</v>
      </c>
      <c r="M317" s="35" t="s">
        <v>515</v>
      </c>
      <c r="N317" s="35" t="s">
        <v>977</v>
      </c>
      <c r="O317" s="36">
        <v>19</v>
      </c>
      <c r="P317" s="35" t="s">
        <v>382</v>
      </c>
      <c r="Q317" s="35"/>
      <c r="R317" s="35" t="s">
        <v>1982</v>
      </c>
    </row>
    <row r="318" spans="1:18" ht="24">
      <c r="A318" s="32">
        <v>808</v>
      </c>
      <c r="B318" s="33">
        <v>46012</v>
      </c>
      <c r="C318" s="32">
        <v>2025</v>
      </c>
      <c r="D318" s="34" t="s">
        <v>1983</v>
      </c>
      <c r="E318" s="35" t="s">
        <v>1984</v>
      </c>
      <c r="F318" s="35"/>
      <c r="G318" s="34"/>
      <c r="H318" s="35"/>
      <c r="I318" s="35" t="s">
        <v>1038</v>
      </c>
      <c r="J318" s="35" t="s">
        <v>1006</v>
      </c>
      <c r="K318" s="35" t="s">
        <v>1007</v>
      </c>
      <c r="L318" s="35" t="s">
        <v>1086</v>
      </c>
      <c r="M318" s="35" t="s">
        <v>512</v>
      </c>
      <c r="N318" s="35" t="s">
        <v>977</v>
      </c>
      <c r="O318" s="36">
        <v>54</v>
      </c>
      <c r="P318" s="35" t="s">
        <v>37</v>
      </c>
      <c r="Q318" s="35"/>
      <c r="R318" s="35" t="s">
        <v>1985</v>
      </c>
    </row>
    <row r="319" spans="1:18" ht="24">
      <c r="A319" s="32">
        <v>1086</v>
      </c>
      <c r="B319" s="33">
        <v>46011</v>
      </c>
      <c r="C319" s="32">
        <v>2025</v>
      </c>
      <c r="D319" s="34" t="s">
        <v>1986</v>
      </c>
      <c r="E319" s="35" t="s">
        <v>1987</v>
      </c>
      <c r="F319" s="35" t="s">
        <v>878</v>
      </c>
      <c r="G319" s="34"/>
      <c r="H319" s="35" t="s">
        <v>879</v>
      </c>
      <c r="I319" s="35" t="s">
        <v>965</v>
      </c>
      <c r="J319" s="35" t="s">
        <v>1110</v>
      </c>
      <c r="K319" s="35" t="s">
        <v>888</v>
      </c>
      <c r="L319" s="35" t="s">
        <v>1086</v>
      </c>
      <c r="M319" s="35" t="s">
        <v>512</v>
      </c>
      <c r="N319" s="35" t="s">
        <v>977</v>
      </c>
      <c r="O319" s="36">
        <v>45</v>
      </c>
      <c r="P319" s="35" t="s">
        <v>382</v>
      </c>
      <c r="Q319" s="35"/>
      <c r="R319" s="35" t="s">
        <v>1988</v>
      </c>
    </row>
    <row r="320" spans="1:18" ht="24">
      <c r="A320" s="32">
        <v>806</v>
      </c>
      <c r="B320" s="33">
        <v>46011</v>
      </c>
      <c r="C320" s="32">
        <v>2025</v>
      </c>
      <c r="D320" s="34" t="s">
        <v>1989</v>
      </c>
      <c r="E320" s="35" t="s">
        <v>1990</v>
      </c>
      <c r="F320" s="35" t="s">
        <v>887</v>
      </c>
      <c r="G320" s="34"/>
      <c r="H320" s="35" t="s">
        <v>883</v>
      </c>
      <c r="I320" s="35" t="s">
        <v>965</v>
      </c>
      <c r="J320" s="35" t="s">
        <v>1110</v>
      </c>
      <c r="K320" s="35" t="s">
        <v>888</v>
      </c>
      <c r="L320" s="35" t="s">
        <v>972</v>
      </c>
      <c r="M320" s="35" t="s">
        <v>512</v>
      </c>
      <c r="N320" s="35" t="s">
        <v>977</v>
      </c>
      <c r="O320" s="36">
        <v>23</v>
      </c>
      <c r="P320" s="35" t="s">
        <v>37</v>
      </c>
      <c r="Q320" s="35"/>
      <c r="R320" s="35" t="s">
        <v>1991</v>
      </c>
    </row>
    <row r="321" spans="1:18" ht="24">
      <c r="A321" s="32">
        <v>815</v>
      </c>
      <c r="B321" s="33">
        <v>46011</v>
      </c>
      <c r="C321" s="32">
        <v>2025</v>
      </c>
      <c r="D321" s="34" t="s">
        <v>1992</v>
      </c>
      <c r="E321" s="35" t="s">
        <v>1993</v>
      </c>
      <c r="F321" s="35" t="s">
        <v>884</v>
      </c>
      <c r="G321" s="34"/>
      <c r="H321" s="35" t="s">
        <v>883</v>
      </c>
      <c r="I321" s="35" t="s">
        <v>965</v>
      </c>
      <c r="J321" s="35" t="s">
        <v>1110</v>
      </c>
      <c r="K321" s="35" t="s">
        <v>888</v>
      </c>
      <c r="L321" s="35" t="s">
        <v>1119</v>
      </c>
      <c r="M321" s="35" t="s">
        <v>519</v>
      </c>
      <c r="N321" s="35" t="s">
        <v>977</v>
      </c>
      <c r="O321" s="36">
        <v>17</v>
      </c>
      <c r="P321" s="35" t="s">
        <v>37</v>
      </c>
      <c r="Q321" s="35"/>
      <c r="R321" s="35" t="s">
        <v>1994</v>
      </c>
    </row>
    <row r="322" spans="1:18" ht="24">
      <c r="A322" s="32">
        <v>805</v>
      </c>
      <c r="B322" s="33">
        <v>46011</v>
      </c>
      <c r="C322" s="32">
        <v>2025</v>
      </c>
      <c r="D322" s="34" t="s">
        <v>1995</v>
      </c>
      <c r="E322" s="35" t="s">
        <v>1996</v>
      </c>
      <c r="F322" s="35"/>
      <c r="G322" s="34"/>
      <c r="H322" s="35" t="s">
        <v>886</v>
      </c>
      <c r="I322" s="35" t="s">
        <v>1134</v>
      </c>
      <c r="J322" s="35" t="s">
        <v>1135</v>
      </c>
      <c r="K322" s="35" t="s">
        <v>888</v>
      </c>
      <c r="L322" s="35" t="s">
        <v>972</v>
      </c>
      <c r="M322" s="35" t="s">
        <v>512</v>
      </c>
      <c r="N322" s="35" t="s">
        <v>977</v>
      </c>
      <c r="O322" s="36">
        <v>60</v>
      </c>
      <c r="P322" s="35" t="s">
        <v>37</v>
      </c>
      <c r="Q322" s="35"/>
      <c r="R322" s="35" t="s">
        <v>1997</v>
      </c>
    </row>
    <row r="323" spans="1:18" ht="36">
      <c r="A323" s="32">
        <v>804</v>
      </c>
      <c r="B323" s="33">
        <v>46011</v>
      </c>
      <c r="C323" s="32">
        <v>2025</v>
      </c>
      <c r="D323" s="34" t="s">
        <v>1998</v>
      </c>
      <c r="E323" s="35" t="s">
        <v>1999</v>
      </c>
      <c r="F323" s="35" t="s">
        <v>887</v>
      </c>
      <c r="G323" s="34"/>
      <c r="H323" s="35" t="s">
        <v>883</v>
      </c>
      <c r="I323" s="35" t="s">
        <v>965</v>
      </c>
      <c r="J323" s="35" t="s">
        <v>1110</v>
      </c>
      <c r="K323" s="35" t="s">
        <v>888</v>
      </c>
      <c r="L323" s="35" t="s">
        <v>1086</v>
      </c>
      <c r="M323" s="35" t="s">
        <v>512</v>
      </c>
      <c r="N323" s="35" t="s">
        <v>977</v>
      </c>
      <c r="O323" s="36">
        <v>40</v>
      </c>
      <c r="P323" s="35" t="s">
        <v>37</v>
      </c>
      <c r="Q323" s="35"/>
      <c r="R323" s="35" t="s">
        <v>2000</v>
      </c>
    </row>
    <row r="324" spans="1:18" ht="24">
      <c r="A324" s="32">
        <v>988</v>
      </c>
      <c r="B324" s="33">
        <v>46011</v>
      </c>
      <c r="C324" s="32">
        <v>2025</v>
      </c>
      <c r="D324" s="34" t="s">
        <v>2001</v>
      </c>
      <c r="E324" s="35" t="s">
        <v>2002</v>
      </c>
      <c r="F324" s="35"/>
      <c r="G324" s="34"/>
      <c r="H324" s="35" t="s">
        <v>886</v>
      </c>
      <c r="I324" s="35" t="s">
        <v>1134</v>
      </c>
      <c r="J324" s="35" t="s">
        <v>1135</v>
      </c>
      <c r="K324" s="35" t="s">
        <v>888</v>
      </c>
      <c r="L324" s="35" t="s">
        <v>1086</v>
      </c>
      <c r="M324" s="35" t="s">
        <v>512</v>
      </c>
      <c r="N324" s="35" t="s">
        <v>977</v>
      </c>
      <c r="O324" s="36">
        <v>10</v>
      </c>
      <c r="P324" s="35" t="s">
        <v>371</v>
      </c>
      <c r="Q324" s="35"/>
      <c r="R324" s="35" t="s">
        <v>2003</v>
      </c>
    </row>
    <row r="325" spans="1:18" ht="24">
      <c r="A325" s="32">
        <v>987</v>
      </c>
      <c r="B325" s="33">
        <v>46010</v>
      </c>
      <c r="C325" s="32">
        <v>2025</v>
      </c>
      <c r="D325" s="34" t="s">
        <v>2004</v>
      </c>
      <c r="E325" s="35" t="s">
        <v>2005</v>
      </c>
      <c r="F325" s="35"/>
      <c r="G325" s="34"/>
      <c r="H325" s="35"/>
      <c r="I325" s="35" t="s">
        <v>1038</v>
      </c>
      <c r="J325" s="35" t="s">
        <v>1006</v>
      </c>
      <c r="K325" s="35" t="s">
        <v>1007</v>
      </c>
      <c r="L325" s="35" t="s">
        <v>1086</v>
      </c>
      <c r="M325" s="35" t="s">
        <v>512</v>
      </c>
      <c r="N325" s="35" t="s">
        <v>977</v>
      </c>
      <c r="O325" s="36">
        <v>24</v>
      </c>
      <c r="P325" s="35" t="s">
        <v>371</v>
      </c>
      <c r="Q325" s="35"/>
      <c r="R325" s="35" t="s">
        <v>2006</v>
      </c>
    </row>
    <row r="326" spans="1:18" ht="24">
      <c r="A326" s="32">
        <v>816</v>
      </c>
      <c r="B326" s="33">
        <v>46010</v>
      </c>
      <c r="C326" s="32">
        <v>2025</v>
      </c>
      <c r="D326" s="34" t="s">
        <v>2007</v>
      </c>
      <c r="E326" s="35" t="s">
        <v>2008</v>
      </c>
      <c r="F326" s="35" t="s">
        <v>882</v>
      </c>
      <c r="G326" s="34"/>
      <c r="H326" s="35" t="s">
        <v>883</v>
      </c>
      <c r="I326" s="35" t="s">
        <v>965</v>
      </c>
      <c r="J326" s="35" t="s">
        <v>1110</v>
      </c>
      <c r="K326" s="35" t="s">
        <v>888</v>
      </c>
      <c r="L326" s="35" t="s">
        <v>1086</v>
      </c>
      <c r="M326" s="35" t="s">
        <v>512</v>
      </c>
      <c r="N326" s="35" t="s">
        <v>977</v>
      </c>
      <c r="O326" s="36">
        <v>9</v>
      </c>
      <c r="P326" s="35" t="s">
        <v>37</v>
      </c>
      <c r="Q326" s="35"/>
      <c r="R326" s="35" t="s">
        <v>2009</v>
      </c>
    </row>
    <row r="327" spans="1:18">
      <c r="A327" s="32">
        <v>1148</v>
      </c>
      <c r="B327" s="33">
        <v>46009</v>
      </c>
      <c r="C327" s="32">
        <v>2025</v>
      </c>
      <c r="D327" s="34" t="s">
        <v>2010</v>
      </c>
      <c r="E327" s="35" t="s">
        <v>2011</v>
      </c>
      <c r="F327" s="35" t="s">
        <v>878</v>
      </c>
      <c r="G327" s="34"/>
      <c r="H327" s="35" t="s">
        <v>879</v>
      </c>
      <c r="I327" s="35" t="s">
        <v>965</v>
      </c>
      <c r="J327" s="35" t="s">
        <v>1110</v>
      </c>
      <c r="K327" s="35" t="s">
        <v>888</v>
      </c>
      <c r="L327" s="35" t="s">
        <v>1086</v>
      </c>
      <c r="M327" s="35" t="s">
        <v>512</v>
      </c>
      <c r="N327" s="35" t="s">
        <v>968</v>
      </c>
      <c r="O327" s="36">
        <v>0</v>
      </c>
      <c r="P327" s="35" t="s">
        <v>360</v>
      </c>
      <c r="Q327" s="35"/>
      <c r="R327" s="35" t="s">
        <v>2012</v>
      </c>
    </row>
    <row r="328" spans="1:18" ht="24">
      <c r="A328" s="32">
        <v>1147</v>
      </c>
      <c r="B328" s="33">
        <v>46009</v>
      </c>
      <c r="C328" s="32">
        <v>2025</v>
      </c>
      <c r="D328" s="34" t="s">
        <v>2013</v>
      </c>
      <c r="E328" s="35" t="s">
        <v>2014</v>
      </c>
      <c r="F328" s="35"/>
      <c r="G328" s="34"/>
      <c r="H328" s="35"/>
      <c r="I328" s="35" t="s">
        <v>1005</v>
      </c>
      <c r="J328" s="35" t="s">
        <v>1021</v>
      </c>
      <c r="K328" s="35" t="s">
        <v>888</v>
      </c>
      <c r="L328" s="35" t="s">
        <v>2015</v>
      </c>
      <c r="M328" s="35" t="s">
        <v>519</v>
      </c>
      <c r="N328" s="35" t="s">
        <v>977</v>
      </c>
      <c r="O328" s="36">
        <v>23</v>
      </c>
      <c r="P328" s="35" t="s">
        <v>360</v>
      </c>
      <c r="Q328" s="35"/>
      <c r="R328" s="35" t="s">
        <v>2016</v>
      </c>
    </row>
    <row r="329" spans="1:18" ht="24">
      <c r="A329" s="32">
        <v>1146</v>
      </c>
      <c r="B329" s="33">
        <v>46009</v>
      </c>
      <c r="C329" s="32">
        <v>2025</v>
      </c>
      <c r="D329" s="34" t="s">
        <v>2017</v>
      </c>
      <c r="E329" s="35" t="s">
        <v>2018</v>
      </c>
      <c r="F329" s="35"/>
      <c r="G329" s="34"/>
      <c r="H329" s="35"/>
      <c r="I329" s="35" t="s">
        <v>1005</v>
      </c>
      <c r="J329" s="35" t="s">
        <v>1021</v>
      </c>
      <c r="K329" s="35" t="s">
        <v>888</v>
      </c>
      <c r="L329" s="35" t="s">
        <v>1119</v>
      </c>
      <c r="M329" s="35" t="s">
        <v>519</v>
      </c>
      <c r="N329" s="35" t="s">
        <v>968</v>
      </c>
      <c r="O329" s="36">
        <v>22</v>
      </c>
      <c r="P329" s="35" t="s">
        <v>360</v>
      </c>
      <c r="Q329" s="35"/>
      <c r="R329" s="35" t="s">
        <v>2019</v>
      </c>
    </row>
    <row r="330" spans="1:18" ht="24">
      <c r="A330" s="32">
        <v>1082</v>
      </c>
      <c r="B330" s="33">
        <v>46009</v>
      </c>
      <c r="C330" s="32">
        <v>2025</v>
      </c>
      <c r="D330" s="34" t="s">
        <v>2020</v>
      </c>
      <c r="E330" s="35" t="s">
        <v>2021</v>
      </c>
      <c r="F330" s="35" t="s">
        <v>878</v>
      </c>
      <c r="G330" s="34"/>
      <c r="H330" s="35" t="s">
        <v>879</v>
      </c>
      <c r="I330" s="35" t="s">
        <v>965</v>
      </c>
      <c r="J330" s="35" t="s">
        <v>1110</v>
      </c>
      <c r="K330" s="35" t="s">
        <v>888</v>
      </c>
      <c r="L330" s="35" t="s">
        <v>976</v>
      </c>
      <c r="M330" s="35" t="s">
        <v>522</v>
      </c>
      <c r="N330" s="35" t="s">
        <v>968</v>
      </c>
      <c r="O330" s="36">
        <v>13</v>
      </c>
      <c r="P330" s="35" t="s">
        <v>382</v>
      </c>
      <c r="Q330" s="35"/>
      <c r="R330" s="35" t="s">
        <v>2022</v>
      </c>
    </row>
    <row r="331" spans="1:18" ht="24">
      <c r="A331" s="32">
        <v>1145</v>
      </c>
      <c r="B331" s="33">
        <v>46007</v>
      </c>
      <c r="C331" s="32">
        <v>2025</v>
      </c>
      <c r="D331" s="34" t="s">
        <v>2023</v>
      </c>
      <c r="E331" s="35" t="s">
        <v>2024</v>
      </c>
      <c r="F331" s="35" t="s">
        <v>891</v>
      </c>
      <c r="G331" s="34"/>
      <c r="H331" s="35" t="s">
        <v>883</v>
      </c>
      <c r="I331" s="35" t="s">
        <v>965</v>
      </c>
      <c r="J331" s="35" t="s">
        <v>1110</v>
      </c>
      <c r="K331" s="35" t="s">
        <v>888</v>
      </c>
      <c r="L331" s="35" t="s">
        <v>1101</v>
      </c>
      <c r="M331" s="35" t="s">
        <v>530</v>
      </c>
      <c r="N331" s="35" t="s">
        <v>977</v>
      </c>
      <c r="O331" s="36">
        <v>11</v>
      </c>
      <c r="P331" s="35" t="s">
        <v>360</v>
      </c>
      <c r="Q331" s="35"/>
      <c r="R331" s="35" t="s">
        <v>2025</v>
      </c>
    </row>
    <row r="332" spans="1:18" ht="24">
      <c r="A332" s="32">
        <v>1144</v>
      </c>
      <c r="B332" s="33">
        <v>46006</v>
      </c>
      <c r="C332" s="32">
        <v>2025</v>
      </c>
      <c r="D332" s="34" t="s">
        <v>2026</v>
      </c>
      <c r="E332" s="35" t="s">
        <v>2027</v>
      </c>
      <c r="F332" s="35" t="s">
        <v>891</v>
      </c>
      <c r="G332" s="34"/>
      <c r="H332" s="35" t="s">
        <v>883</v>
      </c>
      <c r="I332" s="35" t="s">
        <v>965</v>
      </c>
      <c r="J332" s="35" t="s">
        <v>1110</v>
      </c>
      <c r="K332" s="35" t="s">
        <v>888</v>
      </c>
      <c r="L332" s="35" t="s">
        <v>1086</v>
      </c>
      <c r="M332" s="35" t="s">
        <v>512</v>
      </c>
      <c r="N332" s="35" t="s">
        <v>968</v>
      </c>
      <c r="O332" s="36">
        <v>9</v>
      </c>
      <c r="P332" s="35" t="s">
        <v>360</v>
      </c>
      <c r="Q332" s="35"/>
      <c r="R332" s="35" t="s">
        <v>2028</v>
      </c>
    </row>
    <row r="333" spans="1:18">
      <c r="A333" s="32">
        <v>1143</v>
      </c>
      <c r="B333" s="33">
        <v>46000</v>
      </c>
      <c r="C333" s="32">
        <v>2025</v>
      </c>
      <c r="D333" s="34" t="s">
        <v>2029</v>
      </c>
      <c r="E333" s="35" t="s">
        <v>2030</v>
      </c>
      <c r="F333" s="35"/>
      <c r="G333" s="34"/>
      <c r="H333" s="35" t="s">
        <v>886</v>
      </c>
      <c r="I333" s="35" t="s">
        <v>1134</v>
      </c>
      <c r="J333" s="35" t="s">
        <v>1135</v>
      </c>
      <c r="K333" s="35" t="s">
        <v>888</v>
      </c>
      <c r="L333" s="35" t="s">
        <v>1086</v>
      </c>
      <c r="M333" s="35" t="s">
        <v>512</v>
      </c>
      <c r="N333" s="35" t="s">
        <v>977</v>
      </c>
      <c r="O333" s="36">
        <v>11</v>
      </c>
      <c r="P333" s="35" t="s">
        <v>360</v>
      </c>
      <c r="Q333" s="35"/>
      <c r="R333" s="35" t="s">
        <v>2031</v>
      </c>
    </row>
    <row r="334" spans="1:18">
      <c r="A334" s="32">
        <v>1142</v>
      </c>
      <c r="B334" s="33">
        <v>45999</v>
      </c>
      <c r="C334" s="32">
        <v>2025</v>
      </c>
      <c r="D334" s="34" t="s">
        <v>2032</v>
      </c>
      <c r="E334" s="35" t="s">
        <v>2033</v>
      </c>
      <c r="F334" s="35" t="s">
        <v>885</v>
      </c>
      <c r="G334" s="34"/>
      <c r="H334" s="35" t="s">
        <v>886</v>
      </c>
      <c r="I334" s="35" t="s">
        <v>965</v>
      </c>
      <c r="J334" s="35" t="s">
        <v>1110</v>
      </c>
      <c r="K334" s="35" t="s">
        <v>888</v>
      </c>
      <c r="L334" s="35" t="s">
        <v>1158</v>
      </c>
      <c r="M334" s="35" t="s">
        <v>515</v>
      </c>
      <c r="N334" s="35" t="s">
        <v>968</v>
      </c>
      <c r="O334" s="36">
        <v>38</v>
      </c>
      <c r="P334" s="35" t="s">
        <v>360</v>
      </c>
      <c r="Q334" s="35"/>
      <c r="R334" s="35" t="s">
        <v>2034</v>
      </c>
    </row>
    <row r="335" spans="1:18" ht="24">
      <c r="A335" s="32">
        <v>1139</v>
      </c>
      <c r="B335" s="33">
        <v>45994</v>
      </c>
      <c r="C335" s="32">
        <v>2025</v>
      </c>
      <c r="D335" s="34" t="s">
        <v>2035</v>
      </c>
      <c r="E335" s="35" t="s">
        <v>2036</v>
      </c>
      <c r="F335" s="35" t="s">
        <v>878</v>
      </c>
      <c r="G335" s="34" t="s">
        <v>891</v>
      </c>
      <c r="H335" s="35" t="s">
        <v>879</v>
      </c>
      <c r="I335" s="35" t="s">
        <v>1317</v>
      </c>
      <c r="J335" s="35" t="s">
        <v>1291</v>
      </c>
      <c r="K335" s="35" t="s">
        <v>897</v>
      </c>
      <c r="L335" s="35" t="s">
        <v>1086</v>
      </c>
      <c r="M335" s="35" t="s">
        <v>512</v>
      </c>
      <c r="N335" s="35" t="s">
        <v>977</v>
      </c>
      <c r="O335" s="36">
        <v>16</v>
      </c>
      <c r="P335" s="35" t="s">
        <v>360</v>
      </c>
      <c r="Q335" s="35"/>
      <c r="R335" s="35" t="s">
        <v>2037</v>
      </c>
    </row>
    <row r="336" spans="1:18" ht="24">
      <c r="A336" s="32">
        <v>1138</v>
      </c>
      <c r="B336" s="33">
        <v>45988</v>
      </c>
      <c r="C336" s="32">
        <v>2025</v>
      </c>
      <c r="D336" s="34" t="s">
        <v>2038</v>
      </c>
      <c r="E336" s="35" t="s">
        <v>2039</v>
      </c>
      <c r="F336" s="35" t="s">
        <v>892</v>
      </c>
      <c r="G336" s="34"/>
      <c r="H336" s="35" t="s">
        <v>879</v>
      </c>
      <c r="I336" s="35" t="s">
        <v>965</v>
      </c>
      <c r="J336" s="35" t="s">
        <v>1110</v>
      </c>
      <c r="K336" s="35" t="s">
        <v>888</v>
      </c>
      <c r="L336" s="35" t="s">
        <v>1086</v>
      </c>
      <c r="M336" s="35" t="s">
        <v>512</v>
      </c>
      <c r="N336" s="35" t="s">
        <v>977</v>
      </c>
      <c r="O336" s="36">
        <v>30</v>
      </c>
      <c r="P336" s="35" t="s">
        <v>360</v>
      </c>
      <c r="Q336" s="35"/>
      <c r="R336" s="35" t="s">
        <v>2040</v>
      </c>
    </row>
    <row r="337" spans="1:18" ht="24">
      <c r="A337" s="32">
        <v>981</v>
      </c>
      <c r="B337" s="33">
        <v>45988</v>
      </c>
      <c r="C337" s="32">
        <v>2025</v>
      </c>
      <c r="D337" s="34" t="s">
        <v>2041</v>
      </c>
      <c r="E337" s="35" t="s">
        <v>2042</v>
      </c>
      <c r="F337" s="35"/>
      <c r="G337" s="34"/>
      <c r="H337" s="35" t="s">
        <v>886</v>
      </c>
      <c r="I337" s="35" t="s">
        <v>1134</v>
      </c>
      <c r="J337" s="35" t="s">
        <v>1135</v>
      </c>
      <c r="K337" s="35" t="s">
        <v>888</v>
      </c>
      <c r="L337" s="35" t="s">
        <v>972</v>
      </c>
      <c r="M337" s="35" t="s">
        <v>512</v>
      </c>
      <c r="N337" s="35" t="s">
        <v>977</v>
      </c>
      <c r="O337" s="36">
        <v>21</v>
      </c>
      <c r="P337" s="35" t="s">
        <v>371</v>
      </c>
      <c r="Q337" s="35"/>
      <c r="R337" s="35" t="s">
        <v>2043</v>
      </c>
    </row>
    <row r="338" spans="1:18" ht="24">
      <c r="A338" s="32">
        <v>1137</v>
      </c>
      <c r="B338" s="33">
        <v>45987</v>
      </c>
      <c r="C338" s="32">
        <v>2025</v>
      </c>
      <c r="D338" s="34" t="s">
        <v>2044</v>
      </c>
      <c r="E338" s="35" t="s">
        <v>2045</v>
      </c>
      <c r="F338" s="35" t="s">
        <v>887</v>
      </c>
      <c r="G338" s="34"/>
      <c r="H338" s="35" t="s">
        <v>883</v>
      </c>
      <c r="I338" s="35" t="s">
        <v>965</v>
      </c>
      <c r="J338" s="35" t="s">
        <v>1291</v>
      </c>
      <c r="K338" s="35" t="s">
        <v>897</v>
      </c>
      <c r="L338" s="35" t="s">
        <v>1139</v>
      </c>
      <c r="M338" s="35" t="s">
        <v>519</v>
      </c>
      <c r="N338" s="35" t="s">
        <v>968</v>
      </c>
      <c r="O338" s="36">
        <v>0</v>
      </c>
      <c r="P338" s="35" t="s">
        <v>360</v>
      </c>
      <c r="Q338" s="35"/>
      <c r="R338" s="35" t="s">
        <v>2046</v>
      </c>
    </row>
    <row r="339" spans="1:18" ht="24">
      <c r="A339" s="32">
        <v>1136</v>
      </c>
      <c r="B339" s="33">
        <v>45987</v>
      </c>
      <c r="C339" s="32">
        <v>2025</v>
      </c>
      <c r="D339" s="34" t="s">
        <v>2047</v>
      </c>
      <c r="E339" s="35" t="s">
        <v>2048</v>
      </c>
      <c r="F339" s="35"/>
      <c r="G339" s="34"/>
      <c r="H339" s="35"/>
      <c r="I339" s="35" t="s">
        <v>1005</v>
      </c>
      <c r="J339" s="35" t="s">
        <v>1021</v>
      </c>
      <c r="K339" s="35" t="s">
        <v>888</v>
      </c>
      <c r="L339" s="35" t="s">
        <v>1034</v>
      </c>
      <c r="M339" s="35" t="s">
        <v>515</v>
      </c>
      <c r="N339" s="35" t="s">
        <v>977</v>
      </c>
      <c r="O339" s="36">
        <v>16</v>
      </c>
      <c r="P339" s="35" t="s">
        <v>360</v>
      </c>
      <c r="Q339" s="35"/>
      <c r="R339" s="35" t="s">
        <v>2049</v>
      </c>
    </row>
    <row r="340" spans="1:18" ht="24">
      <c r="A340" s="32">
        <v>1135</v>
      </c>
      <c r="B340" s="33">
        <v>45986</v>
      </c>
      <c r="C340" s="32">
        <v>2025</v>
      </c>
      <c r="D340" s="34" t="s">
        <v>2050</v>
      </c>
      <c r="E340" s="35" t="s">
        <v>2051</v>
      </c>
      <c r="F340" s="35" t="s">
        <v>882</v>
      </c>
      <c r="G340" s="34" t="s">
        <v>896</v>
      </c>
      <c r="H340" s="35" t="s">
        <v>883</v>
      </c>
      <c r="I340" s="35" t="s">
        <v>1317</v>
      </c>
      <c r="J340" s="35" t="s">
        <v>1110</v>
      </c>
      <c r="K340" s="35" t="s">
        <v>888</v>
      </c>
      <c r="L340" s="35" t="s">
        <v>1086</v>
      </c>
      <c r="M340" s="35" t="s">
        <v>512</v>
      </c>
      <c r="N340" s="35" t="s">
        <v>977</v>
      </c>
      <c r="O340" s="36">
        <v>0</v>
      </c>
      <c r="P340" s="35" t="s">
        <v>360</v>
      </c>
      <c r="Q340" s="35"/>
      <c r="R340" s="35" t="s">
        <v>2052</v>
      </c>
    </row>
    <row r="341" spans="1:18">
      <c r="A341" s="32">
        <v>1134</v>
      </c>
      <c r="B341" s="33">
        <v>45986</v>
      </c>
      <c r="C341" s="32">
        <v>2025</v>
      </c>
      <c r="D341" s="34" t="s">
        <v>2053</v>
      </c>
      <c r="E341" s="35" t="s">
        <v>2054</v>
      </c>
      <c r="F341" s="35"/>
      <c r="G341" s="34"/>
      <c r="H341" s="35"/>
      <c r="I341" s="35" t="s">
        <v>1005</v>
      </c>
      <c r="J341" s="35" t="s">
        <v>1021</v>
      </c>
      <c r="K341" s="35" t="s">
        <v>888</v>
      </c>
      <c r="L341" s="35" t="s">
        <v>1086</v>
      </c>
      <c r="M341" s="35" t="s">
        <v>512</v>
      </c>
      <c r="N341" s="35" t="s">
        <v>968</v>
      </c>
      <c r="O341" s="36">
        <v>17</v>
      </c>
      <c r="P341" s="35" t="s">
        <v>360</v>
      </c>
      <c r="Q341" s="35"/>
      <c r="R341" s="35" t="s">
        <v>2055</v>
      </c>
    </row>
    <row r="342" spans="1:18" ht="24">
      <c r="A342" s="32">
        <v>1133</v>
      </c>
      <c r="B342" s="33">
        <v>45985</v>
      </c>
      <c r="C342" s="32">
        <v>2025</v>
      </c>
      <c r="D342" s="34" t="s">
        <v>2056</v>
      </c>
      <c r="E342" s="35" t="s">
        <v>2057</v>
      </c>
      <c r="F342" s="35" t="s">
        <v>915</v>
      </c>
      <c r="G342" s="34"/>
      <c r="H342" s="35" t="s">
        <v>890</v>
      </c>
      <c r="I342" s="35" t="s">
        <v>965</v>
      </c>
      <c r="J342" s="35" t="s">
        <v>1110</v>
      </c>
      <c r="K342" s="35" t="s">
        <v>888</v>
      </c>
      <c r="L342" s="35" t="s">
        <v>1127</v>
      </c>
      <c r="M342" s="35" t="s">
        <v>515</v>
      </c>
      <c r="N342" s="35" t="s">
        <v>977</v>
      </c>
      <c r="O342" s="36">
        <v>28</v>
      </c>
      <c r="P342" s="35" t="s">
        <v>360</v>
      </c>
      <c r="Q342" s="35"/>
      <c r="R342" s="35" t="s">
        <v>2058</v>
      </c>
    </row>
    <row r="343" spans="1:18" ht="24">
      <c r="A343" s="32">
        <v>800</v>
      </c>
      <c r="B343" s="33">
        <v>45984</v>
      </c>
      <c r="C343" s="32">
        <v>2025</v>
      </c>
      <c r="D343" s="34" t="s">
        <v>2059</v>
      </c>
      <c r="E343" s="35" t="s">
        <v>2060</v>
      </c>
      <c r="F343" s="35" t="s">
        <v>882</v>
      </c>
      <c r="G343" s="34"/>
      <c r="H343" s="35" t="s">
        <v>883</v>
      </c>
      <c r="I343" s="35" t="s">
        <v>965</v>
      </c>
      <c r="J343" s="35" t="s">
        <v>1110</v>
      </c>
      <c r="K343" s="35" t="s">
        <v>888</v>
      </c>
      <c r="L343" s="35" t="s">
        <v>972</v>
      </c>
      <c r="M343" s="35" t="s">
        <v>512</v>
      </c>
      <c r="N343" s="35" t="s">
        <v>977</v>
      </c>
      <c r="O343" s="36">
        <v>16</v>
      </c>
      <c r="P343" s="35" t="s">
        <v>37</v>
      </c>
      <c r="Q343" s="35"/>
      <c r="R343" s="35" t="s">
        <v>2061</v>
      </c>
    </row>
    <row r="344" spans="1:18" ht="24">
      <c r="A344" s="32">
        <v>980</v>
      </c>
      <c r="B344" s="33">
        <v>45984</v>
      </c>
      <c r="C344" s="32">
        <v>2025</v>
      </c>
      <c r="D344" s="34" t="s">
        <v>2062</v>
      </c>
      <c r="E344" s="35" t="s">
        <v>2063</v>
      </c>
      <c r="F344" s="35"/>
      <c r="G344" s="34"/>
      <c r="H344" s="35"/>
      <c r="I344" s="35" t="s">
        <v>1005</v>
      </c>
      <c r="J344" s="35" t="s">
        <v>1021</v>
      </c>
      <c r="K344" s="35" t="s">
        <v>888</v>
      </c>
      <c r="L344" s="35" t="s">
        <v>972</v>
      </c>
      <c r="M344" s="35" t="s">
        <v>512</v>
      </c>
      <c r="N344" s="35" t="s">
        <v>968</v>
      </c>
      <c r="O344" s="36">
        <v>29</v>
      </c>
      <c r="P344" s="35" t="s">
        <v>371</v>
      </c>
      <c r="Q344" s="35"/>
      <c r="R344" s="35" t="s">
        <v>2064</v>
      </c>
    </row>
    <row r="345" spans="1:18" ht="36">
      <c r="A345" s="32">
        <v>1081</v>
      </c>
      <c r="B345" s="33">
        <v>45984</v>
      </c>
      <c r="C345" s="32">
        <v>2025</v>
      </c>
      <c r="D345" s="34" t="s">
        <v>2065</v>
      </c>
      <c r="E345" s="35" t="s">
        <v>2066</v>
      </c>
      <c r="F345" s="35"/>
      <c r="G345" s="34"/>
      <c r="H345" s="35"/>
      <c r="I345" s="35" t="s">
        <v>1038</v>
      </c>
      <c r="J345" s="35" t="s">
        <v>1006</v>
      </c>
      <c r="K345" s="35" t="s">
        <v>1007</v>
      </c>
      <c r="L345" s="35" t="s">
        <v>972</v>
      </c>
      <c r="M345" s="35" t="s">
        <v>512</v>
      </c>
      <c r="N345" s="35" t="s">
        <v>968</v>
      </c>
      <c r="O345" s="36">
        <v>6</v>
      </c>
      <c r="P345" s="35" t="s">
        <v>382</v>
      </c>
      <c r="Q345" s="35"/>
      <c r="R345" s="35" t="s">
        <v>2067</v>
      </c>
    </row>
    <row r="346" spans="1:18" ht="24">
      <c r="A346" s="32">
        <v>799</v>
      </c>
      <c r="B346" s="33">
        <v>45983</v>
      </c>
      <c r="C346" s="32">
        <v>2025</v>
      </c>
      <c r="D346" s="34" t="s">
        <v>2068</v>
      </c>
      <c r="E346" s="35" t="s">
        <v>2069</v>
      </c>
      <c r="F346" s="35" t="s">
        <v>878</v>
      </c>
      <c r="G346" s="34"/>
      <c r="H346" s="35" t="s">
        <v>879</v>
      </c>
      <c r="I346" s="35" t="s">
        <v>965</v>
      </c>
      <c r="J346" s="35" t="s">
        <v>1110</v>
      </c>
      <c r="K346" s="35" t="s">
        <v>888</v>
      </c>
      <c r="L346" s="35" t="s">
        <v>1086</v>
      </c>
      <c r="M346" s="35" t="s">
        <v>512</v>
      </c>
      <c r="N346" s="35" t="s">
        <v>977</v>
      </c>
      <c r="O346" s="36">
        <v>34</v>
      </c>
      <c r="P346" s="35" t="s">
        <v>37</v>
      </c>
      <c r="Q346" s="35"/>
      <c r="R346" s="35" t="s">
        <v>2070</v>
      </c>
    </row>
    <row r="347" spans="1:18" ht="24">
      <c r="A347" s="32">
        <v>1130</v>
      </c>
      <c r="B347" s="33">
        <v>45979</v>
      </c>
      <c r="C347" s="32">
        <v>2025</v>
      </c>
      <c r="D347" s="34" t="s">
        <v>2071</v>
      </c>
      <c r="E347" s="35" t="s">
        <v>2072</v>
      </c>
      <c r="F347" s="35" t="s">
        <v>882</v>
      </c>
      <c r="G347" s="34"/>
      <c r="H347" s="35" t="s">
        <v>883</v>
      </c>
      <c r="I347" s="35" t="s">
        <v>965</v>
      </c>
      <c r="J347" s="35" t="s">
        <v>1110</v>
      </c>
      <c r="K347" s="35" t="s">
        <v>888</v>
      </c>
      <c r="L347" s="35" t="s">
        <v>1008</v>
      </c>
      <c r="M347" s="35" t="s">
        <v>526</v>
      </c>
      <c r="N347" s="35" t="s">
        <v>977</v>
      </c>
      <c r="O347" s="36">
        <v>11</v>
      </c>
      <c r="P347" s="35" t="s">
        <v>360</v>
      </c>
      <c r="Q347" s="35"/>
      <c r="R347" s="35" t="s">
        <v>2073</v>
      </c>
    </row>
    <row r="348" spans="1:18">
      <c r="A348" s="32">
        <v>1129</v>
      </c>
      <c r="B348" s="33">
        <v>45978</v>
      </c>
      <c r="C348" s="32">
        <v>2025</v>
      </c>
      <c r="D348" s="34" t="s">
        <v>2074</v>
      </c>
      <c r="E348" s="35" t="s">
        <v>2075</v>
      </c>
      <c r="F348" s="35" t="s">
        <v>904</v>
      </c>
      <c r="G348" s="34"/>
      <c r="H348" s="35" t="s">
        <v>886</v>
      </c>
      <c r="I348" s="35" t="s">
        <v>965</v>
      </c>
      <c r="J348" s="35" t="s">
        <v>1110</v>
      </c>
      <c r="K348" s="35" t="s">
        <v>888</v>
      </c>
      <c r="L348" s="35" t="s">
        <v>1101</v>
      </c>
      <c r="M348" s="35" t="s">
        <v>530</v>
      </c>
      <c r="N348" s="35" t="s">
        <v>968</v>
      </c>
      <c r="O348" s="36">
        <v>29</v>
      </c>
      <c r="P348" s="35" t="s">
        <v>360</v>
      </c>
      <c r="Q348" s="35"/>
      <c r="R348" s="35" t="s">
        <v>2076</v>
      </c>
    </row>
    <row r="349" spans="1:18">
      <c r="A349" s="32">
        <v>1128</v>
      </c>
      <c r="B349" s="33">
        <v>45975</v>
      </c>
      <c r="C349" s="32">
        <v>2025</v>
      </c>
      <c r="D349" s="34" t="s">
        <v>2077</v>
      </c>
      <c r="E349" s="35" t="s">
        <v>2078</v>
      </c>
      <c r="F349" s="35" t="s">
        <v>878</v>
      </c>
      <c r="G349" s="34"/>
      <c r="H349" s="35" t="s">
        <v>879</v>
      </c>
      <c r="I349" s="35" t="s">
        <v>965</v>
      </c>
      <c r="J349" s="35" t="s">
        <v>1291</v>
      </c>
      <c r="K349" s="35" t="s">
        <v>897</v>
      </c>
      <c r="L349" s="35" t="s">
        <v>1086</v>
      </c>
      <c r="M349" s="35" t="s">
        <v>512</v>
      </c>
      <c r="N349" s="35" t="s">
        <v>968</v>
      </c>
      <c r="O349" s="36">
        <v>12</v>
      </c>
      <c r="P349" s="35" t="s">
        <v>360</v>
      </c>
      <c r="Q349" s="35"/>
      <c r="R349" s="35" t="s">
        <v>2079</v>
      </c>
    </row>
    <row r="350" spans="1:18" ht="24">
      <c r="A350" s="32">
        <v>1079</v>
      </c>
      <c r="B350" s="33">
        <v>45973</v>
      </c>
      <c r="C350" s="32">
        <v>2025</v>
      </c>
      <c r="D350" s="34" t="s">
        <v>2080</v>
      </c>
      <c r="E350" s="35" t="s">
        <v>2081</v>
      </c>
      <c r="F350" s="35" t="s">
        <v>878</v>
      </c>
      <c r="G350" s="34"/>
      <c r="H350" s="35" t="s">
        <v>879</v>
      </c>
      <c r="I350" s="35" t="s">
        <v>965</v>
      </c>
      <c r="J350" s="35" t="s">
        <v>1110</v>
      </c>
      <c r="K350" s="35" t="s">
        <v>888</v>
      </c>
      <c r="L350" s="35" t="s">
        <v>1086</v>
      </c>
      <c r="M350" s="35" t="s">
        <v>530</v>
      </c>
      <c r="N350" s="35" t="s">
        <v>977</v>
      </c>
      <c r="O350" s="36">
        <v>7</v>
      </c>
      <c r="P350" s="35" t="s">
        <v>382</v>
      </c>
      <c r="Q350" s="35"/>
      <c r="R350" s="35" t="s">
        <v>2082</v>
      </c>
    </row>
    <row r="351" spans="1:18">
      <c r="A351" s="32">
        <v>1127</v>
      </c>
      <c r="B351" s="33">
        <v>45973</v>
      </c>
      <c r="C351" s="32">
        <v>2025</v>
      </c>
      <c r="D351" s="34" t="s">
        <v>2083</v>
      </c>
      <c r="E351" s="35" t="s">
        <v>2084</v>
      </c>
      <c r="F351" s="35" t="s">
        <v>913</v>
      </c>
      <c r="G351" s="34" t="s">
        <v>882</v>
      </c>
      <c r="H351" s="35" t="s">
        <v>895</v>
      </c>
      <c r="I351" s="35" t="s">
        <v>1317</v>
      </c>
      <c r="J351" s="35" t="s">
        <v>1291</v>
      </c>
      <c r="K351" s="35" t="s">
        <v>897</v>
      </c>
      <c r="L351" s="35" t="s">
        <v>1086</v>
      </c>
      <c r="M351" s="35" t="s">
        <v>512</v>
      </c>
      <c r="N351" s="35" t="s">
        <v>977</v>
      </c>
      <c r="O351" s="36">
        <v>35</v>
      </c>
      <c r="P351" s="35" t="s">
        <v>360</v>
      </c>
      <c r="Q351" s="35"/>
      <c r="R351" s="35" t="s">
        <v>2085</v>
      </c>
    </row>
    <row r="352" spans="1:18" ht="24">
      <c r="A352" s="32">
        <v>1126</v>
      </c>
      <c r="B352" s="33">
        <v>45971</v>
      </c>
      <c r="C352" s="32">
        <v>2025</v>
      </c>
      <c r="D352" s="34" t="s">
        <v>2086</v>
      </c>
      <c r="E352" s="35" t="s">
        <v>2087</v>
      </c>
      <c r="F352" s="35" t="s">
        <v>878</v>
      </c>
      <c r="G352" s="34"/>
      <c r="H352" s="35" t="s">
        <v>879</v>
      </c>
      <c r="I352" s="35" t="s">
        <v>965</v>
      </c>
      <c r="J352" s="35" t="s">
        <v>1110</v>
      </c>
      <c r="K352" s="35" t="s">
        <v>888</v>
      </c>
      <c r="L352" s="35" t="s">
        <v>1086</v>
      </c>
      <c r="M352" s="35" t="s">
        <v>512</v>
      </c>
      <c r="N352" s="35" t="s">
        <v>977</v>
      </c>
      <c r="O352" s="36">
        <v>42</v>
      </c>
      <c r="P352" s="35" t="s">
        <v>360</v>
      </c>
      <c r="Q352" s="35"/>
      <c r="R352" s="35" t="s">
        <v>2088</v>
      </c>
    </row>
    <row r="353" spans="1:18" ht="24">
      <c r="A353" s="32">
        <v>1125</v>
      </c>
      <c r="B353" s="33">
        <v>45961</v>
      </c>
      <c r="C353" s="32">
        <v>2025</v>
      </c>
      <c r="D353" s="34" t="s">
        <v>2089</v>
      </c>
      <c r="E353" s="35" t="s">
        <v>2090</v>
      </c>
      <c r="F353" s="35" t="s">
        <v>913</v>
      </c>
      <c r="G353" s="34" t="s">
        <v>882</v>
      </c>
      <c r="H353" s="35" t="s">
        <v>895</v>
      </c>
      <c r="I353" s="35" t="s">
        <v>1317</v>
      </c>
      <c r="J353" s="35" t="s">
        <v>1110</v>
      </c>
      <c r="K353" s="35" t="s">
        <v>888</v>
      </c>
      <c r="L353" s="35" t="s">
        <v>2015</v>
      </c>
      <c r="M353" s="35" t="s">
        <v>519</v>
      </c>
      <c r="N353" s="35" t="s">
        <v>977</v>
      </c>
      <c r="O353" s="36">
        <v>30</v>
      </c>
      <c r="P353" s="35" t="s">
        <v>360</v>
      </c>
      <c r="Q353" s="35"/>
      <c r="R353" s="35" t="s">
        <v>2091</v>
      </c>
    </row>
    <row r="354" spans="1:18" ht="24">
      <c r="A354" s="32">
        <v>1124</v>
      </c>
      <c r="B354" s="33">
        <v>45959</v>
      </c>
      <c r="C354" s="32">
        <v>2025</v>
      </c>
      <c r="D354" s="34" t="s">
        <v>2092</v>
      </c>
      <c r="E354" s="35" t="s">
        <v>2093</v>
      </c>
      <c r="F354" s="35" t="s">
        <v>922</v>
      </c>
      <c r="G354" s="34"/>
      <c r="H354" s="35" t="s">
        <v>890</v>
      </c>
      <c r="I354" s="35" t="s">
        <v>965</v>
      </c>
      <c r="J354" s="35" t="s">
        <v>1110</v>
      </c>
      <c r="K354" s="35" t="s">
        <v>888</v>
      </c>
      <c r="L354" s="35" t="s">
        <v>1119</v>
      </c>
      <c r="M354" s="35" t="s">
        <v>519</v>
      </c>
      <c r="N354" s="35" t="s">
        <v>968</v>
      </c>
      <c r="O354" s="36">
        <v>25</v>
      </c>
      <c r="P354" s="35" t="s">
        <v>360</v>
      </c>
      <c r="Q354" s="35"/>
      <c r="R354" s="35" t="s">
        <v>2094</v>
      </c>
    </row>
    <row r="355" spans="1:18" ht="24">
      <c r="A355" s="32">
        <v>1123</v>
      </c>
      <c r="B355" s="33">
        <v>45955</v>
      </c>
      <c r="C355" s="32">
        <v>2025</v>
      </c>
      <c r="D355" s="34" t="s">
        <v>2095</v>
      </c>
      <c r="E355" s="35" t="s">
        <v>2096</v>
      </c>
      <c r="F355" s="35" t="s">
        <v>896</v>
      </c>
      <c r="G355" s="34"/>
      <c r="H355" s="35" t="s">
        <v>883</v>
      </c>
      <c r="I355" s="35" t="s">
        <v>965</v>
      </c>
      <c r="J355" s="35" t="s">
        <v>1110</v>
      </c>
      <c r="K355" s="35" t="s">
        <v>888</v>
      </c>
      <c r="L355" s="35" t="s">
        <v>2015</v>
      </c>
      <c r="M355" s="35" t="s">
        <v>519</v>
      </c>
      <c r="N355" s="35" t="s">
        <v>977</v>
      </c>
      <c r="O355" s="36">
        <v>15</v>
      </c>
      <c r="P355" s="35" t="s">
        <v>360</v>
      </c>
      <c r="Q355" s="35"/>
      <c r="R355" s="35" t="s">
        <v>2097</v>
      </c>
    </row>
    <row r="356" spans="1:18" ht="24">
      <c r="A356" s="32">
        <v>1122</v>
      </c>
      <c r="B356" s="33">
        <v>45951</v>
      </c>
      <c r="C356" s="32">
        <v>2025</v>
      </c>
      <c r="D356" s="34" t="s">
        <v>2098</v>
      </c>
      <c r="E356" s="35" t="s">
        <v>2099</v>
      </c>
      <c r="F356" s="35" t="s">
        <v>913</v>
      </c>
      <c r="G356" s="34" t="s">
        <v>882</v>
      </c>
      <c r="H356" s="35" t="s">
        <v>895</v>
      </c>
      <c r="I356" s="35" t="s">
        <v>1317</v>
      </c>
      <c r="J356" s="35" t="s">
        <v>1110</v>
      </c>
      <c r="K356" s="35" t="s">
        <v>888</v>
      </c>
      <c r="L356" s="35" t="s">
        <v>972</v>
      </c>
      <c r="M356" s="35" t="s">
        <v>512</v>
      </c>
      <c r="N356" s="35" t="s">
        <v>968</v>
      </c>
      <c r="O356" s="36">
        <v>30</v>
      </c>
      <c r="P356" s="35" t="s">
        <v>360</v>
      </c>
      <c r="Q356" s="35"/>
      <c r="R356" s="35" t="s">
        <v>2100</v>
      </c>
    </row>
    <row r="357" spans="1:18" ht="24">
      <c r="A357" s="32">
        <v>1121</v>
      </c>
      <c r="B357" s="33">
        <v>45947</v>
      </c>
      <c r="C357" s="32">
        <v>2025</v>
      </c>
      <c r="D357" s="34" t="s">
        <v>2101</v>
      </c>
      <c r="E357" s="35" t="s">
        <v>2102</v>
      </c>
      <c r="F357" s="35"/>
      <c r="G357" s="34"/>
      <c r="H357" s="35"/>
      <c r="I357" s="35" t="s">
        <v>1005</v>
      </c>
      <c r="J357" s="35" t="s">
        <v>1021</v>
      </c>
      <c r="K357" s="35" t="s">
        <v>888</v>
      </c>
      <c r="L357" s="35" t="s">
        <v>2015</v>
      </c>
      <c r="M357" s="35" t="s">
        <v>519</v>
      </c>
      <c r="N357" s="35" t="s">
        <v>977</v>
      </c>
      <c r="O357" s="36">
        <v>24</v>
      </c>
      <c r="P357" s="35" t="s">
        <v>360</v>
      </c>
      <c r="Q357" s="35"/>
      <c r="R357" s="35" t="s">
        <v>2103</v>
      </c>
    </row>
    <row r="358" spans="1:18" ht="24">
      <c r="A358" s="32">
        <v>1120</v>
      </c>
      <c r="B358" s="33">
        <v>45945</v>
      </c>
      <c r="C358" s="32">
        <v>2025</v>
      </c>
      <c r="D358" s="34" t="s">
        <v>2104</v>
      </c>
      <c r="E358" s="35" t="s">
        <v>2105</v>
      </c>
      <c r="F358" s="35"/>
      <c r="G358" s="34"/>
      <c r="H358" s="35"/>
      <c r="I358" s="35" t="s">
        <v>1005</v>
      </c>
      <c r="J358" s="35" t="s">
        <v>1021</v>
      </c>
      <c r="K358" s="35" t="s">
        <v>888</v>
      </c>
      <c r="L358" s="35" t="s">
        <v>972</v>
      </c>
      <c r="M358" s="35" t="s">
        <v>512</v>
      </c>
      <c r="N358" s="35" t="s">
        <v>968</v>
      </c>
      <c r="O358" s="36">
        <v>16</v>
      </c>
      <c r="P358" s="35" t="s">
        <v>360</v>
      </c>
      <c r="Q358" s="35"/>
      <c r="R358" s="35" t="s">
        <v>2106</v>
      </c>
    </row>
    <row r="359" spans="1:18">
      <c r="A359" s="32">
        <v>798</v>
      </c>
      <c r="B359" s="33">
        <v>45942</v>
      </c>
      <c r="C359" s="32">
        <v>2025</v>
      </c>
      <c r="D359" s="34" t="s">
        <v>2107</v>
      </c>
      <c r="E359" s="35" t="s">
        <v>2108</v>
      </c>
      <c r="F359" s="35" t="s">
        <v>892</v>
      </c>
      <c r="G359" s="34"/>
      <c r="H359" s="35" t="s">
        <v>879</v>
      </c>
      <c r="I359" s="35" t="s">
        <v>965</v>
      </c>
      <c r="J359" s="35" t="s">
        <v>1110</v>
      </c>
      <c r="K359" s="35" t="s">
        <v>888</v>
      </c>
      <c r="L359" s="35" t="s">
        <v>976</v>
      </c>
      <c r="M359" s="35" t="s">
        <v>522</v>
      </c>
      <c r="N359" s="35" t="s">
        <v>977</v>
      </c>
      <c r="O359" s="36">
        <v>18</v>
      </c>
      <c r="P359" s="35" t="s">
        <v>37</v>
      </c>
      <c r="Q359" s="35"/>
      <c r="R359" s="35" t="s">
        <v>2109</v>
      </c>
    </row>
    <row r="360" spans="1:18" ht="24">
      <c r="A360" s="32">
        <v>1118</v>
      </c>
      <c r="B360" s="33">
        <v>45939</v>
      </c>
      <c r="C360" s="32">
        <v>2025</v>
      </c>
      <c r="D360" s="34" t="s">
        <v>2110</v>
      </c>
      <c r="E360" s="35" t="s">
        <v>2111</v>
      </c>
      <c r="F360" s="35" t="s">
        <v>899</v>
      </c>
      <c r="G360" s="34"/>
      <c r="H360" s="35" t="s">
        <v>886</v>
      </c>
      <c r="I360" s="35" t="s">
        <v>965</v>
      </c>
      <c r="J360" s="35" t="s">
        <v>1110</v>
      </c>
      <c r="K360" s="35" t="s">
        <v>888</v>
      </c>
      <c r="L360" s="35" t="s">
        <v>1150</v>
      </c>
      <c r="M360" s="35" t="s">
        <v>515</v>
      </c>
      <c r="N360" s="35" t="s">
        <v>977</v>
      </c>
      <c r="O360" s="36">
        <v>18</v>
      </c>
      <c r="P360" s="35" t="s">
        <v>360</v>
      </c>
      <c r="Q360" s="35"/>
      <c r="R360" s="35" t="s">
        <v>2112</v>
      </c>
    </row>
    <row r="361" spans="1:18" ht="24">
      <c r="A361" s="32">
        <v>1116</v>
      </c>
      <c r="B361" s="33">
        <v>45931</v>
      </c>
      <c r="C361" s="32">
        <v>2025</v>
      </c>
      <c r="D361" s="34" t="s">
        <v>2113</v>
      </c>
      <c r="E361" s="35" t="s">
        <v>2114</v>
      </c>
      <c r="F361" s="35"/>
      <c r="G361" s="34"/>
      <c r="H361" s="35"/>
      <c r="I361" s="35" t="s">
        <v>1038</v>
      </c>
      <c r="J361" s="35" t="s">
        <v>1006</v>
      </c>
      <c r="K361" s="35" t="s">
        <v>1007</v>
      </c>
      <c r="L361" s="35" t="s">
        <v>972</v>
      </c>
      <c r="M361" s="35" t="s">
        <v>512</v>
      </c>
      <c r="N361" s="35" t="s">
        <v>968</v>
      </c>
      <c r="O361" s="36">
        <v>0</v>
      </c>
      <c r="P361" s="35" t="s">
        <v>360</v>
      </c>
      <c r="Q361" s="35"/>
      <c r="R361" s="35" t="s">
        <v>2115</v>
      </c>
    </row>
    <row r="362" spans="1:18">
      <c r="A362" s="32">
        <v>1115</v>
      </c>
      <c r="B362" s="33">
        <v>45930</v>
      </c>
      <c r="C362" s="32">
        <v>2025</v>
      </c>
      <c r="D362" s="34" t="s">
        <v>2116</v>
      </c>
      <c r="E362" s="35" t="s">
        <v>2117</v>
      </c>
      <c r="F362" s="35"/>
      <c r="G362" s="34"/>
      <c r="H362" s="35"/>
      <c r="I362" s="35" t="s">
        <v>1005</v>
      </c>
      <c r="J362" s="35" t="s">
        <v>1021</v>
      </c>
      <c r="K362" s="35" t="s">
        <v>888</v>
      </c>
      <c r="L362" s="35" t="s">
        <v>976</v>
      </c>
      <c r="M362" s="35" t="s">
        <v>522</v>
      </c>
      <c r="N362" s="35" t="s">
        <v>968</v>
      </c>
      <c r="O362" s="36">
        <v>15</v>
      </c>
      <c r="P362" s="35" t="s">
        <v>360</v>
      </c>
      <c r="Q362" s="35"/>
      <c r="R362" s="35" t="s">
        <v>2118</v>
      </c>
    </row>
    <row r="363" spans="1:18">
      <c r="A363" s="32">
        <v>1114</v>
      </c>
      <c r="B363" s="33">
        <v>45928</v>
      </c>
      <c r="C363" s="32">
        <v>2025</v>
      </c>
      <c r="D363" s="34" t="s">
        <v>2119</v>
      </c>
      <c r="E363" s="35" t="s">
        <v>2120</v>
      </c>
      <c r="F363" s="35"/>
      <c r="G363" s="34"/>
      <c r="H363" s="35"/>
      <c r="I363" s="35" t="s">
        <v>1005</v>
      </c>
      <c r="J363" s="35" t="s">
        <v>1021</v>
      </c>
      <c r="K363" s="35" t="s">
        <v>888</v>
      </c>
      <c r="L363" s="35" t="s">
        <v>1150</v>
      </c>
      <c r="M363" s="35" t="s">
        <v>515</v>
      </c>
      <c r="N363" s="35" t="s">
        <v>968</v>
      </c>
      <c r="O363" s="36">
        <v>22</v>
      </c>
      <c r="P363" s="35" t="s">
        <v>360</v>
      </c>
      <c r="Q363" s="35"/>
      <c r="R363" s="35" t="s">
        <v>2121</v>
      </c>
    </row>
    <row r="364" spans="1:18" ht="24">
      <c r="A364" s="32">
        <v>1078</v>
      </c>
      <c r="B364" s="33">
        <v>45924</v>
      </c>
      <c r="C364" s="32">
        <v>2025</v>
      </c>
      <c r="D364" s="34" t="s">
        <v>2122</v>
      </c>
      <c r="E364" s="35" t="s">
        <v>2123</v>
      </c>
      <c r="F364" s="35" t="s">
        <v>892</v>
      </c>
      <c r="G364" s="34"/>
      <c r="H364" s="35" t="s">
        <v>879</v>
      </c>
      <c r="I364" s="35" t="s">
        <v>965</v>
      </c>
      <c r="J364" s="35" t="s">
        <v>1110</v>
      </c>
      <c r="K364" s="35" t="s">
        <v>888</v>
      </c>
      <c r="L364" s="35" t="s">
        <v>1034</v>
      </c>
      <c r="M364" s="35" t="s">
        <v>515</v>
      </c>
      <c r="N364" s="35" t="s">
        <v>977</v>
      </c>
      <c r="O364" s="36">
        <v>32</v>
      </c>
      <c r="P364" s="35" t="s">
        <v>382</v>
      </c>
      <c r="Q364" s="35"/>
      <c r="R364" s="35" t="s">
        <v>2124</v>
      </c>
    </row>
    <row r="365" spans="1:18" ht="24">
      <c r="A365" s="32">
        <v>1112</v>
      </c>
      <c r="B365" s="33">
        <v>45922</v>
      </c>
      <c r="C365" s="32">
        <v>2025</v>
      </c>
      <c r="D365" s="34" t="s">
        <v>2125</v>
      </c>
      <c r="E365" s="35" t="s">
        <v>2126</v>
      </c>
      <c r="F365" s="35"/>
      <c r="G365" s="34"/>
      <c r="H365" s="35"/>
      <c r="I365" s="35" t="s">
        <v>1038</v>
      </c>
      <c r="J365" s="35" t="s">
        <v>1006</v>
      </c>
      <c r="K365" s="35" t="s">
        <v>1007</v>
      </c>
      <c r="L365" s="35" t="s">
        <v>1119</v>
      </c>
      <c r="M365" s="35" t="s">
        <v>519</v>
      </c>
      <c r="N365" s="35" t="s">
        <v>968</v>
      </c>
      <c r="O365" s="36">
        <v>21</v>
      </c>
      <c r="P365" s="35" t="s">
        <v>360</v>
      </c>
      <c r="Q365" s="35"/>
      <c r="R365" s="35" t="s">
        <v>2127</v>
      </c>
    </row>
    <row r="366" spans="1:18" ht="24">
      <c r="A366" s="32">
        <v>797</v>
      </c>
      <c r="B366" s="33">
        <v>45921</v>
      </c>
      <c r="C366" s="32">
        <v>2025</v>
      </c>
      <c r="D366" s="34" t="s">
        <v>2128</v>
      </c>
      <c r="E366" s="35" t="s">
        <v>2129</v>
      </c>
      <c r="F366" s="35" t="s">
        <v>885</v>
      </c>
      <c r="G366" s="34"/>
      <c r="H366" s="35" t="s">
        <v>886</v>
      </c>
      <c r="I366" s="35" t="s">
        <v>965</v>
      </c>
      <c r="J366" s="35" t="s">
        <v>1110</v>
      </c>
      <c r="K366" s="35" t="s">
        <v>888</v>
      </c>
      <c r="L366" s="35" t="s">
        <v>1119</v>
      </c>
      <c r="M366" s="35" t="s">
        <v>519</v>
      </c>
      <c r="N366" s="35" t="s">
        <v>968</v>
      </c>
      <c r="O366" s="36">
        <v>28</v>
      </c>
      <c r="P366" s="35" t="s">
        <v>37</v>
      </c>
      <c r="Q366" s="35"/>
      <c r="R366" s="35" t="s">
        <v>2130</v>
      </c>
    </row>
    <row r="367" spans="1:18" ht="24">
      <c r="A367" s="32">
        <v>792</v>
      </c>
      <c r="B367" s="33">
        <v>45920</v>
      </c>
      <c r="C367" s="32">
        <v>2025</v>
      </c>
      <c r="D367" s="34" t="s">
        <v>2131</v>
      </c>
      <c r="E367" s="35" t="s">
        <v>2132</v>
      </c>
      <c r="F367" s="35" t="s">
        <v>940</v>
      </c>
      <c r="G367" s="34"/>
      <c r="H367" s="35" t="s">
        <v>879</v>
      </c>
      <c r="I367" s="35" t="s">
        <v>965</v>
      </c>
      <c r="J367" s="35" t="s">
        <v>1110</v>
      </c>
      <c r="K367" s="35" t="s">
        <v>888</v>
      </c>
      <c r="L367" s="35" t="s">
        <v>972</v>
      </c>
      <c r="M367" s="35" t="s">
        <v>512</v>
      </c>
      <c r="N367" s="35" t="s">
        <v>977</v>
      </c>
      <c r="O367" s="36">
        <v>29</v>
      </c>
      <c r="P367" s="35" t="s">
        <v>37</v>
      </c>
      <c r="Q367" s="35"/>
      <c r="R367" s="35" t="s">
        <v>2133</v>
      </c>
    </row>
    <row r="368" spans="1:18" ht="24">
      <c r="A368" s="32">
        <v>1097</v>
      </c>
      <c r="B368" s="33">
        <v>45919</v>
      </c>
      <c r="C368" s="32">
        <v>2025</v>
      </c>
      <c r="D368" s="34" t="s">
        <v>2134</v>
      </c>
      <c r="E368" s="35" t="s">
        <v>2135</v>
      </c>
      <c r="F368" s="35"/>
      <c r="G368" s="34"/>
      <c r="H368" s="35"/>
      <c r="I368" s="35" t="s">
        <v>1038</v>
      </c>
      <c r="J368" s="35" t="s">
        <v>1006</v>
      </c>
      <c r="K368" s="35" t="s">
        <v>1007</v>
      </c>
      <c r="L368" s="35" t="s">
        <v>1101</v>
      </c>
      <c r="M368" s="35" t="s">
        <v>530</v>
      </c>
      <c r="N368" s="35" t="s">
        <v>977</v>
      </c>
      <c r="O368" s="36">
        <v>24</v>
      </c>
      <c r="P368" s="35" t="s">
        <v>360</v>
      </c>
      <c r="Q368" s="35"/>
      <c r="R368" s="35" t="s">
        <v>2136</v>
      </c>
    </row>
    <row r="369" spans="1:18" ht="24">
      <c r="A369" s="32">
        <v>1096</v>
      </c>
      <c r="B369" s="33">
        <v>45918</v>
      </c>
      <c r="C369" s="32">
        <v>2025</v>
      </c>
      <c r="D369" s="34" t="s">
        <v>2137</v>
      </c>
      <c r="E369" s="35" t="s">
        <v>2138</v>
      </c>
      <c r="F369" s="35"/>
      <c r="G369" s="34"/>
      <c r="H369" s="35"/>
      <c r="I369" s="35" t="s">
        <v>1005</v>
      </c>
      <c r="J369" s="35" t="s">
        <v>1021</v>
      </c>
      <c r="K369" s="35" t="s">
        <v>888</v>
      </c>
      <c r="L369" s="35" t="s">
        <v>976</v>
      </c>
      <c r="M369" s="35" t="s">
        <v>522</v>
      </c>
      <c r="N369" s="35" t="s">
        <v>977</v>
      </c>
      <c r="O369" s="36">
        <v>8</v>
      </c>
      <c r="P369" s="35" t="s">
        <v>360</v>
      </c>
      <c r="Q369" s="35"/>
      <c r="R369" s="35" t="s">
        <v>2139</v>
      </c>
    </row>
    <row r="370" spans="1:18" ht="24">
      <c r="A370" s="32">
        <v>1095</v>
      </c>
      <c r="B370" s="33">
        <v>45916</v>
      </c>
      <c r="C370" s="32">
        <v>2025</v>
      </c>
      <c r="D370" s="34" t="s">
        <v>2140</v>
      </c>
      <c r="E370" s="35" t="s">
        <v>2141</v>
      </c>
      <c r="F370" s="35"/>
      <c r="G370" s="34"/>
      <c r="H370" s="35"/>
      <c r="I370" s="35" t="s">
        <v>1484</v>
      </c>
      <c r="J370" s="35" t="s">
        <v>1485</v>
      </c>
      <c r="K370" s="35" t="s">
        <v>888</v>
      </c>
      <c r="L370" s="35" t="s">
        <v>1086</v>
      </c>
      <c r="M370" s="35" t="s">
        <v>512</v>
      </c>
      <c r="N370" s="35" t="s">
        <v>977</v>
      </c>
      <c r="O370" s="36">
        <v>24</v>
      </c>
      <c r="P370" s="35" t="s">
        <v>360</v>
      </c>
      <c r="Q370" s="35"/>
      <c r="R370" s="35" t="s">
        <v>2142</v>
      </c>
    </row>
    <row r="371" spans="1:18" ht="24">
      <c r="A371" s="32">
        <v>1094</v>
      </c>
      <c r="B371" s="33">
        <v>45915</v>
      </c>
      <c r="C371" s="32">
        <v>2025</v>
      </c>
      <c r="D371" s="34" t="s">
        <v>2143</v>
      </c>
      <c r="E371" s="35" t="s">
        <v>2144</v>
      </c>
      <c r="F371" s="35"/>
      <c r="G371" s="34"/>
      <c r="H371" s="35"/>
      <c r="I371" s="35" t="s">
        <v>1005</v>
      </c>
      <c r="J371" s="35" t="s">
        <v>1021</v>
      </c>
      <c r="K371" s="35" t="s">
        <v>888</v>
      </c>
      <c r="L371" s="35" t="s">
        <v>972</v>
      </c>
      <c r="M371" s="35" t="s">
        <v>530</v>
      </c>
      <c r="N371" s="35" t="s">
        <v>968</v>
      </c>
      <c r="O371" s="36">
        <v>13</v>
      </c>
      <c r="P371" s="35" t="s">
        <v>360</v>
      </c>
      <c r="Q371" s="35"/>
      <c r="R371" s="35" t="s">
        <v>2145</v>
      </c>
    </row>
    <row r="372" spans="1:18" ht="24">
      <c r="A372" s="32">
        <v>1093</v>
      </c>
      <c r="B372" s="33">
        <v>45915</v>
      </c>
      <c r="C372" s="32">
        <v>2025</v>
      </c>
      <c r="D372" s="34" t="s">
        <v>2146</v>
      </c>
      <c r="E372" s="35" t="s">
        <v>2147</v>
      </c>
      <c r="F372" s="35"/>
      <c r="G372" s="34"/>
      <c r="H372" s="35"/>
      <c r="I372" s="35" t="s">
        <v>1005</v>
      </c>
      <c r="J372" s="35" t="s">
        <v>1021</v>
      </c>
      <c r="K372" s="35" t="s">
        <v>888</v>
      </c>
      <c r="L372" s="35" t="s">
        <v>1086</v>
      </c>
      <c r="M372" s="35" t="s">
        <v>512</v>
      </c>
      <c r="N372" s="35" t="s">
        <v>968</v>
      </c>
      <c r="O372" s="36">
        <v>13</v>
      </c>
      <c r="P372" s="35" t="s">
        <v>360</v>
      </c>
      <c r="Q372" s="35"/>
      <c r="R372" s="35" t="s">
        <v>2148</v>
      </c>
    </row>
    <row r="373" spans="1:18" ht="24">
      <c r="A373" s="32">
        <v>791</v>
      </c>
      <c r="B373" s="33">
        <v>45913</v>
      </c>
      <c r="C373" s="32">
        <v>2025</v>
      </c>
      <c r="D373" s="34" t="s">
        <v>2149</v>
      </c>
      <c r="E373" s="35" t="s">
        <v>2150</v>
      </c>
      <c r="F373" s="35" t="s">
        <v>878</v>
      </c>
      <c r="G373" s="34"/>
      <c r="H373" s="35" t="s">
        <v>879</v>
      </c>
      <c r="I373" s="35" t="s">
        <v>965</v>
      </c>
      <c r="J373" s="35" t="s">
        <v>1110</v>
      </c>
      <c r="K373" s="35" t="s">
        <v>888</v>
      </c>
      <c r="L373" s="35" t="s">
        <v>1150</v>
      </c>
      <c r="M373" s="35" t="s">
        <v>515</v>
      </c>
      <c r="N373" s="35" t="s">
        <v>977</v>
      </c>
      <c r="O373" s="36">
        <v>35</v>
      </c>
      <c r="P373" s="35" t="s">
        <v>37</v>
      </c>
      <c r="Q373" s="35"/>
      <c r="R373" s="35" t="s">
        <v>2151</v>
      </c>
    </row>
    <row r="374" spans="1:18" ht="24">
      <c r="A374" s="32">
        <v>1077</v>
      </c>
      <c r="B374" s="33">
        <v>45913</v>
      </c>
      <c r="C374" s="32">
        <v>2025</v>
      </c>
      <c r="D374" s="34" t="s">
        <v>2152</v>
      </c>
      <c r="E374" s="35" t="s">
        <v>2153</v>
      </c>
      <c r="F374" s="35"/>
      <c r="G374" s="34"/>
      <c r="H374" s="35"/>
      <c r="I374" s="35" t="s">
        <v>1005</v>
      </c>
      <c r="J374" s="35" t="s">
        <v>1021</v>
      </c>
      <c r="K374" s="35" t="s">
        <v>888</v>
      </c>
      <c r="L374" s="35" t="s">
        <v>1086</v>
      </c>
      <c r="M374" s="35" t="s">
        <v>512</v>
      </c>
      <c r="N374" s="35" t="s">
        <v>977</v>
      </c>
      <c r="O374" s="36">
        <v>18</v>
      </c>
      <c r="P374" s="35" t="s">
        <v>382</v>
      </c>
      <c r="Q374" s="35"/>
      <c r="R374" s="35" t="s">
        <v>2154</v>
      </c>
    </row>
    <row r="375" spans="1:18" ht="24">
      <c r="A375" s="32">
        <v>972</v>
      </c>
      <c r="B375" s="33">
        <v>45912</v>
      </c>
      <c r="C375" s="32">
        <v>2025</v>
      </c>
      <c r="D375" s="34" t="s">
        <v>2155</v>
      </c>
      <c r="E375" s="35" t="s">
        <v>2156</v>
      </c>
      <c r="F375" s="35" t="s">
        <v>885</v>
      </c>
      <c r="G375" s="34"/>
      <c r="H375" s="35" t="s">
        <v>886</v>
      </c>
      <c r="I375" s="35" t="s">
        <v>965</v>
      </c>
      <c r="J375" s="35" t="s">
        <v>1110</v>
      </c>
      <c r="K375" s="35" t="s">
        <v>888</v>
      </c>
      <c r="L375" s="35" t="s">
        <v>1086</v>
      </c>
      <c r="M375" s="35" t="s">
        <v>512</v>
      </c>
      <c r="N375" s="35" t="s">
        <v>977</v>
      </c>
      <c r="O375" s="36">
        <v>10</v>
      </c>
      <c r="P375" s="35" t="s">
        <v>371</v>
      </c>
      <c r="Q375" s="35"/>
      <c r="R375" s="35" t="s">
        <v>2157</v>
      </c>
    </row>
    <row r="376" spans="1:18" ht="24">
      <c r="A376" s="32">
        <v>971</v>
      </c>
      <c r="B376" s="33">
        <v>45912</v>
      </c>
      <c r="C376" s="32">
        <v>2025</v>
      </c>
      <c r="D376" s="34" t="s">
        <v>2158</v>
      </c>
      <c r="E376" s="35" t="s">
        <v>2159</v>
      </c>
      <c r="F376" s="35"/>
      <c r="G376" s="34"/>
      <c r="H376" s="35"/>
      <c r="I376" s="35" t="s">
        <v>1005</v>
      </c>
      <c r="J376" s="35" t="s">
        <v>1021</v>
      </c>
      <c r="K376" s="35" t="s">
        <v>888</v>
      </c>
      <c r="L376" s="35" t="s">
        <v>1101</v>
      </c>
      <c r="M376" s="35" t="s">
        <v>530</v>
      </c>
      <c r="N376" s="35" t="s">
        <v>977</v>
      </c>
      <c r="O376" s="36">
        <v>28</v>
      </c>
      <c r="P376" s="35" t="s">
        <v>371</v>
      </c>
      <c r="Q376" s="35"/>
      <c r="R376" s="35" t="s">
        <v>2160</v>
      </c>
    </row>
    <row r="377" spans="1:18" ht="24">
      <c r="A377" s="32">
        <v>790</v>
      </c>
      <c r="B377" s="33">
        <v>45911</v>
      </c>
      <c r="C377" s="32">
        <v>2025</v>
      </c>
      <c r="D377" s="34" t="s">
        <v>2161</v>
      </c>
      <c r="E377" s="35" t="s">
        <v>2162</v>
      </c>
      <c r="F377" s="35" t="s">
        <v>891</v>
      </c>
      <c r="G377" s="34"/>
      <c r="H377" s="35" t="s">
        <v>883</v>
      </c>
      <c r="I377" s="35" t="s">
        <v>965</v>
      </c>
      <c r="J377" s="35" t="s">
        <v>1110</v>
      </c>
      <c r="K377" s="35" t="s">
        <v>888</v>
      </c>
      <c r="L377" s="35" t="s">
        <v>1150</v>
      </c>
      <c r="M377" s="35" t="s">
        <v>515</v>
      </c>
      <c r="N377" s="35" t="s">
        <v>977</v>
      </c>
      <c r="O377" s="36">
        <v>17</v>
      </c>
      <c r="P377" s="35" t="s">
        <v>37</v>
      </c>
      <c r="Q377" s="35"/>
      <c r="R377" s="35" t="s">
        <v>2163</v>
      </c>
    </row>
    <row r="378" spans="1:18" ht="24">
      <c r="A378" s="32">
        <v>970</v>
      </c>
      <c r="B378" s="33">
        <v>45911</v>
      </c>
      <c r="C378" s="32">
        <v>2025</v>
      </c>
      <c r="D378" s="34" t="s">
        <v>2164</v>
      </c>
      <c r="E378" s="35" t="s">
        <v>2165</v>
      </c>
      <c r="F378" s="35"/>
      <c r="G378" s="34"/>
      <c r="H378" s="35"/>
      <c r="I378" s="35" t="s">
        <v>1005</v>
      </c>
      <c r="J378" s="35" t="s">
        <v>1021</v>
      </c>
      <c r="K378" s="35" t="s">
        <v>888</v>
      </c>
      <c r="L378" s="35" t="s">
        <v>1408</v>
      </c>
      <c r="M378" s="35" t="s">
        <v>515</v>
      </c>
      <c r="N378" s="35" t="s">
        <v>977</v>
      </c>
      <c r="O378" s="36">
        <v>15</v>
      </c>
      <c r="P378" s="35" t="s">
        <v>371</v>
      </c>
      <c r="Q378" s="35"/>
      <c r="R378" s="35" t="s">
        <v>2166</v>
      </c>
    </row>
    <row r="379" spans="1:18" ht="24">
      <c r="A379" s="32">
        <v>789</v>
      </c>
      <c r="B379" s="33">
        <v>45911</v>
      </c>
      <c r="C379" s="32">
        <v>2025</v>
      </c>
      <c r="D379" s="34" t="s">
        <v>2167</v>
      </c>
      <c r="E379" s="35" t="s">
        <v>2168</v>
      </c>
      <c r="F379" s="35" t="s">
        <v>878</v>
      </c>
      <c r="G379" s="34"/>
      <c r="H379" s="35" t="s">
        <v>879</v>
      </c>
      <c r="I379" s="35" t="s">
        <v>965</v>
      </c>
      <c r="J379" s="35" t="s">
        <v>1110</v>
      </c>
      <c r="K379" s="35" t="s">
        <v>888</v>
      </c>
      <c r="L379" s="35" t="s">
        <v>972</v>
      </c>
      <c r="M379" s="35" t="s">
        <v>512</v>
      </c>
      <c r="N379" s="35" t="s">
        <v>977</v>
      </c>
      <c r="O379" s="36">
        <v>50</v>
      </c>
      <c r="P379" s="35" t="s">
        <v>37</v>
      </c>
      <c r="Q379" s="35"/>
      <c r="R379" s="35" t="s">
        <v>2169</v>
      </c>
    </row>
    <row r="380" spans="1:18" ht="24">
      <c r="A380" s="32">
        <v>787</v>
      </c>
      <c r="B380" s="33">
        <v>45906</v>
      </c>
      <c r="C380" s="32">
        <v>2025</v>
      </c>
      <c r="D380" s="34" t="s">
        <v>2170</v>
      </c>
      <c r="E380" s="35" t="s">
        <v>2171</v>
      </c>
      <c r="F380" s="35" t="s">
        <v>912</v>
      </c>
      <c r="G380" s="34"/>
      <c r="H380" s="35" t="s">
        <v>883</v>
      </c>
      <c r="I380" s="35" t="s">
        <v>965</v>
      </c>
      <c r="J380" s="35" t="s">
        <v>1110</v>
      </c>
      <c r="K380" s="35" t="s">
        <v>888</v>
      </c>
      <c r="L380" s="35" t="s">
        <v>972</v>
      </c>
      <c r="M380" s="35" t="s">
        <v>530</v>
      </c>
      <c r="N380" s="35" t="s">
        <v>977</v>
      </c>
      <c r="O380" s="36">
        <v>32</v>
      </c>
      <c r="P380" s="35" t="s">
        <v>37</v>
      </c>
      <c r="Q380" s="35"/>
      <c r="R380" s="35" t="s">
        <v>2172</v>
      </c>
    </row>
    <row r="381" spans="1:18" ht="24">
      <c r="A381" s="32">
        <v>1075</v>
      </c>
      <c r="B381" s="33">
        <v>45906</v>
      </c>
      <c r="C381" s="32">
        <v>2025</v>
      </c>
      <c r="D381" s="34" t="s">
        <v>2173</v>
      </c>
      <c r="E381" s="35" t="s">
        <v>2174</v>
      </c>
      <c r="F381" s="35" t="s">
        <v>918</v>
      </c>
      <c r="G381" s="34" t="s">
        <v>2175</v>
      </c>
      <c r="H381" s="35" t="s">
        <v>883</v>
      </c>
      <c r="I381" s="35" t="s">
        <v>1317</v>
      </c>
      <c r="J381" s="35" t="s">
        <v>1291</v>
      </c>
      <c r="K381" s="35" t="s">
        <v>897</v>
      </c>
      <c r="L381" s="35" t="s">
        <v>972</v>
      </c>
      <c r="M381" s="35" t="s">
        <v>512</v>
      </c>
      <c r="N381" s="35" t="s">
        <v>977</v>
      </c>
      <c r="O381" s="36">
        <v>7</v>
      </c>
      <c r="P381" s="35" t="s">
        <v>382</v>
      </c>
      <c r="Q381" s="35"/>
      <c r="R381" s="35" t="s">
        <v>2176</v>
      </c>
    </row>
    <row r="382" spans="1:18">
      <c r="A382" s="32">
        <v>786</v>
      </c>
      <c r="B382" s="33">
        <v>45906</v>
      </c>
      <c r="C382" s="32">
        <v>2025</v>
      </c>
      <c r="D382" s="34" t="s">
        <v>2177</v>
      </c>
      <c r="E382" s="35" t="s">
        <v>2178</v>
      </c>
      <c r="F382" s="35" t="s">
        <v>924</v>
      </c>
      <c r="G382" s="34"/>
      <c r="H382" s="35" t="s">
        <v>879</v>
      </c>
      <c r="I382" s="35" t="s">
        <v>965</v>
      </c>
      <c r="J382" s="35" t="s">
        <v>1110</v>
      </c>
      <c r="K382" s="35" t="s">
        <v>888</v>
      </c>
      <c r="L382" s="35" t="s">
        <v>1034</v>
      </c>
      <c r="M382" s="35" t="s">
        <v>515</v>
      </c>
      <c r="N382" s="35" t="s">
        <v>977</v>
      </c>
      <c r="O382" s="36">
        <v>21</v>
      </c>
      <c r="P382" s="35" t="s">
        <v>37</v>
      </c>
      <c r="Q382" s="35"/>
      <c r="R382" s="35" t="s">
        <v>2179</v>
      </c>
    </row>
    <row r="383" spans="1:18" ht="24">
      <c r="A383" s="32">
        <v>1092</v>
      </c>
      <c r="B383" s="33">
        <v>45906</v>
      </c>
      <c r="C383" s="32">
        <v>2025</v>
      </c>
      <c r="D383" s="34" t="s">
        <v>2180</v>
      </c>
      <c r="E383" s="35" t="s">
        <v>2181</v>
      </c>
      <c r="F383" s="35"/>
      <c r="G383" s="34"/>
      <c r="H383" s="35"/>
      <c r="I383" s="35" t="s">
        <v>1005</v>
      </c>
      <c r="J383" s="35" t="s">
        <v>1021</v>
      </c>
      <c r="K383" s="35" t="s">
        <v>888</v>
      </c>
      <c r="L383" s="35" t="s">
        <v>972</v>
      </c>
      <c r="M383" s="35" t="s">
        <v>512</v>
      </c>
      <c r="N383" s="35" t="s">
        <v>968</v>
      </c>
      <c r="O383" s="36">
        <v>34</v>
      </c>
      <c r="P383" s="35" t="s">
        <v>360</v>
      </c>
      <c r="Q383" s="35"/>
      <c r="R383" s="35" t="s">
        <v>2182</v>
      </c>
    </row>
    <row r="384" spans="1:18" ht="24">
      <c r="A384" s="32">
        <v>785</v>
      </c>
      <c r="B384" s="33">
        <v>45905</v>
      </c>
      <c r="C384" s="32">
        <v>2025</v>
      </c>
      <c r="D384" s="34" t="s">
        <v>2183</v>
      </c>
      <c r="E384" s="35" t="s">
        <v>2184</v>
      </c>
      <c r="F384" s="35" t="s">
        <v>884</v>
      </c>
      <c r="G384" s="34"/>
      <c r="H384" s="35" t="s">
        <v>883</v>
      </c>
      <c r="I384" s="35" t="s">
        <v>965</v>
      </c>
      <c r="J384" s="35" t="s">
        <v>1110</v>
      </c>
      <c r="K384" s="35" t="s">
        <v>888</v>
      </c>
      <c r="L384" s="35" t="s">
        <v>972</v>
      </c>
      <c r="M384" s="35" t="s">
        <v>512</v>
      </c>
      <c r="N384" s="35" t="s">
        <v>977</v>
      </c>
      <c r="O384" s="36">
        <v>8</v>
      </c>
      <c r="P384" s="35" t="s">
        <v>37</v>
      </c>
      <c r="Q384" s="35"/>
      <c r="R384" s="35" t="s">
        <v>2185</v>
      </c>
    </row>
    <row r="385" spans="1:18" ht="24">
      <c r="A385" s="32">
        <v>783</v>
      </c>
      <c r="B385" s="33">
        <v>45904</v>
      </c>
      <c r="C385" s="32">
        <v>2025</v>
      </c>
      <c r="D385" s="34" t="s">
        <v>2186</v>
      </c>
      <c r="E385" s="35" t="s">
        <v>2187</v>
      </c>
      <c r="F385" s="35" t="s">
        <v>885</v>
      </c>
      <c r="G385" s="34"/>
      <c r="H385" s="35" t="s">
        <v>886</v>
      </c>
      <c r="I385" s="35" t="s">
        <v>965</v>
      </c>
      <c r="J385" s="35" t="s">
        <v>1110</v>
      </c>
      <c r="K385" s="35" t="s">
        <v>888</v>
      </c>
      <c r="L385" s="35" t="s">
        <v>1086</v>
      </c>
      <c r="M385" s="35" t="s">
        <v>512</v>
      </c>
      <c r="N385" s="35" t="s">
        <v>968</v>
      </c>
      <c r="O385" s="36">
        <v>18</v>
      </c>
      <c r="P385" s="35" t="s">
        <v>37</v>
      </c>
      <c r="Q385" s="35"/>
      <c r="R385" s="35" t="s">
        <v>2188</v>
      </c>
    </row>
    <row r="386" spans="1:18" ht="24">
      <c r="A386" s="32">
        <v>968</v>
      </c>
      <c r="B386" s="33">
        <v>45903</v>
      </c>
      <c r="C386" s="32">
        <v>2025</v>
      </c>
      <c r="D386" s="34" t="s">
        <v>2189</v>
      </c>
      <c r="E386" s="35" t="s">
        <v>2190</v>
      </c>
      <c r="F386" s="35"/>
      <c r="G386" s="34"/>
      <c r="H386" s="35"/>
      <c r="I386" s="35" t="s">
        <v>1038</v>
      </c>
      <c r="J386" s="35" t="s">
        <v>1006</v>
      </c>
      <c r="K386" s="35" t="s">
        <v>1007</v>
      </c>
      <c r="L386" s="35" t="s">
        <v>1119</v>
      </c>
      <c r="M386" s="35" t="s">
        <v>519</v>
      </c>
      <c r="N386" s="35" t="s">
        <v>977</v>
      </c>
      <c r="O386" s="36">
        <v>9</v>
      </c>
      <c r="P386" s="35" t="s">
        <v>371</v>
      </c>
      <c r="Q386" s="35"/>
      <c r="R386" s="35" t="s">
        <v>2191</v>
      </c>
    </row>
    <row r="387" spans="1:18" ht="24">
      <c r="A387" s="32">
        <v>967</v>
      </c>
      <c r="B387" s="33">
        <v>45897</v>
      </c>
      <c r="C387" s="32">
        <v>2025</v>
      </c>
      <c r="D387" s="34" t="s">
        <v>2192</v>
      </c>
      <c r="E387" s="35" t="s">
        <v>2193</v>
      </c>
      <c r="F387" s="35"/>
      <c r="G387" s="34"/>
      <c r="H387" s="35"/>
      <c r="I387" s="35" t="s">
        <v>1005</v>
      </c>
      <c r="J387" s="35" t="s">
        <v>1021</v>
      </c>
      <c r="K387" s="35" t="s">
        <v>888</v>
      </c>
      <c r="L387" s="35" t="s">
        <v>1101</v>
      </c>
      <c r="M387" s="35" t="s">
        <v>530</v>
      </c>
      <c r="N387" s="35" t="s">
        <v>968</v>
      </c>
      <c r="O387" s="36">
        <v>22</v>
      </c>
      <c r="P387" s="35" t="s">
        <v>371</v>
      </c>
      <c r="Q387" s="35"/>
      <c r="R387" s="35" t="s">
        <v>2194</v>
      </c>
    </row>
    <row r="388" spans="1:18" ht="24">
      <c r="A388" s="32">
        <v>966</v>
      </c>
      <c r="B388" s="33">
        <v>45894</v>
      </c>
      <c r="C388" s="32">
        <v>2025</v>
      </c>
      <c r="D388" s="34" t="s">
        <v>2195</v>
      </c>
      <c r="E388" s="35" t="s">
        <v>2196</v>
      </c>
      <c r="F388" s="35"/>
      <c r="G388" s="34"/>
      <c r="H388" s="35" t="s">
        <v>890</v>
      </c>
      <c r="I388" s="35" t="s">
        <v>1134</v>
      </c>
      <c r="J388" s="35" t="s">
        <v>1135</v>
      </c>
      <c r="K388" s="35" t="s">
        <v>888</v>
      </c>
      <c r="L388" s="35" t="s">
        <v>1034</v>
      </c>
      <c r="M388" s="35" t="s">
        <v>515</v>
      </c>
      <c r="N388" s="35" t="s">
        <v>977</v>
      </c>
      <c r="O388" s="36">
        <v>24</v>
      </c>
      <c r="P388" s="35" t="s">
        <v>371</v>
      </c>
      <c r="Q388" s="35"/>
      <c r="R388" s="35" t="s">
        <v>2197</v>
      </c>
    </row>
    <row r="389" spans="1:18" ht="24">
      <c r="A389" s="32">
        <v>965</v>
      </c>
      <c r="B389" s="33">
        <v>45893</v>
      </c>
      <c r="C389" s="32">
        <v>2025</v>
      </c>
      <c r="D389" s="34" t="s">
        <v>2198</v>
      </c>
      <c r="E389" s="35" t="s">
        <v>2199</v>
      </c>
      <c r="F389" s="35" t="s">
        <v>885</v>
      </c>
      <c r="G389" s="34"/>
      <c r="H389" s="35" t="s">
        <v>886</v>
      </c>
      <c r="I389" s="35" t="s">
        <v>965</v>
      </c>
      <c r="J389" s="35" t="s">
        <v>1110</v>
      </c>
      <c r="K389" s="35" t="s">
        <v>888</v>
      </c>
      <c r="L389" s="35" t="s">
        <v>1086</v>
      </c>
      <c r="M389" s="35" t="s">
        <v>512</v>
      </c>
      <c r="N389" s="35" t="s">
        <v>977</v>
      </c>
      <c r="O389" s="36">
        <v>16</v>
      </c>
      <c r="P389" s="35" t="s">
        <v>371</v>
      </c>
      <c r="Q389" s="35"/>
      <c r="R389" s="35" t="s">
        <v>2200</v>
      </c>
    </row>
    <row r="390" spans="1:18">
      <c r="A390" s="32">
        <v>964</v>
      </c>
      <c r="B390" s="33">
        <v>45893</v>
      </c>
      <c r="C390" s="32">
        <v>2025</v>
      </c>
      <c r="D390" s="34" t="s">
        <v>2201</v>
      </c>
      <c r="E390" s="35" t="s">
        <v>2202</v>
      </c>
      <c r="F390" s="35"/>
      <c r="G390" s="34"/>
      <c r="H390" s="35"/>
      <c r="I390" s="35" t="s">
        <v>1005</v>
      </c>
      <c r="J390" s="35" t="s">
        <v>1021</v>
      </c>
      <c r="K390" s="35" t="s">
        <v>888</v>
      </c>
      <c r="L390" s="35" t="s">
        <v>1408</v>
      </c>
      <c r="M390" s="35" t="s">
        <v>515</v>
      </c>
      <c r="N390" s="35" t="s">
        <v>968</v>
      </c>
      <c r="O390" s="36">
        <v>12</v>
      </c>
      <c r="P390" s="35" t="s">
        <v>371</v>
      </c>
      <c r="Q390" s="35"/>
      <c r="R390" s="35" t="s">
        <v>2203</v>
      </c>
    </row>
    <row r="391" spans="1:18" ht="24">
      <c r="A391" s="32">
        <v>963</v>
      </c>
      <c r="B391" s="33">
        <v>45893</v>
      </c>
      <c r="C391" s="32">
        <v>2025</v>
      </c>
      <c r="D391" s="34" t="s">
        <v>2204</v>
      </c>
      <c r="E391" s="35" t="s">
        <v>2205</v>
      </c>
      <c r="F391" s="35" t="s">
        <v>889</v>
      </c>
      <c r="G391" s="34"/>
      <c r="H391" s="35" t="s">
        <v>890</v>
      </c>
      <c r="I391" s="35" t="s">
        <v>965</v>
      </c>
      <c r="J391" s="35" t="s">
        <v>1110</v>
      </c>
      <c r="K391" s="35" t="s">
        <v>888</v>
      </c>
      <c r="L391" s="35" t="s">
        <v>1086</v>
      </c>
      <c r="M391" s="35" t="s">
        <v>530</v>
      </c>
      <c r="N391" s="35" t="s">
        <v>977</v>
      </c>
      <c r="O391" s="36">
        <v>15</v>
      </c>
      <c r="P391" s="35" t="s">
        <v>371</v>
      </c>
      <c r="Q391" s="35"/>
      <c r="R391" s="35" t="s">
        <v>2206</v>
      </c>
    </row>
    <row r="392" spans="1:18">
      <c r="A392" s="32">
        <v>969</v>
      </c>
      <c r="B392" s="33">
        <v>45891</v>
      </c>
      <c r="C392" s="32">
        <v>2025</v>
      </c>
      <c r="D392" s="34" t="s">
        <v>2207</v>
      </c>
      <c r="E392" s="35" t="s">
        <v>2208</v>
      </c>
      <c r="F392" s="35" t="s">
        <v>915</v>
      </c>
      <c r="G392" s="34"/>
      <c r="H392" s="35" t="s">
        <v>890</v>
      </c>
      <c r="I392" s="35" t="s">
        <v>965</v>
      </c>
      <c r="J392" s="35" t="s">
        <v>1110</v>
      </c>
      <c r="K392" s="35" t="s">
        <v>888</v>
      </c>
      <c r="L392" s="35" t="s">
        <v>972</v>
      </c>
      <c r="M392" s="35" t="s">
        <v>512</v>
      </c>
      <c r="N392" s="35" t="s">
        <v>977</v>
      </c>
      <c r="O392" s="36">
        <v>27</v>
      </c>
      <c r="P392" s="35" t="s">
        <v>371</v>
      </c>
      <c r="Q392" s="35"/>
      <c r="R392" s="35" t="s">
        <v>2209</v>
      </c>
    </row>
    <row r="393" spans="1:18" ht="24">
      <c r="A393" s="32">
        <v>962</v>
      </c>
      <c r="B393" s="33">
        <v>45891</v>
      </c>
      <c r="C393" s="32">
        <v>2025</v>
      </c>
      <c r="D393" s="34" t="s">
        <v>2210</v>
      </c>
      <c r="E393" s="35" t="s">
        <v>2211</v>
      </c>
      <c r="F393" s="35" t="s">
        <v>885</v>
      </c>
      <c r="G393" s="34" t="s">
        <v>902</v>
      </c>
      <c r="H393" s="35" t="s">
        <v>886</v>
      </c>
      <c r="I393" s="35" t="s">
        <v>1317</v>
      </c>
      <c r="J393" s="35" t="s">
        <v>1291</v>
      </c>
      <c r="K393" s="35" t="s">
        <v>897</v>
      </c>
      <c r="L393" s="35" t="s">
        <v>1008</v>
      </c>
      <c r="M393" s="35" t="s">
        <v>526</v>
      </c>
      <c r="N393" s="35" t="s">
        <v>977</v>
      </c>
      <c r="O393" s="36">
        <v>0</v>
      </c>
      <c r="P393" s="35" t="s">
        <v>371</v>
      </c>
      <c r="Q393" s="35"/>
      <c r="R393" s="35" t="s">
        <v>2212</v>
      </c>
    </row>
    <row r="394" spans="1:18" ht="24">
      <c r="A394" s="32">
        <v>975</v>
      </c>
      <c r="B394" s="33">
        <v>45884</v>
      </c>
      <c r="C394" s="32">
        <v>2025</v>
      </c>
      <c r="D394" s="34" t="s">
        <v>2213</v>
      </c>
      <c r="E394" s="35" t="s">
        <v>2214</v>
      </c>
      <c r="F394" s="35" t="s">
        <v>885</v>
      </c>
      <c r="G394" s="34"/>
      <c r="H394" s="35" t="s">
        <v>886</v>
      </c>
      <c r="I394" s="35" t="s">
        <v>965</v>
      </c>
      <c r="J394" s="35" t="s">
        <v>1110</v>
      </c>
      <c r="K394" s="35" t="s">
        <v>888</v>
      </c>
      <c r="L394" s="35" t="s">
        <v>1086</v>
      </c>
      <c r="M394" s="35" t="s">
        <v>530</v>
      </c>
      <c r="N394" s="35" t="s">
        <v>977</v>
      </c>
      <c r="O394" s="36">
        <v>12</v>
      </c>
      <c r="P394" s="35" t="s">
        <v>371</v>
      </c>
      <c r="Q394" s="35"/>
      <c r="R394" s="35" t="s">
        <v>2215</v>
      </c>
    </row>
    <row r="395" spans="1:18" ht="24">
      <c r="A395" s="32">
        <v>1072</v>
      </c>
      <c r="B395" s="33">
        <v>45884</v>
      </c>
      <c r="C395" s="32">
        <v>2025</v>
      </c>
      <c r="D395" s="34" t="s">
        <v>2216</v>
      </c>
      <c r="E395" s="35" t="s">
        <v>2217</v>
      </c>
      <c r="F395" s="35" t="s">
        <v>893</v>
      </c>
      <c r="G395" s="34"/>
      <c r="H395" s="35" t="s">
        <v>879</v>
      </c>
      <c r="I395" s="35" t="s">
        <v>965</v>
      </c>
      <c r="J395" s="35" t="s">
        <v>1110</v>
      </c>
      <c r="K395" s="35" t="s">
        <v>888</v>
      </c>
      <c r="L395" s="35" t="s">
        <v>1139</v>
      </c>
      <c r="M395" s="35" t="s">
        <v>519</v>
      </c>
      <c r="N395" s="35" t="s">
        <v>977</v>
      </c>
      <c r="O395" s="36">
        <v>6</v>
      </c>
      <c r="P395" s="35" t="s">
        <v>382</v>
      </c>
      <c r="Q395" s="35"/>
      <c r="R395" s="35" t="s">
        <v>2218</v>
      </c>
    </row>
    <row r="396" spans="1:18">
      <c r="A396" s="32">
        <v>779</v>
      </c>
      <c r="B396" s="33">
        <v>45881</v>
      </c>
      <c r="C396" s="32">
        <v>2025</v>
      </c>
      <c r="D396" s="34" t="s">
        <v>2219</v>
      </c>
      <c r="E396" s="35" t="s">
        <v>2220</v>
      </c>
      <c r="F396" s="35" t="s">
        <v>884</v>
      </c>
      <c r="G396" s="34"/>
      <c r="H396" s="35" t="s">
        <v>883</v>
      </c>
      <c r="I396" s="35" t="s">
        <v>965</v>
      </c>
      <c r="J396" s="35" t="s">
        <v>1110</v>
      </c>
      <c r="K396" s="35" t="s">
        <v>888</v>
      </c>
      <c r="L396" s="35" t="s">
        <v>1119</v>
      </c>
      <c r="M396" s="35" t="s">
        <v>519</v>
      </c>
      <c r="N396" s="35" t="s">
        <v>968</v>
      </c>
      <c r="O396" s="36">
        <v>7</v>
      </c>
      <c r="P396" s="35" t="s">
        <v>37</v>
      </c>
      <c r="Q396" s="35"/>
      <c r="R396" s="35" t="s">
        <v>2221</v>
      </c>
    </row>
    <row r="397" spans="1:18" ht="24">
      <c r="A397" s="32">
        <v>960</v>
      </c>
      <c r="B397" s="33">
        <v>45879</v>
      </c>
      <c r="C397" s="32">
        <v>2025</v>
      </c>
      <c r="D397" s="34" t="s">
        <v>2222</v>
      </c>
      <c r="E397" s="35" t="s">
        <v>2223</v>
      </c>
      <c r="F397" s="35"/>
      <c r="G397" s="34"/>
      <c r="H397" s="35"/>
      <c r="I397" s="35" t="s">
        <v>1005</v>
      </c>
      <c r="J397" s="35" t="s">
        <v>1021</v>
      </c>
      <c r="K397" s="35" t="s">
        <v>888</v>
      </c>
      <c r="L397" s="35" t="s">
        <v>972</v>
      </c>
      <c r="M397" s="35" t="s">
        <v>512</v>
      </c>
      <c r="N397" s="35" t="s">
        <v>977</v>
      </c>
      <c r="O397" s="36">
        <v>46</v>
      </c>
      <c r="P397" s="35" t="s">
        <v>371</v>
      </c>
      <c r="Q397" s="35"/>
      <c r="R397" s="35" t="s">
        <v>2224</v>
      </c>
    </row>
    <row r="398" spans="1:18" ht="24">
      <c r="A398" s="32">
        <v>959</v>
      </c>
      <c r="B398" s="33">
        <v>45877</v>
      </c>
      <c r="C398" s="32">
        <v>2025</v>
      </c>
      <c r="D398" s="34" t="s">
        <v>2225</v>
      </c>
      <c r="E398" s="35" t="s">
        <v>2226</v>
      </c>
      <c r="F398" s="35" t="s">
        <v>887</v>
      </c>
      <c r="G398" s="34"/>
      <c r="H398" s="35" t="s">
        <v>883</v>
      </c>
      <c r="I398" s="35" t="s">
        <v>965</v>
      </c>
      <c r="J398" s="35" t="s">
        <v>1110</v>
      </c>
      <c r="K398" s="35" t="s">
        <v>888</v>
      </c>
      <c r="L398" s="35" t="s">
        <v>1119</v>
      </c>
      <c r="M398" s="35" t="s">
        <v>519</v>
      </c>
      <c r="N398" s="35" t="s">
        <v>977</v>
      </c>
      <c r="O398" s="36">
        <v>32</v>
      </c>
      <c r="P398" s="35" t="s">
        <v>371</v>
      </c>
      <c r="Q398" s="35"/>
      <c r="R398" s="35" t="s">
        <v>2227</v>
      </c>
    </row>
    <row r="399" spans="1:18" ht="24">
      <c r="A399" s="32">
        <v>778</v>
      </c>
      <c r="B399" s="33">
        <v>45872</v>
      </c>
      <c r="C399" s="32">
        <v>2025</v>
      </c>
      <c r="D399" s="34" t="s">
        <v>2228</v>
      </c>
      <c r="E399" s="35" t="s">
        <v>2229</v>
      </c>
      <c r="F399" s="35" t="s">
        <v>885</v>
      </c>
      <c r="G399" s="34"/>
      <c r="H399" s="35" t="s">
        <v>886</v>
      </c>
      <c r="I399" s="35" t="s">
        <v>965</v>
      </c>
      <c r="J399" s="35" t="s">
        <v>1110</v>
      </c>
      <c r="K399" s="35" t="s">
        <v>888</v>
      </c>
      <c r="L399" s="35" t="s">
        <v>972</v>
      </c>
      <c r="M399" s="35" t="s">
        <v>530</v>
      </c>
      <c r="N399" s="35" t="s">
        <v>968</v>
      </c>
      <c r="O399" s="36">
        <v>12</v>
      </c>
      <c r="P399" s="35" t="s">
        <v>37</v>
      </c>
      <c r="Q399" s="35"/>
      <c r="R399" s="35" t="s">
        <v>2230</v>
      </c>
    </row>
    <row r="400" spans="1:18" ht="24">
      <c r="A400" s="32">
        <v>777</v>
      </c>
      <c r="B400" s="33">
        <v>45872</v>
      </c>
      <c r="C400" s="32">
        <v>2025</v>
      </c>
      <c r="D400" s="34" t="s">
        <v>2231</v>
      </c>
      <c r="E400" s="35" t="s">
        <v>2232</v>
      </c>
      <c r="F400" s="35" t="s">
        <v>884</v>
      </c>
      <c r="G400" s="34"/>
      <c r="H400" s="35" t="s">
        <v>883</v>
      </c>
      <c r="I400" s="35" t="s">
        <v>965</v>
      </c>
      <c r="J400" s="35" t="s">
        <v>1110</v>
      </c>
      <c r="K400" s="35" t="s">
        <v>888</v>
      </c>
      <c r="L400" s="35" t="s">
        <v>1139</v>
      </c>
      <c r="M400" s="35" t="s">
        <v>519</v>
      </c>
      <c r="N400" s="35" t="s">
        <v>977</v>
      </c>
      <c r="O400" s="36">
        <v>11</v>
      </c>
      <c r="P400" s="35" t="s">
        <v>37</v>
      </c>
      <c r="Q400" s="35"/>
      <c r="R400" s="35" t="s">
        <v>2233</v>
      </c>
    </row>
    <row r="401" spans="1:18" ht="24">
      <c r="A401" s="32">
        <v>776</v>
      </c>
      <c r="B401" s="33">
        <v>45871</v>
      </c>
      <c r="C401" s="32">
        <v>2025</v>
      </c>
      <c r="D401" s="34" t="s">
        <v>2234</v>
      </c>
      <c r="E401" s="35" t="s">
        <v>2235</v>
      </c>
      <c r="F401" s="35" t="s">
        <v>923</v>
      </c>
      <c r="G401" s="34"/>
      <c r="H401" s="35" t="s">
        <v>890</v>
      </c>
      <c r="I401" s="35" t="s">
        <v>965</v>
      </c>
      <c r="J401" s="35" t="s">
        <v>1110</v>
      </c>
      <c r="K401" s="35" t="s">
        <v>888</v>
      </c>
      <c r="L401" s="35" t="s">
        <v>972</v>
      </c>
      <c r="M401" s="35" t="s">
        <v>512</v>
      </c>
      <c r="N401" s="35" t="s">
        <v>977</v>
      </c>
      <c r="O401" s="36">
        <v>15</v>
      </c>
      <c r="P401" s="35" t="s">
        <v>37</v>
      </c>
      <c r="Q401" s="35"/>
      <c r="R401" s="35" t="s">
        <v>2236</v>
      </c>
    </row>
    <row r="402" spans="1:18" ht="24">
      <c r="A402" s="32">
        <v>775</v>
      </c>
      <c r="B402" s="33">
        <v>45871</v>
      </c>
      <c r="C402" s="32">
        <v>2025</v>
      </c>
      <c r="D402" s="34" t="s">
        <v>2237</v>
      </c>
      <c r="E402" s="35" t="s">
        <v>2238</v>
      </c>
      <c r="F402" s="35" t="s">
        <v>906</v>
      </c>
      <c r="G402" s="34"/>
      <c r="H402" s="35" t="s">
        <v>895</v>
      </c>
      <c r="I402" s="35" t="s">
        <v>965</v>
      </c>
      <c r="J402" s="35" t="s">
        <v>1110</v>
      </c>
      <c r="K402" s="35" t="s">
        <v>888</v>
      </c>
      <c r="L402" s="35" t="s">
        <v>1101</v>
      </c>
      <c r="M402" s="35" t="s">
        <v>530</v>
      </c>
      <c r="N402" s="35" t="s">
        <v>968</v>
      </c>
      <c r="O402" s="36">
        <v>42</v>
      </c>
      <c r="P402" s="35" t="s">
        <v>37</v>
      </c>
      <c r="Q402" s="35"/>
      <c r="R402" s="35" t="s">
        <v>2239</v>
      </c>
    </row>
    <row r="403" spans="1:18" ht="24">
      <c r="A403" s="32">
        <v>774</v>
      </c>
      <c r="B403" s="33">
        <v>45871</v>
      </c>
      <c r="C403" s="32">
        <v>2025</v>
      </c>
      <c r="D403" s="34" t="s">
        <v>2240</v>
      </c>
      <c r="E403" s="35" t="s">
        <v>2241</v>
      </c>
      <c r="F403" s="35" t="s">
        <v>906</v>
      </c>
      <c r="G403" s="34"/>
      <c r="H403" s="35" t="s">
        <v>895</v>
      </c>
      <c r="I403" s="35" t="s">
        <v>965</v>
      </c>
      <c r="J403" s="35" t="s">
        <v>1110</v>
      </c>
      <c r="K403" s="35" t="s">
        <v>888</v>
      </c>
      <c r="L403" s="35" t="s">
        <v>1086</v>
      </c>
      <c r="M403" s="35" t="s">
        <v>512</v>
      </c>
      <c r="N403" s="35" t="s">
        <v>977</v>
      </c>
      <c r="O403" s="36">
        <v>26</v>
      </c>
      <c r="P403" s="35" t="s">
        <v>37</v>
      </c>
      <c r="Q403" s="35"/>
      <c r="R403" s="35" t="s">
        <v>2242</v>
      </c>
    </row>
    <row r="404" spans="1:18">
      <c r="A404" s="32">
        <v>772</v>
      </c>
      <c r="B404" s="33">
        <v>45870</v>
      </c>
      <c r="C404" s="32">
        <v>2025</v>
      </c>
      <c r="D404" s="34" t="s">
        <v>2243</v>
      </c>
      <c r="E404" s="35" t="s">
        <v>2244</v>
      </c>
      <c r="F404" s="35"/>
      <c r="G404" s="34"/>
      <c r="H404" s="35"/>
      <c r="I404" s="35" t="s">
        <v>1038</v>
      </c>
      <c r="J404" s="35" t="s">
        <v>1006</v>
      </c>
      <c r="K404" s="35" t="s">
        <v>1007</v>
      </c>
      <c r="L404" s="35" t="s">
        <v>1086</v>
      </c>
      <c r="M404" s="35" t="s">
        <v>512</v>
      </c>
      <c r="N404" s="35" t="s">
        <v>977</v>
      </c>
      <c r="O404" s="36">
        <v>15</v>
      </c>
      <c r="P404" s="35" t="s">
        <v>37</v>
      </c>
      <c r="Q404" s="35"/>
      <c r="R404" s="35" t="s">
        <v>2245</v>
      </c>
    </row>
    <row r="405" spans="1:18" ht="24">
      <c r="A405" s="32">
        <v>955</v>
      </c>
      <c r="B405" s="33">
        <v>45867</v>
      </c>
      <c r="C405" s="32">
        <v>2025</v>
      </c>
      <c r="D405" s="34" t="s">
        <v>2246</v>
      </c>
      <c r="E405" s="35" t="s">
        <v>2247</v>
      </c>
      <c r="F405" s="35" t="s">
        <v>885</v>
      </c>
      <c r="G405" s="34" t="s">
        <v>2248</v>
      </c>
      <c r="H405" s="35" t="s">
        <v>886</v>
      </c>
      <c r="I405" s="35" t="s">
        <v>1317</v>
      </c>
      <c r="J405" s="35" t="s">
        <v>1291</v>
      </c>
      <c r="K405" s="35" t="s">
        <v>897</v>
      </c>
      <c r="L405" s="35" t="s">
        <v>1008</v>
      </c>
      <c r="M405" s="35" t="s">
        <v>526</v>
      </c>
      <c r="N405" s="35" t="s">
        <v>968</v>
      </c>
      <c r="O405" s="36">
        <v>13</v>
      </c>
      <c r="P405" s="35" t="s">
        <v>371</v>
      </c>
      <c r="Q405" s="35"/>
      <c r="R405" s="35" t="s">
        <v>2249</v>
      </c>
    </row>
    <row r="406" spans="1:18" ht="24">
      <c r="A406" s="32">
        <v>1071</v>
      </c>
      <c r="B406" s="33">
        <v>45865</v>
      </c>
      <c r="C406" s="32">
        <v>2025</v>
      </c>
      <c r="D406" s="34" t="s">
        <v>2250</v>
      </c>
      <c r="E406" s="35" t="s">
        <v>2251</v>
      </c>
      <c r="F406" s="35"/>
      <c r="G406" s="34"/>
      <c r="H406" s="35"/>
      <c r="I406" s="35" t="s">
        <v>1005</v>
      </c>
      <c r="J406" s="35" t="s">
        <v>1021</v>
      </c>
      <c r="K406" s="35" t="s">
        <v>888</v>
      </c>
      <c r="L406" s="35" t="s">
        <v>1840</v>
      </c>
      <c r="M406" s="35" t="s">
        <v>512</v>
      </c>
      <c r="N406" s="35" t="s">
        <v>968</v>
      </c>
      <c r="O406" s="36">
        <v>54</v>
      </c>
      <c r="P406" s="35" t="s">
        <v>382</v>
      </c>
      <c r="Q406" s="35"/>
      <c r="R406" s="35" t="s">
        <v>2252</v>
      </c>
    </row>
    <row r="407" spans="1:18" ht="24">
      <c r="A407" s="32">
        <v>769</v>
      </c>
      <c r="B407" s="33">
        <v>45864</v>
      </c>
      <c r="C407" s="32">
        <v>2025</v>
      </c>
      <c r="D407" s="34" t="s">
        <v>2253</v>
      </c>
      <c r="E407" s="35" t="s">
        <v>2254</v>
      </c>
      <c r="F407" s="35" t="s">
        <v>878</v>
      </c>
      <c r="G407" s="34"/>
      <c r="H407" s="35" t="s">
        <v>879</v>
      </c>
      <c r="I407" s="35" t="s">
        <v>965</v>
      </c>
      <c r="J407" s="35" t="s">
        <v>1110</v>
      </c>
      <c r="K407" s="35" t="s">
        <v>888</v>
      </c>
      <c r="L407" s="35" t="s">
        <v>972</v>
      </c>
      <c r="M407" s="35" t="s">
        <v>530</v>
      </c>
      <c r="N407" s="35" t="s">
        <v>977</v>
      </c>
      <c r="O407" s="36">
        <v>0</v>
      </c>
      <c r="P407" s="35" t="s">
        <v>37</v>
      </c>
      <c r="Q407" s="35"/>
      <c r="R407" s="35" t="s">
        <v>2255</v>
      </c>
    </row>
    <row r="408" spans="1:18" ht="24">
      <c r="A408" s="32">
        <v>952</v>
      </c>
      <c r="B408" s="33">
        <v>45864</v>
      </c>
      <c r="C408" s="32">
        <v>2025</v>
      </c>
      <c r="D408" s="34" t="s">
        <v>2256</v>
      </c>
      <c r="E408" s="35" t="s">
        <v>2257</v>
      </c>
      <c r="F408" s="35" t="s">
        <v>882</v>
      </c>
      <c r="G408" s="34"/>
      <c r="H408" s="35" t="s">
        <v>883</v>
      </c>
      <c r="I408" s="35" t="s">
        <v>965</v>
      </c>
      <c r="J408" s="35" t="s">
        <v>1110</v>
      </c>
      <c r="K408" s="35" t="s">
        <v>888</v>
      </c>
      <c r="L408" s="35" t="s">
        <v>1101</v>
      </c>
      <c r="M408" s="35" t="s">
        <v>530</v>
      </c>
      <c r="N408" s="35" t="s">
        <v>977</v>
      </c>
      <c r="O408" s="36">
        <v>21</v>
      </c>
      <c r="P408" s="35" t="s">
        <v>371</v>
      </c>
      <c r="Q408" s="35"/>
      <c r="R408" s="35" t="s">
        <v>2258</v>
      </c>
    </row>
    <row r="409" spans="1:18" ht="24">
      <c r="A409" s="32">
        <v>951</v>
      </c>
      <c r="B409" s="33">
        <v>45864</v>
      </c>
      <c r="C409" s="32">
        <v>2025</v>
      </c>
      <c r="D409" s="34" t="s">
        <v>2259</v>
      </c>
      <c r="E409" s="35" t="s">
        <v>2260</v>
      </c>
      <c r="F409" s="35" t="s">
        <v>882</v>
      </c>
      <c r="G409" s="34"/>
      <c r="H409" s="35" t="s">
        <v>883</v>
      </c>
      <c r="I409" s="35" t="s">
        <v>965</v>
      </c>
      <c r="J409" s="35" t="s">
        <v>1110</v>
      </c>
      <c r="K409" s="35" t="s">
        <v>888</v>
      </c>
      <c r="L409" s="35" t="s">
        <v>1101</v>
      </c>
      <c r="M409" s="35" t="s">
        <v>530</v>
      </c>
      <c r="N409" s="35" t="s">
        <v>977</v>
      </c>
      <c r="O409" s="36">
        <v>12</v>
      </c>
      <c r="P409" s="35" t="s">
        <v>371</v>
      </c>
      <c r="Q409" s="35"/>
      <c r="R409" s="35" t="s">
        <v>2261</v>
      </c>
    </row>
    <row r="410" spans="1:18" ht="24">
      <c r="A410" s="32">
        <v>950</v>
      </c>
      <c r="B410" s="33">
        <v>45864</v>
      </c>
      <c r="C410" s="32">
        <v>2025</v>
      </c>
      <c r="D410" s="34" t="s">
        <v>2262</v>
      </c>
      <c r="E410" s="35" t="s">
        <v>2263</v>
      </c>
      <c r="F410" s="35" t="s">
        <v>882</v>
      </c>
      <c r="G410" s="34"/>
      <c r="H410" s="35" t="s">
        <v>883</v>
      </c>
      <c r="I410" s="35" t="s">
        <v>965</v>
      </c>
      <c r="J410" s="35" t="s">
        <v>1110</v>
      </c>
      <c r="K410" s="35" t="s">
        <v>888</v>
      </c>
      <c r="L410" s="35" t="s">
        <v>1101</v>
      </c>
      <c r="M410" s="35" t="s">
        <v>530</v>
      </c>
      <c r="N410" s="35" t="s">
        <v>977</v>
      </c>
      <c r="O410" s="36">
        <v>22</v>
      </c>
      <c r="P410" s="35" t="s">
        <v>371</v>
      </c>
      <c r="Q410" s="35"/>
      <c r="R410" s="35" t="s">
        <v>2264</v>
      </c>
    </row>
    <row r="411" spans="1:18">
      <c r="A411" s="32">
        <v>949</v>
      </c>
      <c r="B411" s="33">
        <v>45864</v>
      </c>
      <c r="C411" s="32">
        <v>2025</v>
      </c>
      <c r="D411" s="34" t="s">
        <v>2265</v>
      </c>
      <c r="E411" s="35" t="s">
        <v>2266</v>
      </c>
      <c r="F411" s="35" t="s">
        <v>902</v>
      </c>
      <c r="G411" s="34"/>
      <c r="H411" s="35" t="s">
        <v>886</v>
      </c>
      <c r="I411" s="35" t="s">
        <v>965</v>
      </c>
      <c r="J411" s="35" t="s">
        <v>1110</v>
      </c>
      <c r="K411" s="35" t="s">
        <v>888</v>
      </c>
      <c r="L411" s="35" t="s">
        <v>972</v>
      </c>
      <c r="M411" s="35" t="s">
        <v>512</v>
      </c>
      <c r="N411" s="35" t="s">
        <v>968</v>
      </c>
      <c r="O411" s="36">
        <v>22</v>
      </c>
      <c r="P411" s="35" t="s">
        <v>371</v>
      </c>
      <c r="Q411" s="35"/>
      <c r="R411" s="35" t="s">
        <v>2267</v>
      </c>
    </row>
    <row r="412" spans="1:18" ht="24">
      <c r="A412" s="32">
        <v>953</v>
      </c>
      <c r="B412" s="33">
        <v>45863</v>
      </c>
      <c r="C412" s="32">
        <v>2025</v>
      </c>
      <c r="D412" s="34" t="s">
        <v>2268</v>
      </c>
      <c r="E412" s="35" t="s">
        <v>2269</v>
      </c>
      <c r="F412" s="35"/>
      <c r="G412" s="34"/>
      <c r="H412" s="35"/>
      <c r="I412" s="35" t="s">
        <v>1005</v>
      </c>
      <c r="J412" s="35" t="s">
        <v>1021</v>
      </c>
      <c r="K412" s="35" t="s">
        <v>888</v>
      </c>
      <c r="L412" s="35" t="s">
        <v>1008</v>
      </c>
      <c r="M412" s="35" t="s">
        <v>526</v>
      </c>
      <c r="N412" s="35" t="s">
        <v>968</v>
      </c>
      <c r="O412" s="36">
        <v>5</v>
      </c>
      <c r="P412" s="35" t="s">
        <v>371</v>
      </c>
      <c r="Q412" s="35"/>
      <c r="R412" s="35" t="s">
        <v>2270</v>
      </c>
    </row>
    <row r="413" spans="1:18">
      <c r="A413" s="32">
        <v>768</v>
      </c>
      <c r="B413" s="33">
        <v>45863</v>
      </c>
      <c r="C413" s="32">
        <v>2025</v>
      </c>
      <c r="D413" s="34" t="s">
        <v>2271</v>
      </c>
      <c r="E413" s="35" t="s">
        <v>2272</v>
      </c>
      <c r="F413" s="35"/>
      <c r="G413" s="34"/>
      <c r="H413" s="35"/>
      <c r="I413" s="35" t="s">
        <v>1038</v>
      </c>
      <c r="J413" s="35" t="s">
        <v>1006</v>
      </c>
      <c r="K413" s="35" t="s">
        <v>1007</v>
      </c>
      <c r="L413" s="35" t="s">
        <v>1127</v>
      </c>
      <c r="M413" s="35" t="s">
        <v>515</v>
      </c>
      <c r="N413" s="35" t="s">
        <v>968</v>
      </c>
      <c r="O413" s="36">
        <v>17</v>
      </c>
      <c r="P413" s="35" t="s">
        <v>37</v>
      </c>
      <c r="Q413" s="35"/>
      <c r="R413" s="35" t="s">
        <v>2273</v>
      </c>
    </row>
    <row r="414" spans="1:18" ht="24">
      <c r="A414" s="32">
        <v>1073</v>
      </c>
      <c r="B414" s="33">
        <v>45860</v>
      </c>
      <c r="C414" s="32">
        <v>2025</v>
      </c>
      <c r="D414" s="34" t="s">
        <v>2274</v>
      </c>
      <c r="E414" s="35" t="s">
        <v>2275</v>
      </c>
      <c r="F414" s="35" t="s">
        <v>878</v>
      </c>
      <c r="G414" s="34"/>
      <c r="H414" s="35" t="s">
        <v>879</v>
      </c>
      <c r="I414" s="35" t="s">
        <v>965</v>
      </c>
      <c r="J414" s="35" t="s">
        <v>1110</v>
      </c>
      <c r="K414" s="35" t="s">
        <v>888</v>
      </c>
      <c r="L414" s="35" t="s">
        <v>1008</v>
      </c>
      <c r="M414" s="35" t="s">
        <v>526</v>
      </c>
      <c r="N414" s="35" t="s">
        <v>977</v>
      </c>
      <c r="O414" s="36">
        <v>8</v>
      </c>
      <c r="P414" s="35" t="s">
        <v>382</v>
      </c>
      <c r="Q414" s="35"/>
      <c r="R414" s="35" t="s">
        <v>2276</v>
      </c>
    </row>
    <row r="415" spans="1:18" ht="24">
      <c r="A415" s="32">
        <v>1069</v>
      </c>
      <c r="B415" s="33">
        <v>45858</v>
      </c>
      <c r="C415" s="32">
        <v>2025</v>
      </c>
      <c r="D415" s="34" t="s">
        <v>2277</v>
      </c>
      <c r="E415" s="35" t="s">
        <v>2278</v>
      </c>
      <c r="F415" s="35"/>
      <c r="G415" s="34"/>
      <c r="H415" s="35"/>
      <c r="I415" s="35" t="s">
        <v>1038</v>
      </c>
      <c r="J415" s="35" t="s">
        <v>1006</v>
      </c>
      <c r="K415" s="35" t="s">
        <v>1007</v>
      </c>
      <c r="L415" s="35" t="s">
        <v>972</v>
      </c>
      <c r="M415" s="35" t="s">
        <v>512</v>
      </c>
      <c r="N415" s="35" t="s">
        <v>977</v>
      </c>
      <c r="O415" s="36">
        <v>13</v>
      </c>
      <c r="P415" s="35" t="s">
        <v>382</v>
      </c>
      <c r="Q415" s="35"/>
      <c r="R415" s="35" t="s">
        <v>2279</v>
      </c>
    </row>
    <row r="416" spans="1:18" ht="24">
      <c r="A416" s="32">
        <v>766</v>
      </c>
      <c r="B416" s="33">
        <v>45858</v>
      </c>
      <c r="C416" s="32">
        <v>2025</v>
      </c>
      <c r="D416" s="34" t="s">
        <v>2280</v>
      </c>
      <c r="E416" s="35" t="s">
        <v>2281</v>
      </c>
      <c r="F416" s="35"/>
      <c r="G416" s="34"/>
      <c r="H416" s="35"/>
      <c r="I416" s="35" t="s">
        <v>1005</v>
      </c>
      <c r="J416" s="35" t="s">
        <v>1021</v>
      </c>
      <c r="K416" s="35" t="s">
        <v>888</v>
      </c>
      <c r="L416" s="35" t="s">
        <v>1086</v>
      </c>
      <c r="M416" s="35" t="s">
        <v>512</v>
      </c>
      <c r="N416" s="35" t="s">
        <v>968</v>
      </c>
      <c r="O416" s="36">
        <v>20</v>
      </c>
      <c r="P416" s="35" t="s">
        <v>37</v>
      </c>
      <c r="Q416" s="35"/>
      <c r="R416" s="35" t="s">
        <v>2282</v>
      </c>
    </row>
    <row r="417" spans="1:18" ht="24">
      <c r="A417" s="32">
        <v>947</v>
      </c>
      <c r="B417" s="33">
        <v>45858</v>
      </c>
      <c r="C417" s="32">
        <v>2025</v>
      </c>
      <c r="D417" s="34" t="s">
        <v>2283</v>
      </c>
      <c r="E417" s="35" t="s">
        <v>2284</v>
      </c>
      <c r="F417" s="35" t="s">
        <v>889</v>
      </c>
      <c r="G417" s="34"/>
      <c r="H417" s="35" t="s">
        <v>890</v>
      </c>
      <c r="I417" s="35" t="s">
        <v>965</v>
      </c>
      <c r="J417" s="35" t="s">
        <v>1110</v>
      </c>
      <c r="K417" s="35" t="s">
        <v>888</v>
      </c>
      <c r="L417" s="35" t="s">
        <v>1139</v>
      </c>
      <c r="M417" s="35" t="s">
        <v>519</v>
      </c>
      <c r="N417" s="35" t="s">
        <v>977</v>
      </c>
      <c r="O417" s="36">
        <v>8</v>
      </c>
      <c r="P417" s="35" t="s">
        <v>371</v>
      </c>
      <c r="Q417" s="35"/>
      <c r="R417" s="35" t="s">
        <v>2285</v>
      </c>
    </row>
    <row r="418" spans="1:18" ht="24">
      <c r="A418" s="32">
        <v>946</v>
      </c>
      <c r="B418" s="33">
        <v>45858</v>
      </c>
      <c r="C418" s="32">
        <v>2025</v>
      </c>
      <c r="D418" s="34" t="s">
        <v>2286</v>
      </c>
      <c r="E418" s="35" t="s">
        <v>2287</v>
      </c>
      <c r="F418" s="35" t="s">
        <v>882</v>
      </c>
      <c r="G418" s="34" t="s">
        <v>909</v>
      </c>
      <c r="H418" s="35" t="s">
        <v>883</v>
      </c>
      <c r="I418" s="35" t="s">
        <v>1317</v>
      </c>
      <c r="J418" s="35" t="s">
        <v>1110</v>
      </c>
      <c r="K418" s="35" t="s">
        <v>888</v>
      </c>
      <c r="L418" s="35" t="s">
        <v>1008</v>
      </c>
      <c r="M418" s="35" t="s">
        <v>526</v>
      </c>
      <c r="N418" s="35" t="s">
        <v>968</v>
      </c>
      <c r="O418" s="36">
        <v>15</v>
      </c>
      <c r="P418" s="35" t="s">
        <v>371</v>
      </c>
      <c r="Q418" s="35"/>
      <c r="R418" s="35" t="s">
        <v>2288</v>
      </c>
    </row>
    <row r="419" spans="1:18" ht="24">
      <c r="A419" s="32">
        <v>943</v>
      </c>
      <c r="B419" s="33">
        <v>45857</v>
      </c>
      <c r="C419" s="32">
        <v>2025</v>
      </c>
      <c r="D419" s="34" t="s">
        <v>2289</v>
      </c>
      <c r="E419" s="35" t="s">
        <v>2290</v>
      </c>
      <c r="F419" s="35" t="s">
        <v>924</v>
      </c>
      <c r="G419" s="34" t="s">
        <v>2291</v>
      </c>
      <c r="H419" s="35" t="s">
        <v>879</v>
      </c>
      <c r="I419" s="35" t="s">
        <v>1317</v>
      </c>
      <c r="J419" s="35" t="s">
        <v>1291</v>
      </c>
      <c r="K419" s="35" t="s">
        <v>897</v>
      </c>
      <c r="L419" s="35" t="s">
        <v>1008</v>
      </c>
      <c r="M419" s="35" t="s">
        <v>526</v>
      </c>
      <c r="N419" s="35" t="s">
        <v>968</v>
      </c>
      <c r="O419" s="36">
        <v>17</v>
      </c>
      <c r="P419" s="35" t="s">
        <v>371</v>
      </c>
      <c r="Q419" s="35"/>
      <c r="R419" s="35" t="s">
        <v>2292</v>
      </c>
    </row>
    <row r="420" spans="1:18">
      <c r="A420" s="32">
        <v>942</v>
      </c>
      <c r="B420" s="33">
        <v>45855</v>
      </c>
      <c r="C420" s="32">
        <v>2025</v>
      </c>
      <c r="D420" s="34" t="s">
        <v>2293</v>
      </c>
      <c r="E420" s="35" t="s">
        <v>2294</v>
      </c>
      <c r="F420" s="35"/>
      <c r="G420" s="34"/>
      <c r="H420" s="35"/>
      <c r="I420" s="35" t="s">
        <v>1005</v>
      </c>
      <c r="J420" s="35" t="s">
        <v>1021</v>
      </c>
      <c r="K420" s="35" t="s">
        <v>888</v>
      </c>
      <c r="L420" s="35" t="s">
        <v>1086</v>
      </c>
      <c r="M420" s="35" t="s">
        <v>512</v>
      </c>
      <c r="N420" s="35" t="s">
        <v>968</v>
      </c>
      <c r="O420" s="36">
        <v>12</v>
      </c>
      <c r="P420" s="35" t="s">
        <v>371</v>
      </c>
      <c r="Q420" s="35"/>
      <c r="R420" s="35" t="s">
        <v>2295</v>
      </c>
    </row>
    <row r="421" spans="1:18" ht="48">
      <c r="A421" s="32">
        <v>941</v>
      </c>
      <c r="B421" s="33">
        <v>45855</v>
      </c>
      <c r="C421" s="32">
        <v>2025</v>
      </c>
      <c r="D421" s="34" t="s">
        <v>2296</v>
      </c>
      <c r="E421" s="35" t="s">
        <v>2297</v>
      </c>
      <c r="F421" s="35" t="s">
        <v>887</v>
      </c>
      <c r="G421" s="34" t="s">
        <v>2298</v>
      </c>
      <c r="H421" s="35" t="s">
        <v>883</v>
      </c>
      <c r="I421" s="35" t="s">
        <v>1317</v>
      </c>
      <c r="J421" s="35" t="s">
        <v>1291</v>
      </c>
      <c r="K421" s="35" t="s">
        <v>897</v>
      </c>
      <c r="L421" s="35" t="s">
        <v>1119</v>
      </c>
      <c r="M421" s="35" t="s">
        <v>519</v>
      </c>
      <c r="N421" s="35" t="s">
        <v>968</v>
      </c>
      <c r="O421" s="36">
        <v>31</v>
      </c>
      <c r="P421" s="35" t="s">
        <v>371</v>
      </c>
      <c r="Q421" s="35"/>
      <c r="R421" s="35" t="s">
        <v>2299</v>
      </c>
    </row>
    <row r="422" spans="1:18">
      <c r="A422" s="32">
        <v>940</v>
      </c>
      <c r="B422" s="33">
        <v>45855</v>
      </c>
      <c r="C422" s="32">
        <v>2025</v>
      </c>
      <c r="D422" s="34" t="s">
        <v>2300</v>
      </c>
      <c r="E422" s="35" t="s">
        <v>2301</v>
      </c>
      <c r="F422" s="35"/>
      <c r="G422" s="34"/>
      <c r="H422" s="35"/>
      <c r="I422" s="35" t="s">
        <v>1038</v>
      </c>
      <c r="J422" s="35" t="s">
        <v>1006</v>
      </c>
      <c r="K422" s="35" t="s">
        <v>1007</v>
      </c>
      <c r="L422" s="35" t="s">
        <v>1840</v>
      </c>
      <c r="M422" s="35" t="s">
        <v>512</v>
      </c>
      <c r="N422" s="35" t="s">
        <v>977</v>
      </c>
      <c r="O422" s="36">
        <v>26</v>
      </c>
      <c r="P422" s="35" t="s">
        <v>371</v>
      </c>
      <c r="Q422" s="35"/>
      <c r="R422" s="35" t="s">
        <v>2302</v>
      </c>
    </row>
    <row r="423" spans="1:18" ht="24">
      <c r="A423" s="32">
        <v>939</v>
      </c>
      <c r="B423" s="33">
        <v>45855</v>
      </c>
      <c r="C423" s="32">
        <v>2025</v>
      </c>
      <c r="D423" s="34" t="s">
        <v>2303</v>
      </c>
      <c r="E423" s="35" t="s">
        <v>2304</v>
      </c>
      <c r="F423" s="35"/>
      <c r="G423" s="34"/>
      <c r="H423" s="35"/>
      <c r="I423" s="35" t="s">
        <v>1005</v>
      </c>
      <c r="J423" s="35" t="s">
        <v>1021</v>
      </c>
      <c r="K423" s="35" t="s">
        <v>888</v>
      </c>
      <c r="L423" s="35" t="s">
        <v>1408</v>
      </c>
      <c r="M423" s="35" t="s">
        <v>515</v>
      </c>
      <c r="N423" s="35" t="s">
        <v>968</v>
      </c>
      <c r="O423" s="36">
        <v>22</v>
      </c>
      <c r="P423" s="35" t="s">
        <v>371</v>
      </c>
      <c r="Q423" s="35"/>
      <c r="R423" s="35" t="s">
        <v>2305</v>
      </c>
    </row>
    <row r="424" spans="1:18" ht="24">
      <c r="A424" s="32">
        <v>938</v>
      </c>
      <c r="B424" s="33">
        <v>45852</v>
      </c>
      <c r="C424" s="32">
        <v>2025</v>
      </c>
      <c r="D424" s="34" t="s">
        <v>2306</v>
      </c>
      <c r="E424" s="35" t="s">
        <v>2307</v>
      </c>
      <c r="F424" s="35"/>
      <c r="G424" s="34"/>
      <c r="H424" s="35"/>
      <c r="I424" s="35" t="s">
        <v>1005</v>
      </c>
      <c r="J424" s="35" t="s">
        <v>1021</v>
      </c>
      <c r="K424" s="35" t="s">
        <v>888</v>
      </c>
      <c r="L424" s="35" t="s">
        <v>1342</v>
      </c>
      <c r="M424" s="35" t="s">
        <v>515</v>
      </c>
      <c r="N424" s="35" t="s">
        <v>977</v>
      </c>
      <c r="O424" s="36">
        <v>19</v>
      </c>
      <c r="P424" s="35" t="s">
        <v>371</v>
      </c>
      <c r="Q424" s="35"/>
      <c r="R424" s="35" t="s">
        <v>2308</v>
      </c>
    </row>
    <row r="425" spans="1:18" ht="24">
      <c r="A425" s="32">
        <v>936</v>
      </c>
      <c r="B425" s="33">
        <v>45849</v>
      </c>
      <c r="C425" s="32">
        <v>2025</v>
      </c>
      <c r="D425" s="34" t="s">
        <v>2309</v>
      </c>
      <c r="E425" s="35" t="s">
        <v>2310</v>
      </c>
      <c r="F425" s="35"/>
      <c r="G425" s="34"/>
      <c r="H425" s="35" t="s">
        <v>883</v>
      </c>
      <c r="I425" s="35" t="s">
        <v>1134</v>
      </c>
      <c r="J425" s="35" t="s">
        <v>1135</v>
      </c>
      <c r="K425" s="35" t="s">
        <v>888</v>
      </c>
      <c r="L425" s="35" t="s">
        <v>976</v>
      </c>
      <c r="M425" s="35" t="s">
        <v>522</v>
      </c>
      <c r="N425" s="35" t="s">
        <v>977</v>
      </c>
      <c r="O425" s="36">
        <v>11</v>
      </c>
      <c r="P425" s="35" t="s">
        <v>371</v>
      </c>
      <c r="Q425" s="35"/>
      <c r="R425" s="35" t="s">
        <v>2311</v>
      </c>
    </row>
    <row r="426" spans="1:18" ht="24">
      <c r="A426" s="32">
        <v>1067</v>
      </c>
      <c r="B426" s="33">
        <v>45848</v>
      </c>
      <c r="C426" s="32">
        <v>2025</v>
      </c>
      <c r="D426" s="34" t="s">
        <v>2312</v>
      </c>
      <c r="E426" s="35" t="s">
        <v>2313</v>
      </c>
      <c r="F426" s="35" t="s">
        <v>891</v>
      </c>
      <c r="G426" s="34"/>
      <c r="H426" s="35" t="s">
        <v>883</v>
      </c>
      <c r="I426" s="35" t="s">
        <v>965</v>
      </c>
      <c r="J426" s="35" t="s">
        <v>1110</v>
      </c>
      <c r="K426" s="35" t="s">
        <v>888</v>
      </c>
      <c r="L426" s="35" t="s">
        <v>2314</v>
      </c>
      <c r="M426" s="35" t="s">
        <v>533</v>
      </c>
      <c r="N426" s="35" t="s">
        <v>977</v>
      </c>
      <c r="O426" s="36">
        <v>31</v>
      </c>
      <c r="P426" s="35" t="s">
        <v>382</v>
      </c>
      <c r="Q426" s="35"/>
      <c r="R426" s="35" t="s">
        <v>2315</v>
      </c>
    </row>
    <row r="427" spans="1:18" ht="36">
      <c r="A427" s="32">
        <v>765</v>
      </c>
      <c r="B427" s="33">
        <v>45847</v>
      </c>
      <c r="C427" s="32">
        <v>2025</v>
      </c>
      <c r="D427" s="34" t="s">
        <v>2316</v>
      </c>
      <c r="E427" s="35" t="s">
        <v>2317</v>
      </c>
      <c r="F427" s="35" t="s">
        <v>882</v>
      </c>
      <c r="G427" s="34"/>
      <c r="H427" s="35" t="s">
        <v>883</v>
      </c>
      <c r="I427" s="35" t="s">
        <v>965</v>
      </c>
      <c r="J427" s="35" t="s">
        <v>1110</v>
      </c>
      <c r="K427" s="35" t="s">
        <v>888</v>
      </c>
      <c r="L427" s="35" t="s">
        <v>1086</v>
      </c>
      <c r="M427" s="35" t="s">
        <v>530</v>
      </c>
      <c r="N427" s="35" t="s">
        <v>977</v>
      </c>
      <c r="O427" s="36">
        <v>18</v>
      </c>
      <c r="P427" s="35" t="s">
        <v>37</v>
      </c>
      <c r="Q427" s="35"/>
      <c r="R427" s="35" t="s">
        <v>2318</v>
      </c>
    </row>
    <row r="428" spans="1:18" ht="24">
      <c r="A428" s="32">
        <v>1063</v>
      </c>
      <c r="B428" s="33">
        <v>45846</v>
      </c>
      <c r="C428" s="32">
        <v>2025</v>
      </c>
      <c r="D428" s="34" t="s">
        <v>2319</v>
      </c>
      <c r="E428" s="35" t="s">
        <v>2320</v>
      </c>
      <c r="F428" s="35" t="s">
        <v>907</v>
      </c>
      <c r="G428" s="34"/>
      <c r="H428" s="35" t="s">
        <v>879</v>
      </c>
      <c r="I428" s="35" t="s">
        <v>965</v>
      </c>
      <c r="J428" s="35" t="s">
        <v>1110</v>
      </c>
      <c r="K428" s="35" t="s">
        <v>888</v>
      </c>
      <c r="L428" s="35" t="s">
        <v>1101</v>
      </c>
      <c r="M428" s="35" t="s">
        <v>530</v>
      </c>
      <c r="N428" s="35" t="s">
        <v>977</v>
      </c>
      <c r="O428" s="36">
        <v>66</v>
      </c>
      <c r="P428" s="35" t="s">
        <v>382</v>
      </c>
      <c r="Q428" s="35"/>
      <c r="R428" s="35" t="s">
        <v>2321</v>
      </c>
    </row>
    <row r="429" spans="1:18" ht="24">
      <c r="A429" s="32">
        <v>1062</v>
      </c>
      <c r="B429" s="33">
        <v>45846</v>
      </c>
      <c r="C429" s="32">
        <v>2025</v>
      </c>
      <c r="D429" s="34" t="s">
        <v>2322</v>
      </c>
      <c r="E429" s="35" t="s">
        <v>2323</v>
      </c>
      <c r="F429" s="35" t="s">
        <v>882</v>
      </c>
      <c r="G429" s="34"/>
      <c r="H429" s="35" t="s">
        <v>883</v>
      </c>
      <c r="I429" s="35" t="s">
        <v>965</v>
      </c>
      <c r="J429" s="35" t="s">
        <v>1110</v>
      </c>
      <c r="K429" s="35" t="s">
        <v>888</v>
      </c>
      <c r="L429" s="35" t="s">
        <v>1086</v>
      </c>
      <c r="M429" s="35" t="s">
        <v>512</v>
      </c>
      <c r="N429" s="35" t="s">
        <v>977</v>
      </c>
      <c r="O429" s="36">
        <v>18</v>
      </c>
      <c r="P429" s="35" t="s">
        <v>382</v>
      </c>
      <c r="Q429" s="35"/>
      <c r="R429" s="35" t="s">
        <v>2324</v>
      </c>
    </row>
    <row r="430" spans="1:18">
      <c r="A430" s="32">
        <v>1061</v>
      </c>
      <c r="B430" s="33">
        <v>45846</v>
      </c>
      <c r="C430" s="32">
        <v>2025</v>
      </c>
      <c r="D430" s="34" t="s">
        <v>2325</v>
      </c>
      <c r="E430" s="35" t="s">
        <v>2326</v>
      </c>
      <c r="F430" s="35"/>
      <c r="G430" s="34"/>
      <c r="H430" s="35"/>
      <c r="I430" s="35" t="s">
        <v>1005</v>
      </c>
      <c r="J430" s="35" t="s">
        <v>1021</v>
      </c>
      <c r="K430" s="35" t="s">
        <v>888</v>
      </c>
      <c r="L430" s="35" t="s">
        <v>972</v>
      </c>
      <c r="M430" s="35" t="s">
        <v>512</v>
      </c>
      <c r="N430" s="35" t="s">
        <v>968</v>
      </c>
      <c r="O430" s="36">
        <v>19</v>
      </c>
      <c r="P430" s="35" t="s">
        <v>382</v>
      </c>
      <c r="Q430" s="35"/>
      <c r="R430" s="35" t="s">
        <v>2327</v>
      </c>
    </row>
    <row r="431" spans="1:18">
      <c r="A431" s="32">
        <v>1060</v>
      </c>
      <c r="B431" s="33">
        <v>45846</v>
      </c>
      <c r="C431" s="32">
        <v>2025</v>
      </c>
      <c r="D431" s="34" t="s">
        <v>2328</v>
      </c>
      <c r="E431" s="35" t="s">
        <v>2329</v>
      </c>
      <c r="F431" s="35"/>
      <c r="G431" s="34"/>
      <c r="H431" s="35"/>
      <c r="I431" s="35" t="s">
        <v>1005</v>
      </c>
      <c r="J431" s="35" t="s">
        <v>1021</v>
      </c>
      <c r="K431" s="35" t="s">
        <v>888</v>
      </c>
      <c r="L431" s="35" t="s">
        <v>972</v>
      </c>
      <c r="M431" s="35" t="s">
        <v>512</v>
      </c>
      <c r="N431" s="35" t="s">
        <v>977</v>
      </c>
      <c r="O431" s="36">
        <v>14</v>
      </c>
      <c r="P431" s="35" t="s">
        <v>382</v>
      </c>
      <c r="Q431" s="35"/>
      <c r="R431" s="35" t="s">
        <v>2330</v>
      </c>
    </row>
    <row r="432" spans="1:18" ht="36">
      <c r="A432" s="32">
        <v>763</v>
      </c>
      <c r="B432" s="33">
        <v>45844</v>
      </c>
      <c r="C432" s="32">
        <v>2025</v>
      </c>
      <c r="D432" s="34" t="s">
        <v>2331</v>
      </c>
      <c r="E432" s="35" t="s">
        <v>2332</v>
      </c>
      <c r="F432" s="35"/>
      <c r="G432" s="34"/>
      <c r="H432" s="35"/>
      <c r="I432" s="35" t="s">
        <v>1005</v>
      </c>
      <c r="J432" s="35" t="s">
        <v>1021</v>
      </c>
      <c r="K432" s="35" t="s">
        <v>888</v>
      </c>
      <c r="L432" s="35" t="s">
        <v>976</v>
      </c>
      <c r="M432" s="35" t="s">
        <v>522</v>
      </c>
      <c r="N432" s="35" t="s">
        <v>977</v>
      </c>
      <c r="O432" s="36">
        <v>25</v>
      </c>
      <c r="P432" s="35" t="s">
        <v>37</v>
      </c>
      <c r="Q432" s="35"/>
      <c r="R432" s="35" t="s">
        <v>2333</v>
      </c>
    </row>
    <row r="433" spans="1:18" ht="24">
      <c r="A433" s="32">
        <v>1058</v>
      </c>
      <c r="B433" s="33">
        <v>45844</v>
      </c>
      <c r="C433" s="32">
        <v>2025</v>
      </c>
      <c r="D433" s="34" t="s">
        <v>2334</v>
      </c>
      <c r="E433" s="35" t="s">
        <v>2335</v>
      </c>
      <c r="F433" s="35" t="s">
        <v>882</v>
      </c>
      <c r="G433" s="34"/>
      <c r="H433" s="35" t="s">
        <v>883</v>
      </c>
      <c r="I433" s="35" t="s">
        <v>965</v>
      </c>
      <c r="J433" s="35" t="s">
        <v>1291</v>
      </c>
      <c r="K433" s="35" t="s">
        <v>897</v>
      </c>
      <c r="L433" s="35" t="s">
        <v>1101</v>
      </c>
      <c r="M433" s="35" t="s">
        <v>530</v>
      </c>
      <c r="N433" s="35" t="s">
        <v>977</v>
      </c>
      <c r="O433" s="36">
        <v>29</v>
      </c>
      <c r="P433" s="35" t="s">
        <v>382</v>
      </c>
      <c r="Q433" s="35"/>
      <c r="R433" s="35" t="s">
        <v>2336</v>
      </c>
    </row>
    <row r="434" spans="1:18" ht="24">
      <c r="A434" s="32">
        <v>930</v>
      </c>
      <c r="B434" s="33">
        <v>45844</v>
      </c>
      <c r="C434" s="32">
        <v>2025</v>
      </c>
      <c r="D434" s="34" t="s">
        <v>2337</v>
      </c>
      <c r="E434" s="35" t="s">
        <v>2338</v>
      </c>
      <c r="F434" s="35" t="s">
        <v>899</v>
      </c>
      <c r="G434" s="34"/>
      <c r="H434" s="35" t="s">
        <v>886</v>
      </c>
      <c r="I434" s="35" t="s">
        <v>965</v>
      </c>
      <c r="J434" s="35" t="s">
        <v>1110</v>
      </c>
      <c r="K434" s="35" t="s">
        <v>888</v>
      </c>
      <c r="L434" s="35" t="s">
        <v>972</v>
      </c>
      <c r="M434" s="35" t="s">
        <v>512</v>
      </c>
      <c r="N434" s="35" t="s">
        <v>977</v>
      </c>
      <c r="O434" s="36">
        <v>3</v>
      </c>
      <c r="P434" s="35" t="s">
        <v>371</v>
      </c>
      <c r="Q434" s="35"/>
      <c r="R434" s="35" t="s">
        <v>2339</v>
      </c>
    </row>
    <row r="435" spans="1:18" ht="24">
      <c r="A435" s="32">
        <v>929</v>
      </c>
      <c r="B435" s="33">
        <v>45844</v>
      </c>
      <c r="C435" s="32">
        <v>2025</v>
      </c>
      <c r="D435" s="34" t="s">
        <v>2340</v>
      </c>
      <c r="E435" s="35" t="s">
        <v>2341</v>
      </c>
      <c r="F435" s="35" t="s">
        <v>899</v>
      </c>
      <c r="G435" s="34"/>
      <c r="H435" s="35" t="s">
        <v>886</v>
      </c>
      <c r="I435" s="35" t="s">
        <v>965</v>
      </c>
      <c r="J435" s="35" t="s">
        <v>1110</v>
      </c>
      <c r="K435" s="35" t="s">
        <v>888</v>
      </c>
      <c r="L435" s="35" t="s">
        <v>1139</v>
      </c>
      <c r="M435" s="35" t="s">
        <v>519</v>
      </c>
      <c r="N435" s="35" t="s">
        <v>977</v>
      </c>
      <c r="O435" s="36">
        <v>7</v>
      </c>
      <c r="P435" s="35" t="s">
        <v>371</v>
      </c>
      <c r="Q435" s="35"/>
      <c r="R435" s="35" t="s">
        <v>2342</v>
      </c>
    </row>
    <row r="436" spans="1:18" ht="36">
      <c r="A436" s="32">
        <v>1059</v>
      </c>
      <c r="B436" s="33">
        <v>45841</v>
      </c>
      <c r="C436" s="32">
        <v>2025</v>
      </c>
      <c r="D436" s="34" t="s">
        <v>2343</v>
      </c>
      <c r="E436" s="35" t="s">
        <v>2344</v>
      </c>
      <c r="F436" s="35" t="s">
        <v>884</v>
      </c>
      <c r="G436" s="34"/>
      <c r="H436" s="35" t="s">
        <v>883</v>
      </c>
      <c r="I436" s="35" t="s">
        <v>965</v>
      </c>
      <c r="J436" s="35" t="s">
        <v>1110</v>
      </c>
      <c r="K436" s="35" t="s">
        <v>888</v>
      </c>
      <c r="L436" s="35" t="s">
        <v>1086</v>
      </c>
      <c r="M436" s="35" t="s">
        <v>512</v>
      </c>
      <c r="N436" s="35" t="s">
        <v>977</v>
      </c>
      <c r="O436" s="36">
        <v>47</v>
      </c>
      <c r="P436" s="35" t="s">
        <v>382</v>
      </c>
      <c r="Q436" s="35"/>
      <c r="R436" s="35" t="s">
        <v>2345</v>
      </c>
    </row>
    <row r="437" spans="1:18" ht="24">
      <c r="A437" s="32">
        <v>928</v>
      </c>
      <c r="B437" s="33">
        <v>45836</v>
      </c>
      <c r="C437" s="32">
        <v>2025</v>
      </c>
      <c r="D437" s="34" t="s">
        <v>2346</v>
      </c>
      <c r="E437" s="35" t="s">
        <v>2347</v>
      </c>
      <c r="F437" s="35" t="s">
        <v>904</v>
      </c>
      <c r="G437" s="34"/>
      <c r="H437" s="35" t="s">
        <v>886</v>
      </c>
      <c r="I437" s="35" t="s">
        <v>965</v>
      </c>
      <c r="J437" s="35" t="s">
        <v>1110</v>
      </c>
      <c r="K437" s="35" t="s">
        <v>888</v>
      </c>
      <c r="L437" s="35" t="s">
        <v>976</v>
      </c>
      <c r="M437" s="35" t="s">
        <v>522</v>
      </c>
      <c r="N437" s="35" t="s">
        <v>977</v>
      </c>
      <c r="O437" s="36">
        <v>32</v>
      </c>
      <c r="P437" s="35" t="s">
        <v>371</v>
      </c>
      <c r="Q437" s="35"/>
      <c r="R437" s="35" t="s">
        <v>2348</v>
      </c>
    </row>
    <row r="438" spans="1:18" ht="24">
      <c r="A438" s="32">
        <v>761</v>
      </c>
      <c r="B438" s="33">
        <v>45836</v>
      </c>
      <c r="C438" s="32">
        <v>2025</v>
      </c>
      <c r="D438" s="34" t="s">
        <v>2349</v>
      </c>
      <c r="E438" s="35" t="s">
        <v>2350</v>
      </c>
      <c r="F438" s="35"/>
      <c r="G438" s="34"/>
      <c r="H438" s="35"/>
      <c r="I438" s="35" t="s">
        <v>1005</v>
      </c>
      <c r="J438" s="35" t="s">
        <v>1021</v>
      </c>
      <c r="K438" s="35" t="s">
        <v>888</v>
      </c>
      <c r="L438" s="35" t="s">
        <v>1008</v>
      </c>
      <c r="M438" s="35" t="s">
        <v>526</v>
      </c>
      <c r="N438" s="35" t="s">
        <v>968</v>
      </c>
      <c r="O438" s="36">
        <v>18</v>
      </c>
      <c r="P438" s="35" t="s">
        <v>37</v>
      </c>
      <c r="Q438" s="35"/>
      <c r="R438" s="35" t="s">
        <v>2351</v>
      </c>
    </row>
    <row r="439" spans="1:18" ht="24">
      <c r="A439" s="32">
        <v>760</v>
      </c>
      <c r="B439" s="33">
        <v>45836</v>
      </c>
      <c r="C439" s="32">
        <v>2025</v>
      </c>
      <c r="D439" s="34" t="s">
        <v>2352</v>
      </c>
      <c r="E439" s="35" t="s">
        <v>2353</v>
      </c>
      <c r="F439" s="35" t="s">
        <v>884</v>
      </c>
      <c r="G439" s="34"/>
      <c r="H439" s="35" t="s">
        <v>883</v>
      </c>
      <c r="I439" s="35" t="s">
        <v>965</v>
      </c>
      <c r="J439" s="35" t="s">
        <v>1110</v>
      </c>
      <c r="K439" s="35" t="s">
        <v>888</v>
      </c>
      <c r="L439" s="35" t="s">
        <v>1119</v>
      </c>
      <c r="M439" s="35" t="s">
        <v>519</v>
      </c>
      <c r="N439" s="35" t="s">
        <v>977</v>
      </c>
      <c r="O439" s="36">
        <v>27</v>
      </c>
      <c r="P439" s="35" t="s">
        <v>37</v>
      </c>
      <c r="Q439" s="35"/>
      <c r="R439" s="35" t="s">
        <v>2354</v>
      </c>
    </row>
    <row r="440" spans="1:18" ht="36">
      <c r="A440" s="32">
        <v>758</v>
      </c>
      <c r="B440" s="33">
        <v>45833</v>
      </c>
      <c r="C440" s="32">
        <v>2025</v>
      </c>
      <c r="D440" s="34" t="s">
        <v>2355</v>
      </c>
      <c r="E440" s="35" t="s">
        <v>2356</v>
      </c>
      <c r="F440" s="35" t="s">
        <v>884</v>
      </c>
      <c r="G440" s="34"/>
      <c r="H440" s="35" t="s">
        <v>883</v>
      </c>
      <c r="I440" s="35" t="s">
        <v>965</v>
      </c>
      <c r="J440" s="35" t="s">
        <v>1110</v>
      </c>
      <c r="K440" s="35" t="s">
        <v>888</v>
      </c>
      <c r="L440" s="35" t="s">
        <v>1139</v>
      </c>
      <c r="M440" s="35" t="s">
        <v>519</v>
      </c>
      <c r="N440" s="35" t="s">
        <v>977</v>
      </c>
      <c r="O440" s="36">
        <v>6</v>
      </c>
      <c r="P440" s="35" t="s">
        <v>37</v>
      </c>
      <c r="Q440" s="35"/>
      <c r="R440" s="35" t="s">
        <v>2357</v>
      </c>
    </row>
    <row r="441" spans="1:18">
      <c r="A441" s="32">
        <v>927</v>
      </c>
      <c r="B441" s="33">
        <v>45832</v>
      </c>
      <c r="C441" s="32">
        <v>2025</v>
      </c>
      <c r="D441" s="34" t="s">
        <v>2358</v>
      </c>
      <c r="E441" s="35" t="s">
        <v>2359</v>
      </c>
      <c r="F441" s="35" t="s">
        <v>894</v>
      </c>
      <c r="G441" s="34"/>
      <c r="H441" s="35" t="s">
        <v>895</v>
      </c>
      <c r="I441" s="35" t="s">
        <v>965</v>
      </c>
      <c r="J441" s="35" t="s">
        <v>1110</v>
      </c>
      <c r="K441" s="35" t="s">
        <v>888</v>
      </c>
      <c r="L441" s="35" t="s">
        <v>1139</v>
      </c>
      <c r="M441" s="35" t="s">
        <v>519</v>
      </c>
      <c r="N441" s="35" t="s">
        <v>977</v>
      </c>
      <c r="O441" s="36">
        <v>18</v>
      </c>
      <c r="P441" s="35" t="s">
        <v>371</v>
      </c>
      <c r="Q441" s="35"/>
      <c r="R441" s="35" t="s">
        <v>2360</v>
      </c>
    </row>
    <row r="442" spans="1:18" ht="24">
      <c r="A442" s="32">
        <v>757</v>
      </c>
      <c r="B442" s="33">
        <v>45831</v>
      </c>
      <c r="C442" s="32">
        <v>2025</v>
      </c>
      <c r="D442" s="34" t="s">
        <v>2361</v>
      </c>
      <c r="E442" s="35" t="s">
        <v>2362</v>
      </c>
      <c r="F442" s="35" t="s">
        <v>882</v>
      </c>
      <c r="G442" s="34"/>
      <c r="H442" s="35" t="s">
        <v>883</v>
      </c>
      <c r="I442" s="35" t="s">
        <v>965</v>
      </c>
      <c r="J442" s="35" t="s">
        <v>1110</v>
      </c>
      <c r="K442" s="35" t="s">
        <v>888</v>
      </c>
      <c r="L442" s="35" t="s">
        <v>976</v>
      </c>
      <c r="M442" s="35" t="s">
        <v>522</v>
      </c>
      <c r="N442" s="35" t="s">
        <v>977</v>
      </c>
      <c r="O442" s="36">
        <v>12</v>
      </c>
      <c r="P442" s="35" t="s">
        <v>37</v>
      </c>
      <c r="Q442" s="35"/>
      <c r="R442" s="35" t="s">
        <v>2363</v>
      </c>
    </row>
    <row r="443" spans="1:18" ht="24">
      <c r="A443" s="32">
        <v>1057</v>
      </c>
      <c r="B443" s="33">
        <v>45828</v>
      </c>
      <c r="C443" s="32">
        <v>2025</v>
      </c>
      <c r="D443" s="34" t="s">
        <v>2364</v>
      </c>
      <c r="E443" s="35" t="s">
        <v>2365</v>
      </c>
      <c r="F443" s="35"/>
      <c r="G443" s="34"/>
      <c r="H443" s="35"/>
      <c r="I443" s="35" t="s">
        <v>1005</v>
      </c>
      <c r="J443" s="35" t="s">
        <v>1021</v>
      </c>
      <c r="K443" s="35" t="s">
        <v>888</v>
      </c>
      <c r="L443" s="35" t="s">
        <v>1034</v>
      </c>
      <c r="M443" s="35" t="s">
        <v>515</v>
      </c>
      <c r="N443" s="35" t="s">
        <v>977</v>
      </c>
      <c r="O443" s="36">
        <v>10</v>
      </c>
      <c r="P443" s="35" t="s">
        <v>382</v>
      </c>
      <c r="Q443" s="35"/>
      <c r="R443" s="35" t="s">
        <v>2366</v>
      </c>
    </row>
    <row r="444" spans="1:18">
      <c r="A444" s="32">
        <v>926</v>
      </c>
      <c r="B444" s="33">
        <v>45828</v>
      </c>
      <c r="C444" s="32">
        <v>2025</v>
      </c>
      <c r="D444" s="34" t="s">
        <v>2367</v>
      </c>
      <c r="E444" s="35" t="s">
        <v>2368</v>
      </c>
      <c r="F444" s="35" t="s">
        <v>891</v>
      </c>
      <c r="G444" s="34"/>
      <c r="H444" s="35" t="s">
        <v>883</v>
      </c>
      <c r="I444" s="35" t="s">
        <v>965</v>
      </c>
      <c r="J444" s="35" t="s">
        <v>1110</v>
      </c>
      <c r="K444" s="35" t="s">
        <v>888</v>
      </c>
      <c r="L444" s="35" t="s">
        <v>2369</v>
      </c>
      <c r="M444" s="35" t="s">
        <v>533</v>
      </c>
      <c r="N444" s="35" t="s">
        <v>968</v>
      </c>
      <c r="O444" s="36">
        <v>65</v>
      </c>
      <c r="P444" s="35" t="s">
        <v>371</v>
      </c>
      <c r="Q444" s="35"/>
      <c r="R444" s="35" t="s">
        <v>2370</v>
      </c>
    </row>
    <row r="445" spans="1:18" ht="24">
      <c r="A445" s="32">
        <v>756</v>
      </c>
      <c r="B445" s="33">
        <v>45828</v>
      </c>
      <c r="C445" s="32">
        <v>2025</v>
      </c>
      <c r="D445" s="34" t="s">
        <v>2371</v>
      </c>
      <c r="E445" s="35" t="s">
        <v>2372</v>
      </c>
      <c r="F445" s="35" t="s">
        <v>911</v>
      </c>
      <c r="G445" s="34"/>
      <c r="H445" s="35" t="s">
        <v>883</v>
      </c>
      <c r="I445" s="35" t="s">
        <v>965</v>
      </c>
      <c r="J445" s="35" t="s">
        <v>1110</v>
      </c>
      <c r="K445" s="35" t="s">
        <v>888</v>
      </c>
      <c r="L445" s="35" t="s">
        <v>976</v>
      </c>
      <c r="M445" s="35" t="s">
        <v>522</v>
      </c>
      <c r="N445" s="35" t="s">
        <v>977</v>
      </c>
      <c r="O445" s="36">
        <v>22</v>
      </c>
      <c r="P445" s="35" t="s">
        <v>37</v>
      </c>
      <c r="Q445" s="35"/>
      <c r="R445" s="35" t="s">
        <v>2373</v>
      </c>
    </row>
    <row r="446" spans="1:18" ht="36">
      <c r="A446" s="32">
        <v>755</v>
      </c>
      <c r="B446" s="33">
        <v>45827</v>
      </c>
      <c r="C446" s="32">
        <v>2025</v>
      </c>
      <c r="D446" s="34" t="s">
        <v>2374</v>
      </c>
      <c r="E446" s="35" t="s">
        <v>2375</v>
      </c>
      <c r="F446" s="35"/>
      <c r="G446" s="34"/>
      <c r="H446" s="35"/>
      <c r="I446" s="35" t="s">
        <v>1005</v>
      </c>
      <c r="J446" s="35" t="s">
        <v>1021</v>
      </c>
      <c r="K446" s="35" t="s">
        <v>888</v>
      </c>
      <c r="L446" s="35" t="s">
        <v>1101</v>
      </c>
      <c r="M446" s="35" t="s">
        <v>530</v>
      </c>
      <c r="N446" s="35" t="s">
        <v>977</v>
      </c>
      <c r="O446" s="36">
        <v>4</v>
      </c>
      <c r="P446" s="35" t="s">
        <v>37</v>
      </c>
      <c r="Q446" s="35"/>
      <c r="R446" s="35" t="s">
        <v>2376</v>
      </c>
    </row>
    <row r="447" spans="1:18" ht="24">
      <c r="A447" s="32">
        <v>1056</v>
      </c>
      <c r="B447" s="33">
        <v>45827</v>
      </c>
      <c r="C447" s="32">
        <v>2025</v>
      </c>
      <c r="D447" s="34" t="s">
        <v>2377</v>
      </c>
      <c r="E447" s="35" t="s">
        <v>2378</v>
      </c>
      <c r="F447" s="35" t="s">
        <v>906</v>
      </c>
      <c r="G447" s="34"/>
      <c r="H447" s="35" t="s">
        <v>895</v>
      </c>
      <c r="I447" s="35" t="s">
        <v>965</v>
      </c>
      <c r="J447" s="35" t="s">
        <v>1110</v>
      </c>
      <c r="K447" s="35" t="s">
        <v>888</v>
      </c>
      <c r="L447" s="35" t="s">
        <v>1158</v>
      </c>
      <c r="M447" s="35" t="s">
        <v>515</v>
      </c>
      <c r="N447" s="35" t="s">
        <v>977</v>
      </c>
      <c r="O447" s="36">
        <v>11</v>
      </c>
      <c r="P447" s="35" t="s">
        <v>382</v>
      </c>
      <c r="Q447" s="35"/>
      <c r="R447" s="35" t="s">
        <v>2379</v>
      </c>
    </row>
    <row r="448" spans="1:18" ht="24">
      <c r="A448" s="32">
        <v>924</v>
      </c>
      <c r="B448" s="33">
        <v>45825</v>
      </c>
      <c r="C448" s="32">
        <v>2025</v>
      </c>
      <c r="D448" s="34" t="s">
        <v>2380</v>
      </c>
      <c r="E448" s="35" t="s">
        <v>2381</v>
      </c>
      <c r="F448" s="35" t="s">
        <v>899</v>
      </c>
      <c r="G448" s="34"/>
      <c r="H448" s="35" t="s">
        <v>886</v>
      </c>
      <c r="I448" s="35" t="s">
        <v>965</v>
      </c>
      <c r="J448" s="35" t="s">
        <v>1110</v>
      </c>
      <c r="K448" s="35" t="s">
        <v>888</v>
      </c>
      <c r="L448" s="35" t="s">
        <v>1086</v>
      </c>
      <c r="M448" s="35" t="s">
        <v>512</v>
      </c>
      <c r="N448" s="35" t="s">
        <v>977</v>
      </c>
      <c r="O448" s="36">
        <v>14</v>
      </c>
      <c r="P448" s="35" t="s">
        <v>371</v>
      </c>
      <c r="Q448" s="35"/>
      <c r="R448" s="35" t="s">
        <v>2382</v>
      </c>
    </row>
    <row r="449" spans="1:18">
      <c r="A449" s="32">
        <v>753</v>
      </c>
      <c r="B449" s="33">
        <v>45823</v>
      </c>
      <c r="C449" s="32">
        <v>2025</v>
      </c>
      <c r="D449" s="34" t="s">
        <v>2383</v>
      </c>
      <c r="E449" s="35" t="s">
        <v>2384</v>
      </c>
      <c r="F449" s="35" t="s">
        <v>903</v>
      </c>
      <c r="G449" s="34"/>
      <c r="H449" s="35" t="s">
        <v>886</v>
      </c>
      <c r="I449" s="35" t="s">
        <v>965</v>
      </c>
      <c r="J449" s="35" t="s">
        <v>1110</v>
      </c>
      <c r="K449" s="35" t="s">
        <v>888</v>
      </c>
      <c r="L449" s="35" t="s">
        <v>1840</v>
      </c>
      <c r="M449" s="35" t="s">
        <v>512</v>
      </c>
      <c r="N449" s="35" t="s">
        <v>977</v>
      </c>
      <c r="O449" s="36">
        <v>26</v>
      </c>
      <c r="P449" s="35" t="s">
        <v>37</v>
      </c>
      <c r="Q449" s="35"/>
      <c r="R449" s="35" t="s">
        <v>2385</v>
      </c>
    </row>
    <row r="450" spans="1:18">
      <c r="A450" s="32">
        <v>923</v>
      </c>
      <c r="B450" s="33">
        <v>45822</v>
      </c>
      <c r="C450" s="32">
        <v>2025</v>
      </c>
      <c r="D450" s="34" t="s">
        <v>2386</v>
      </c>
      <c r="E450" s="35" t="s">
        <v>2387</v>
      </c>
      <c r="F450" s="35" t="s">
        <v>942</v>
      </c>
      <c r="G450" s="34"/>
      <c r="H450" s="35" t="s">
        <v>883</v>
      </c>
      <c r="I450" s="35" t="s">
        <v>965</v>
      </c>
      <c r="J450" s="35" t="s">
        <v>1110</v>
      </c>
      <c r="K450" s="35" t="s">
        <v>888</v>
      </c>
      <c r="L450" s="35" t="s">
        <v>2388</v>
      </c>
      <c r="M450" s="35" t="s">
        <v>515</v>
      </c>
      <c r="N450" s="35" t="s">
        <v>968</v>
      </c>
      <c r="O450" s="36">
        <v>36</v>
      </c>
      <c r="P450" s="35" t="s">
        <v>371</v>
      </c>
      <c r="Q450" s="35"/>
      <c r="R450" s="35" t="s">
        <v>2389</v>
      </c>
    </row>
    <row r="451" spans="1:18" ht="24">
      <c r="A451" s="32">
        <v>922</v>
      </c>
      <c r="B451" s="33">
        <v>45822</v>
      </c>
      <c r="C451" s="32">
        <v>2025</v>
      </c>
      <c r="D451" s="34" t="s">
        <v>2390</v>
      </c>
      <c r="E451" s="35" t="s">
        <v>2391</v>
      </c>
      <c r="F451" s="35"/>
      <c r="G451" s="34"/>
      <c r="H451" s="35"/>
      <c r="I451" s="35" t="s">
        <v>1005</v>
      </c>
      <c r="J451" s="35" t="s">
        <v>1021</v>
      </c>
      <c r="K451" s="35" t="s">
        <v>888</v>
      </c>
      <c r="L451" s="35" t="s">
        <v>1034</v>
      </c>
      <c r="M451" s="35" t="s">
        <v>515</v>
      </c>
      <c r="N451" s="35" t="s">
        <v>977</v>
      </c>
      <c r="O451" s="36">
        <v>14</v>
      </c>
      <c r="P451" s="35" t="s">
        <v>371</v>
      </c>
      <c r="Q451" s="35"/>
      <c r="R451" s="35" t="s">
        <v>2392</v>
      </c>
    </row>
    <row r="452" spans="1:18" ht="24">
      <c r="A452" s="32">
        <v>920</v>
      </c>
      <c r="B452" s="33">
        <v>45822</v>
      </c>
      <c r="C452" s="32">
        <v>2025</v>
      </c>
      <c r="D452" s="34" t="s">
        <v>2393</v>
      </c>
      <c r="E452" s="35" t="s">
        <v>2394</v>
      </c>
      <c r="F452" s="35" t="s">
        <v>882</v>
      </c>
      <c r="G452" s="34"/>
      <c r="H452" s="35" t="s">
        <v>883</v>
      </c>
      <c r="I452" s="35" t="s">
        <v>965</v>
      </c>
      <c r="J452" s="35" t="s">
        <v>1110</v>
      </c>
      <c r="K452" s="35" t="s">
        <v>888</v>
      </c>
      <c r="L452" s="35" t="s">
        <v>1158</v>
      </c>
      <c r="M452" s="35" t="s">
        <v>515</v>
      </c>
      <c r="N452" s="35" t="s">
        <v>977</v>
      </c>
      <c r="O452" s="36">
        <v>19</v>
      </c>
      <c r="P452" s="35" t="s">
        <v>371</v>
      </c>
      <c r="Q452" s="35"/>
      <c r="R452" s="35" t="s">
        <v>2395</v>
      </c>
    </row>
    <row r="453" spans="1:18" ht="24">
      <c r="A453" s="32">
        <v>919</v>
      </c>
      <c r="B453" s="33">
        <v>45822</v>
      </c>
      <c r="C453" s="32">
        <v>2025</v>
      </c>
      <c r="D453" s="34" t="s">
        <v>2396</v>
      </c>
      <c r="E453" s="35" t="s">
        <v>2397</v>
      </c>
      <c r="F453" s="35" t="s">
        <v>892</v>
      </c>
      <c r="G453" s="34"/>
      <c r="H453" s="35" t="s">
        <v>879</v>
      </c>
      <c r="I453" s="35" t="s">
        <v>965</v>
      </c>
      <c r="J453" s="35" t="s">
        <v>1110</v>
      </c>
      <c r="K453" s="35" t="s">
        <v>888</v>
      </c>
      <c r="L453" s="35" t="s">
        <v>976</v>
      </c>
      <c r="M453" s="35" t="s">
        <v>522</v>
      </c>
      <c r="N453" s="35" t="s">
        <v>977</v>
      </c>
      <c r="O453" s="36">
        <v>6</v>
      </c>
      <c r="P453" s="35" t="s">
        <v>371</v>
      </c>
      <c r="Q453" s="35"/>
      <c r="R453" s="35" t="s">
        <v>2398</v>
      </c>
    </row>
    <row r="454" spans="1:18" ht="24">
      <c r="A454" s="32">
        <v>917</v>
      </c>
      <c r="B454" s="33">
        <v>45819</v>
      </c>
      <c r="C454" s="32">
        <v>2025</v>
      </c>
      <c r="D454" s="34" t="s">
        <v>2399</v>
      </c>
      <c r="E454" s="35" t="s">
        <v>2400</v>
      </c>
      <c r="F454" s="35" t="s">
        <v>884</v>
      </c>
      <c r="G454" s="34"/>
      <c r="H454" s="35" t="s">
        <v>883</v>
      </c>
      <c r="I454" s="35" t="s">
        <v>965</v>
      </c>
      <c r="J454" s="35" t="s">
        <v>1110</v>
      </c>
      <c r="K454" s="35" t="s">
        <v>888</v>
      </c>
      <c r="L454" s="35" t="s">
        <v>1158</v>
      </c>
      <c r="M454" s="35" t="s">
        <v>515</v>
      </c>
      <c r="N454" s="35" t="s">
        <v>977</v>
      </c>
      <c r="O454" s="36">
        <v>17</v>
      </c>
      <c r="P454" s="35" t="s">
        <v>371</v>
      </c>
      <c r="Q454" s="35"/>
      <c r="R454" s="35" t="s">
        <v>2401</v>
      </c>
    </row>
    <row r="455" spans="1:18" ht="24">
      <c r="A455" s="32">
        <v>916</v>
      </c>
      <c r="B455" s="33">
        <v>45819</v>
      </c>
      <c r="C455" s="32">
        <v>2025</v>
      </c>
      <c r="D455" s="34" t="s">
        <v>2402</v>
      </c>
      <c r="E455" s="35" t="s">
        <v>2403</v>
      </c>
      <c r="F455" s="35" t="s">
        <v>932</v>
      </c>
      <c r="G455" s="34" t="s">
        <v>2404</v>
      </c>
      <c r="H455" s="35" t="s">
        <v>886</v>
      </c>
      <c r="I455" s="35" t="s">
        <v>1317</v>
      </c>
      <c r="J455" s="35" t="s">
        <v>1291</v>
      </c>
      <c r="K455" s="35" t="s">
        <v>897</v>
      </c>
      <c r="L455" s="35" t="s">
        <v>1008</v>
      </c>
      <c r="M455" s="35" t="s">
        <v>526</v>
      </c>
      <c r="N455" s="35" t="s">
        <v>968</v>
      </c>
      <c r="O455" s="36">
        <v>24</v>
      </c>
      <c r="P455" s="35" t="s">
        <v>371</v>
      </c>
      <c r="Q455" s="35"/>
      <c r="R455" s="35" t="s">
        <v>2405</v>
      </c>
    </row>
    <row r="456" spans="1:18" ht="24">
      <c r="A456" s="32">
        <v>915</v>
      </c>
      <c r="B456" s="33">
        <v>45819</v>
      </c>
      <c r="C456" s="32">
        <v>2025</v>
      </c>
      <c r="D456" s="34" t="s">
        <v>2406</v>
      </c>
      <c r="E456" s="35" t="s">
        <v>2407</v>
      </c>
      <c r="F456" s="35" t="s">
        <v>885</v>
      </c>
      <c r="G456" s="34"/>
      <c r="H456" s="35" t="s">
        <v>886</v>
      </c>
      <c r="I456" s="35" t="s">
        <v>965</v>
      </c>
      <c r="J456" s="35" t="s">
        <v>1110</v>
      </c>
      <c r="K456" s="35" t="s">
        <v>888</v>
      </c>
      <c r="L456" s="35" t="s">
        <v>1086</v>
      </c>
      <c r="M456" s="35" t="s">
        <v>512</v>
      </c>
      <c r="N456" s="35" t="s">
        <v>977</v>
      </c>
      <c r="O456" s="36">
        <v>19</v>
      </c>
      <c r="P456" s="35" t="s">
        <v>371</v>
      </c>
      <c r="Q456" s="35"/>
      <c r="R456" s="35" t="s">
        <v>2408</v>
      </c>
    </row>
    <row r="457" spans="1:18" ht="24">
      <c r="A457" s="32">
        <v>914</v>
      </c>
      <c r="B457" s="33">
        <v>45818</v>
      </c>
      <c r="C457" s="32">
        <v>2025</v>
      </c>
      <c r="D457" s="34" t="s">
        <v>2409</v>
      </c>
      <c r="E457" s="35" t="s">
        <v>2410</v>
      </c>
      <c r="F457" s="35"/>
      <c r="G457" s="34"/>
      <c r="H457" s="35"/>
      <c r="I457" s="35" t="s">
        <v>1005</v>
      </c>
      <c r="J457" s="35" t="s">
        <v>1021</v>
      </c>
      <c r="K457" s="35" t="s">
        <v>888</v>
      </c>
      <c r="L457" s="35" t="s">
        <v>972</v>
      </c>
      <c r="M457" s="35" t="s">
        <v>512</v>
      </c>
      <c r="N457" s="35" t="s">
        <v>968</v>
      </c>
      <c r="O457" s="36">
        <v>12</v>
      </c>
      <c r="P457" s="35" t="s">
        <v>371</v>
      </c>
      <c r="Q457" s="35"/>
      <c r="R457" s="35" t="s">
        <v>2411</v>
      </c>
    </row>
    <row r="458" spans="1:18">
      <c r="A458" s="32">
        <v>752</v>
      </c>
      <c r="B458" s="33">
        <v>45816</v>
      </c>
      <c r="C458" s="32">
        <v>2025</v>
      </c>
      <c r="D458" s="34" t="s">
        <v>2412</v>
      </c>
      <c r="E458" s="35" t="s">
        <v>2413</v>
      </c>
      <c r="F458" s="35"/>
      <c r="G458" s="34"/>
      <c r="H458" s="35"/>
      <c r="I458" s="35" t="s">
        <v>1038</v>
      </c>
      <c r="J458" s="35" t="s">
        <v>1006</v>
      </c>
      <c r="K458" s="35" t="s">
        <v>1007</v>
      </c>
      <c r="L458" s="35" t="s">
        <v>972</v>
      </c>
      <c r="M458" s="35" t="s">
        <v>512</v>
      </c>
      <c r="N458" s="35" t="s">
        <v>977</v>
      </c>
      <c r="O458" s="36">
        <v>20</v>
      </c>
      <c r="P458" s="35" t="s">
        <v>37</v>
      </c>
      <c r="Q458" s="35"/>
      <c r="R458" s="35" t="s">
        <v>2414</v>
      </c>
    </row>
    <row r="459" spans="1:18" ht="24">
      <c r="A459" s="32">
        <v>912</v>
      </c>
      <c r="B459" s="33">
        <v>45810</v>
      </c>
      <c r="C459" s="32">
        <v>2025</v>
      </c>
      <c r="D459" s="34" t="s">
        <v>2415</v>
      </c>
      <c r="E459" s="35" t="s">
        <v>2416</v>
      </c>
      <c r="F459" s="35"/>
      <c r="G459" s="34"/>
      <c r="H459" s="35"/>
      <c r="I459" s="35" t="s">
        <v>1038</v>
      </c>
      <c r="J459" s="35" t="s">
        <v>1006</v>
      </c>
      <c r="K459" s="35" t="s">
        <v>1007</v>
      </c>
      <c r="L459" s="35" t="s">
        <v>972</v>
      </c>
      <c r="M459" s="35" t="s">
        <v>512</v>
      </c>
      <c r="N459" s="35" t="s">
        <v>977</v>
      </c>
      <c r="O459" s="36">
        <v>17</v>
      </c>
      <c r="P459" s="35" t="s">
        <v>371</v>
      </c>
      <c r="Q459" s="35"/>
      <c r="R459" s="35" t="s">
        <v>2417</v>
      </c>
    </row>
    <row r="460" spans="1:18">
      <c r="A460" s="32">
        <v>911</v>
      </c>
      <c r="B460" s="33">
        <v>45808</v>
      </c>
      <c r="C460" s="32">
        <v>2025</v>
      </c>
      <c r="D460" s="34" t="s">
        <v>2418</v>
      </c>
      <c r="E460" s="35" t="s">
        <v>2419</v>
      </c>
      <c r="F460" s="35" t="s">
        <v>904</v>
      </c>
      <c r="G460" s="34" t="s">
        <v>885</v>
      </c>
      <c r="H460" s="35" t="s">
        <v>886</v>
      </c>
      <c r="I460" s="35" t="s">
        <v>1317</v>
      </c>
      <c r="J460" s="35" t="s">
        <v>1291</v>
      </c>
      <c r="K460" s="35" t="s">
        <v>897</v>
      </c>
      <c r="L460" s="35" t="s">
        <v>972</v>
      </c>
      <c r="M460" s="35" t="s">
        <v>512</v>
      </c>
      <c r="N460" s="35" t="s">
        <v>968</v>
      </c>
      <c r="O460" s="36">
        <v>17</v>
      </c>
      <c r="P460" s="35" t="s">
        <v>371</v>
      </c>
      <c r="Q460" s="35"/>
      <c r="R460" s="35" t="s">
        <v>2420</v>
      </c>
    </row>
    <row r="461" spans="1:18" ht="24">
      <c r="A461" s="32">
        <v>749</v>
      </c>
      <c r="B461" s="33">
        <v>45805</v>
      </c>
      <c r="C461" s="32">
        <v>2025</v>
      </c>
      <c r="D461" s="34" t="s">
        <v>2421</v>
      </c>
      <c r="E461" s="35" t="s">
        <v>2422</v>
      </c>
      <c r="F461" s="35" t="s">
        <v>882</v>
      </c>
      <c r="G461" s="34"/>
      <c r="H461" s="35" t="s">
        <v>883</v>
      </c>
      <c r="I461" s="35" t="s">
        <v>965</v>
      </c>
      <c r="J461" s="35" t="s">
        <v>1110</v>
      </c>
      <c r="K461" s="35" t="s">
        <v>888</v>
      </c>
      <c r="L461" s="35" t="s">
        <v>1101</v>
      </c>
      <c r="M461" s="35" t="s">
        <v>530</v>
      </c>
      <c r="N461" s="35" t="s">
        <v>977</v>
      </c>
      <c r="O461" s="36">
        <v>10</v>
      </c>
      <c r="P461" s="35" t="s">
        <v>37</v>
      </c>
      <c r="Q461" s="35"/>
      <c r="R461" s="35" t="s">
        <v>2423</v>
      </c>
    </row>
    <row r="462" spans="1:18" ht="24">
      <c r="A462" s="32">
        <v>771</v>
      </c>
      <c r="B462" s="33">
        <v>45797</v>
      </c>
      <c r="C462" s="32">
        <v>2025</v>
      </c>
      <c r="D462" s="34" t="s">
        <v>2424</v>
      </c>
      <c r="E462" s="35" t="s">
        <v>2425</v>
      </c>
      <c r="F462" s="35" t="s">
        <v>905</v>
      </c>
      <c r="G462" s="34"/>
      <c r="H462" s="35" t="s">
        <v>895</v>
      </c>
      <c r="I462" s="35" t="s">
        <v>965</v>
      </c>
      <c r="J462" s="35" t="s">
        <v>1110</v>
      </c>
      <c r="K462" s="35" t="s">
        <v>888</v>
      </c>
      <c r="L462" s="35" t="s">
        <v>1034</v>
      </c>
      <c r="M462" s="35" t="s">
        <v>515</v>
      </c>
      <c r="N462" s="35" t="s">
        <v>968</v>
      </c>
      <c r="O462" s="36">
        <v>33</v>
      </c>
      <c r="P462" s="35" t="s">
        <v>37</v>
      </c>
      <c r="Q462" s="35"/>
      <c r="R462" s="35" t="s">
        <v>2426</v>
      </c>
    </row>
    <row r="463" spans="1:18" ht="24">
      <c r="A463" s="32">
        <v>770</v>
      </c>
      <c r="B463" s="33">
        <v>45797</v>
      </c>
      <c r="C463" s="32">
        <v>2025</v>
      </c>
      <c r="D463" s="34" t="s">
        <v>2427</v>
      </c>
      <c r="E463" s="35" t="s">
        <v>2428</v>
      </c>
      <c r="F463" s="35" t="s">
        <v>905</v>
      </c>
      <c r="G463" s="34"/>
      <c r="H463" s="35" t="s">
        <v>895</v>
      </c>
      <c r="I463" s="35" t="s">
        <v>965</v>
      </c>
      <c r="J463" s="35" t="s">
        <v>1110</v>
      </c>
      <c r="K463" s="35" t="s">
        <v>888</v>
      </c>
      <c r="L463" s="35" t="s">
        <v>1034</v>
      </c>
      <c r="M463" s="35" t="s">
        <v>515</v>
      </c>
      <c r="N463" s="35" t="s">
        <v>977</v>
      </c>
      <c r="O463" s="36">
        <v>20</v>
      </c>
      <c r="P463" s="35" t="s">
        <v>37</v>
      </c>
      <c r="Q463" s="35"/>
      <c r="R463" s="35" t="s">
        <v>2429</v>
      </c>
    </row>
    <row r="464" spans="1:18" ht="24">
      <c r="A464" s="32">
        <v>907</v>
      </c>
      <c r="B464" s="33">
        <v>45790</v>
      </c>
      <c r="C464" s="32">
        <v>2025</v>
      </c>
      <c r="D464" s="34" t="s">
        <v>2430</v>
      </c>
      <c r="E464" s="35" t="s">
        <v>2431</v>
      </c>
      <c r="F464" s="35" t="s">
        <v>882</v>
      </c>
      <c r="G464" s="34"/>
      <c r="H464" s="35" t="s">
        <v>883</v>
      </c>
      <c r="I464" s="35" t="s">
        <v>965</v>
      </c>
      <c r="J464" s="35" t="s">
        <v>1110</v>
      </c>
      <c r="K464" s="35" t="s">
        <v>888</v>
      </c>
      <c r="L464" s="35" t="s">
        <v>1101</v>
      </c>
      <c r="M464" s="35" t="s">
        <v>530</v>
      </c>
      <c r="N464" s="35" t="s">
        <v>977</v>
      </c>
      <c r="O464" s="36">
        <v>3</v>
      </c>
      <c r="P464" s="35" t="s">
        <v>371</v>
      </c>
      <c r="Q464" s="35"/>
      <c r="R464" s="35" t="s">
        <v>2432</v>
      </c>
    </row>
    <row r="465" spans="1:18" ht="24">
      <c r="A465" s="32">
        <v>910</v>
      </c>
      <c r="B465" s="33">
        <v>45790</v>
      </c>
      <c r="C465" s="32">
        <v>2025</v>
      </c>
      <c r="D465" s="34" t="s">
        <v>2433</v>
      </c>
      <c r="E465" s="35" t="s">
        <v>2434</v>
      </c>
      <c r="F465" s="35"/>
      <c r="G465" s="34"/>
      <c r="H465" s="35"/>
      <c r="I465" s="35" t="s">
        <v>1005</v>
      </c>
      <c r="J465" s="35" t="s">
        <v>1021</v>
      </c>
      <c r="K465" s="35" t="s">
        <v>888</v>
      </c>
      <c r="L465" s="35" t="s">
        <v>1139</v>
      </c>
      <c r="M465" s="35" t="s">
        <v>519</v>
      </c>
      <c r="N465" s="35" t="s">
        <v>968</v>
      </c>
      <c r="O465" s="36">
        <v>15</v>
      </c>
      <c r="P465" s="35" t="s">
        <v>371</v>
      </c>
      <c r="Q465" s="35"/>
      <c r="R465" s="35" t="s">
        <v>2435</v>
      </c>
    </row>
    <row r="466" spans="1:18" ht="24">
      <c r="A466" s="32">
        <v>906</v>
      </c>
      <c r="B466" s="33">
        <v>45788</v>
      </c>
      <c r="C466" s="32">
        <v>2025</v>
      </c>
      <c r="D466" s="34" t="s">
        <v>2436</v>
      </c>
      <c r="E466" s="35" t="s">
        <v>2437</v>
      </c>
      <c r="F466" s="35" t="s">
        <v>904</v>
      </c>
      <c r="G466" s="34"/>
      <c r="H466" s="35" t="s">
        <v>886</v>
      </c>
      <c r="I466" s="35" t="s">
        <v>965</v>
      </c>
      <c r="J466" s="35" t="s">
        <v>1291</v>
      </c>
      <c r="K466" s="35" t="s">
        <v>897</v>
      </c>
      <c r="L466" s="35" t="s">
        <v>1034</v>
      </c>
      <c r="M466" s="35" t="s">
        <v>515</v>
      </c>
      <c r="N466" s="35" t="s">
        <v>977</v>
      </c>
      <c r="O466" s="36">
        <v>10</v>
      </c>
      <c r="P466" s="35" t="s">
        <v>371</v>
      </c>
      <c r="Q466" s="35"/>
      <c r="R466" s="35" t="s">
        <v>2438</v>
      </c>
    </row>
    <row r="467" spans="1:18" ht="24">
      <c r="A467" s="32">
        <v>1055</v>
      </c>
      <c r="B467" s="33">
        <v>45784</v>
      </c>
      <c r="C467" s="32">
        <v>2025</v>
      </c>
      <c r="D467" s="34" t="s">
        <v>2439</v>
      </c>
      <c r="E467" s="35" t="s">
        <v>2440</v>
      </c>
      <c r="F467" s="35"/>
      <c r="G467" s="34"/>
      <c r="H467" s="35" t="s">
        <v>883</v>
      </c>
      <c r="I467" s="35" t="s">
        <v>1134</v>
      </c>
      <c r="J467" s="35" t="s">
        <v>1135</v>
      </c>
      <c r="K467" s="35" t="s">
        <v>888</v>
      </c>
      <c r="L467" s="35" t="s">
        <v>1127</v>
      </c>
      <c r="M467" s="35" t="s">
        <v>515</v>
      </c>
      <c r="N467" s="35" t="s">
        <v>968</v>
      </c>
      <c r="O467" s="36">
        <v>24</v>
      </c>
      <c r="P467" s="35" t="s">
        <v>382</v>
      </c>
      <c r="Q467" s="35"/>
      <c r="R467" s="35" t="s">
        <v>2441</v>
      </c>
    </row>
    <row r="468" spans="1:18" ht="24">
      <c r="A468" s="32">
        <v>748</v>
      </c>
      <c r="B468" s="33">
        <v>45782</v>
      </c>
      <c r="C468" s="32">
        <v>2025</v>
      </c>
      <c r="D468" s="34" t="s">
        <v>2442</v>
      </c>
      <c r="E468" s="35" t="s">
        <v>2443</v>
      </c>
      <c r="F468" s="35" t="s">
        <v>884</v>
      </c>
      <c r="G468" s="34" t="s">
        <v>2444</v>
      </c>
      <c r="H468" s="35" t="s">
        <v>883</v>
      </c>
      <c r="I468" s="35" t="s">
        <v>1317</v>
      </c>
      <c r="J468" s="35" t="s">
        <v>1291</v>
      </c>
      <c r="K468" s="35" t="s">
        <v>897</v>
      </c>
      <c r="L468" s="35" t="s">
        <v>1008</v>
      </c>
      <c r="M468" s="35" t="s">
        <v>526</v>
      </c>
      <c r="N468" s="35" t="s">
        <v>968</v>
      </c>
      <c r="O468" s="36">
        <v>18</v>
      </c>
      <c r="P468" s="35" t="s">
        <v>37</v>
      </c>
      <c r="Q468" s="35"/>
      <c r="R468" s="35" t="s">
        <v>2445</v>
      </c>
    </row>
    <row r="469" spans="1:18" ht="24">
      <c r="A469" s="32">
        <v>747</v>
      </c>
      <c r="B469" s="33">
        <v>45782</v>
      </c>
      <c r="C469" s="32">
        <v>2025</v>
      </c>
      <c r="D469" s="34" t="s">
        <v>2446</v>
      </c>
      <c r="E469" s="35" t="s">
        <v>2447</v>
      </c>
      <c r="F469" s="35" t="s">
        <v>903</v>
      </c>
      <c r="G469" s="34"/>
      <c r="H469" s="35" t="s">
        <v>886</v>
      </c>
      <c r="I469" s="35" t="s">
        <v>965</v>
      </c>
      <c r="J469" s="35" t="s">
        <v>1110</v>
      </c>
      <c r="K469" s="35" t="s">
        <v>888</v>
      </c>
      <c r="L469" s="35" t="s">
        <v>1101</v>
      </c>
      <c r="M469" s="35" t="s">
        <v>530</v>
      </c>
      <c r="N469" s="35" t="s">
        <v>977</v>
      </c>
      <c r="O469" s="36">
        <v>9</v>
      </c>
      <c r="P469" s="35" t="s">
        <v>37</v>
      </c>
      <c r="Q469" s="35"/>
      <c r="R469" s="35" t="s">
        <v>2448</v>
      </c>
    </row>
    <row r="470" spans="1:18" ht="36">
      <c r="A470" s="32">
        <v>746</v>
      </c>
      <c r="B470" s="33">
        <v>45782</v>
      </c>
      <c r="C470" s="32">
        <v>2025</v>
      </c>
      <c r="D470" s="34" t="s">
        <v>2449</v>
      </c>
      <c r="E470" s="35" t="s">
        <v>2450</v>
      </c>
      <c r="F470" s="35" t="s">
        <v>911</v>
      </c>
      <c r="G470" s="34" t="s">
        <v>882</v>
      </c>
      <c r="H470" s="35" t="s">
        <v>883</v>
      </c>
      <c r="I470" s="35" t="s">
        <v>1317</v>
      </c>
      <c r="J470" s="35" t="s">
        <v>1110</v>
      </c>
      <c r="K470" s="35" t="s">
        <v>888</v>
      </c>
      <c r="L470" s="35" t="s">
        <v>976</v>
      </c>
      <c r="M470" s="35" t="s">
        <v>522</v>
      </c>
      <c r="N470" s="35" t="s">
        <v>977</v>
      </c>
      <c r="O470" s="36">
        <v>26</v>
      </c>
      <c r="P470" s="35" t="s">
        <v>37</v>
      </c>
      <c r="Q470" s="35"/>
      <c r="R470" s="35" t="s">
        <v>2451</v>
      </c>
    </row>
    <row r="471" spans="1:18" ht="24">
      <c r="A471" s="32">
        <v>1054</v>
      </c>
      <c r="B471" s="33">
        <v>45782</v>
      </c>
      <c r="C471" s="32">
        <v>2025</v>
      </c>
      <c r="D471" s="34" t="s">
        <v>2452</v>
      </c>
      <c r="E471" s="35" t="s">
        <v>2453</v>
      </c>
      <c r="F471" s="35" t="s">
        <v>878</v>
      </c>
      <c r="G471" s="34"/>
      <c r="H471" s="35" t="s">
        <v>879</v>
      </c>
      <c r="I471" s="35" t="s">
        <v>965</v>
      </c>
      <c r="J471" s="35" t="s">
        <v>1110</v>
      </c>
      <c r="K471" s="35" t="s">
        <v>888</v>
      </c>
      <c r="L471" s="35" t="s">
        <v>1034</v>
      </c>
      <c r="M471" s="35" t="s">
        <v>515</v>
      </c>
      <c r="N471" s="35" t="s">
        <v>977</v>
      </c>
      <c r="O471" s="36">
        <v>11</v>
      </c>
      <c r="P471" s="35" t="s">
        <v>382</v>
      </c>
      <c r="Q471" s="35"/>
      <c r="R471" s="35" t="s">
        <v>2454</v>
      </c>
    </row>
    <row r="472" spans="1:18">
      <c r="A472" s="32">
        <v>908</v>
      </c>
      <c r="B472" s="33">
        <v>45778</v>
      </c>
      <c r="C472" s="32">
        <v>2025</v>
      </c>
      <c r="D472" s="34" t="s">
        <v>2455</v>
      </c>
      <c r="E472" s="35" t="s">
        <v>2456</v>
      </c>
      <c r="F472" s="35" t="s">
        <v>882</v>
      </c>
      <c r="G472" s="34"/>
      <c r="H472" s="35" t="s">
        <v>883</v>
      </c>
      <c r="I472" s="35" t="s">
        <v>965</v>
      </c>
      <c r="J472" s="35" t="s">
        <v>1110</v>
      </c>
      <c r="K472" s="35" t="s">
        <v>888</v>
      </c>
      <c r="L472" s="35" t="s">
        <v>972</v>
      </c>
      <c r="M472" s="35" t="s">
        <v>512</v>
      </c>
      <c r="N472" s="35" t="s">
        <v>977</v>
      </c>
      <c r="O472" s="36">
        <v>15</v>
      </c>
      <c r="P472" s="35" t="s">
        <v>371</v>
      </c>
      <c r="Q472" s="35"/>
      <c r="R472" s="35" t="s">
        <v>2457</v>
      </c>
    </row>
    <row r="473" spans="1:18" ht="24">
      <c r="A473" s="32">
        <v>905</v>
      </c>
      <c r="B473" s="33">
        <v>45777</v>
      </c>
      <c r="C473" s="32">
        <v>2025</v>
      </c>
      <c r="D473" s="34" t="s">
        <v>2458</v>
      </c>
      <c r="E473" s="35" t="s">
        <v>2459</v>
      </c>
      <c r="F473" s="35" t="s">
        <v>882</v>
      </c>
      <c r="G473" s="34"/>
      <c r="H473" s="35" t="s">
        <v>883</v>
      </c>
      <c r="I473" s="35" t="s">
        <v>965</v>
      </c>
      <c r="J473" s="35" t="s">
        <v>1110</v>
      </c>
      <c r="K473" s="35" t="s">
        <v>888</v>
      </c>
      <c r="L473" s="35" t="s">
        <v>1034</v>
      </c>
      <c r="M473" s="35" t="s">
        <v>515</v>
      </c>
      <c r="N473" s="35" t="s">
        <v>977</v>
      </c>
      <c r="O473" s="36">
        <v>16</v>
      </c>
      <c r="P473" s="35" t="s">
        <v>371</v>
      </c>
      <c r="Q473" s="35"/>
      <c r="R473" s="35" t="s">
        <v>2460</v>
      </c>
    </row>
    <row r="474" spans="1:18" ht="24">
      <c r="A474" s="32">
        <v>904</v>
      </c>
      <c r="B474" s="33">
        <v>45777</v>
      </c>
      <c r="C474" s="32">
        <v>2025</v>
      </c>
      <c r="D474" s="34" t="s">
        <v>2461</v>
      </c>
      <c r="E474" s="35" t="s">
        <v>2462</v>
      </c>
      <c r="F474" s="35"/>
      <c r="G474" s="34"/>
      <c r="H474" s="35"/>
      <c r="I474" s="35" t="s">
        <v>1038</v>
      </c>
      <c r="J474" s="35" t="s">
        <v>1006</v>
      </c>
      <c r="K474" s="35" t="s">
        <v>1007</v>
      </c>
      <c r="L474" s="35" t="s">
        <v>972</v>
      </c>
      <c r="M474" s="35" t="s">
        <v>512</v>
      </c>
      <c r="N474" s="35" t="s">
        <v>977</v>
      </c>
      <c r="O474" s="36">
        <v>13</v>
      </c>
      <c r="P474" s="35" t="s">
        <v>371</v>
      </c>
      <c r="Q474" s="35"/>
      <c r="R474" s="35" t="s">
        <v>2463</v>
      </c>
    </row>
    <row r="475" spans="1:18">
      <c r="A475" s="32">
        <v>745</v>
      </c>
      <c r="B475" s="33">
        <v>45766</v>
      </c>
      <c r="C475" s="32">
        <v>2025</v>
      </c>
      <c r="D475" s="34" t="s">
        <v>2464</v>
      </c>
      <c r="E475" s="35" t="s">
        <v>2465</v>
      </c>
      <c r="F475" s="35"/>
      <c r="G475" s="34"/>
      <c r="H475" s="35"/>
      <c r="I475" s="35" t="s">
        <v>1005</v>
      </c>
      <c r="J475" s="35" t="s">
        <v>1021</v>
      </c>
      <c r="K475" s="35" t="s">
        <v>888</v>
      </c>
      <c r="L475" s="35" t="s">
        <v>2388</v>
      </c>
      <c r="M475" s="35" t="s">
        <v>515</v>
      </c>
      <c r="N475" s="35" t="s">
        <v>968</v>
      </c>
      <c r="O475" s="36">
        <v>24</v>
      </c>
      <c r="P475" s="35" t="s">
        <v>37</v>
      </c>
      <c r="Q475" s="35"/>
      <c r="R475" s="35" t="s">
        <v>2466</v>
      </c>
    </row>
    <row r="476" spans="1:18" ht="24">
      <c r="A476" s="32">
        <v>744</v>
      </c>
      <c r="B476" s="33">
        <v>45766</v>
      </c>
      <c r="C476" s="32">
        <v>2025</v>
      </c>
      <c r="D476" s="34" t="s">
        <v>2467</v>
      </c>
      <c r="E476" s="35" t="s">
        <v>2468</v>
      </c>
      <c r="F476" s="35" t="s">
        <v>891</v>
      </c>
      <c r="G476" s="34"/>
      <c r="H476" s="35" t="s">
        <v>883</v>
      </c>
      <c r="I476" s="35" t="s">
        <v>965</v>
      </c>
      <c r="J476" s="35" t="s">
        <v>1291</v>
      </c>
      <c r="K476" s="35" t="s">
        <v>897</v>
      </c>
      <c r="L476" s="35" t="s">
        <v>1086</v>
      </c>
      <c r="M476" s="35" t="s">
        <v>512</v>
      </c>
      <c r="N476" s="35" t="s">
        <v>968</v>
      </c>
      <c r="O476" s="36">
        <v>10</v>
      </c>
      <c r="P476" s="35" t="s">
        <v>37</v>
      </c>
      <c r="Q476" s="35"/>
      <c r="R476" s="35" t="s">
        <v>2469</v>
      </c>
    </row>
    <row r="477" spans="1:18">
      <c r="A477" s="32">
        <v>743</v>
      </c>
      <c r="B477" s="33">
        <v>45766</v>
      </c>
      <c r="C477" s="32">
        <v>2025</v>
      </c>
      <c r="D477" s="34" t="s">
        <v>2470</v>
      </c>
      <c r="E477" s="35" t="s">
        <v>2471</v>
      </c>
      <c r="F477" s="35" t="s">
        <v>891</v>
      </c>
      <c r="G477" s="34"/>
      <c r="H477" s="35" t="s">
        <v>883</v>
      </c>
      <c r="I477" s="35" t="s">
        <v>965</v>
      </c>
      <c r="J477" s="35" t="s">
        <v>1110</v>
      </c>
      <c r="K477" s="35" t="s">
        <v>888</v>
      </c>
      <c r="L477" s="35" t="s">
        <v>1158</v>
      </c>
      <c r="M477" s="35" t="s">
        <v>515</v>
      </c>
      <c r="N477" s="35" t="s">
        <v>968</v>
      </c>
      <c r="O477" s="36">
        <v>29</v>
      </c>
      <c r="P477" s="35" t="s">
        <v>37</v>
      </c>
      <c r="Q477" s="35"/>
      <c r="R477" s="35" t="s">
        <v>2472</v>
      </c>
    </row>
    <row r="478" spans="1:18" ht="24">
      <c r="A478" s="32">
        <v>742</v>
      </c>
      <c r="B478" s="33">
        <v>45766</v>
      </c>
      <c r="C478" s="32">
        <v>2025</v>
      </c>
      <c r="D478" s="34" t="s">
        <v>2473</v>
      </c>
      <c r="E478" s="35" t="s">
        <v>2474</v>
      </c>
      <c r="F478" s="35" t="s">
        <v>882</v>
      </c>
      <c r="G478" s="34"/>
      <c r="H478" s="35" t="s">
        <v>883</v>
      </c>
      <c r="I478" s="35" t="s">
        <v>965</v>
      </c>
      <c r="J478" s="35" t="s">
        <v>1110</v>
      </c>
      <c r="K478" s="35" t="s">
        <v>888</v>
      </c>
      <c r="L478" s="35" t="s">
        <v>1008</v>
      </c>
      <c r="M478" s="35" t="s">
        <v>526</v>
      </c>
      <c r="N478" s="35" t="s">
        <v>968</v>
      </c>
      <c r="O478" s="36">
        <v>12</v>
      </c>
      <c r="P478" s="35" t="s">
        <v>37</v>
      </c>
      <c r="Q478" s="35"/>
      <c r="R478" s="35" t="s">
        <v>2475</v>
      </c>
    </row>
    <row r="479" spans="1:18" ht="36">
      <c r="A479" s="32">
        <v>1052</v>
      </c>
      <c r="B479" s="33">
        <v>45765</v>
      </c>
      <c r="C479" s="32">
        <v>2025</v>
      </c>
      <c r="D479" s="34" t="s">
        <v>2476</v>
      </c>
      <c r="E479" s="35" t="s">
        <v>2477</v>
      </c>
      <c r="F479" s="35"/>
      <c r="G479" s="34"/>
      <c r="H479" s="35"/>
      <c r="I479" s="35" t="s">
        <v>1038</v>
      </c>
      <c r="J479" s="35" t="s">
        <v>1006</v>
      </c>
      <c r="K479" s="35" t="s">
        <v>1007</v>
      </c>
      <c r="L479" s="35" t="s">
        <v>1408</v>
      </c>
      <c r="M479" s="35" t="s">
        <v>515</v>
      </c>
      <c r="N479" s="35" t="s">
        <v>977</v>
      </c>
      <c r="O479" s="36">
        <v>11</v>
      </c>
      <c r="P479" s="35" t="s">
        <v>382</v>
      </c>
      <c r="Q479" s="35"/>
      <c r="R479" s="35" t="s">
        <v>2478</v>
      </c>
    </row>
    <row r="480" spans="1:18" ht="24">
      <c r="A480" s="32">
        <v>1051</v>
      </c>
      <c r="B480" s="33">
        <v>45765</v>
      </c>
      <c r="C480" s="32">
        <v>2025</v>
      </c>
      <c r="D480" s="34" t="s">
        <v>2479</v>
      </c>
      <c r="E480" s="35" t="s">
        <v>2480</v>
      </c>
      <c r="F480" s="35" t="s">
        <v>893</v>
      </c>
      <c r="G480" s="34"/>
      <c r="H480" s="35" t="s">
        <v>879</v>
      </c>
      <c r="I480" s="35" t="s">
        <v>965</v>
      </c>
      <c r="J480" s="35" t="s">
        <v>1110</v>
      </c>
      <c r="K480" s="35" t="s">
        <v>888</v>
      </c>
      <c r="L480" s="35" t="s">
        <v>2388</v>
      </c>
      <c r="M480" s="35" t="s">
        <v>515</v>
      </c>
      <c r="N480" s="35" t="s">
        <v>977</v>
      </c>
      <c r="O480" s="36">
        <v>35</v>
      </c>
      <c r="P480" s="35" t="s">
        <v>382</v>
      </c>
      <c r="Q480" s="35"/>
      <c r="R480" s="35" t="s">
        <v>2481</v>
      </c>
    </row>
    <row r="481" spans="1:18" ht="24">
      <c r="A481" s="32">
        <v>902</v>
      </c>
      <c r="B481" s="33">
        <v>45765</v>
      </c>
      <c r="C481" s="32">
        <v>2025</v>
      </c>
      <c r="D481" s="34" t="s">
        <v>2482</v>
      </c>
      <c r="E481" s="35" t="s">
        <v>2483</v>
      </c>
      <c r="F481" s="35" t="s">
        <v>878</v>
      </c>
      <c r="G481" s="34"/>
      <c r="H481" s="35" t="s">
        <v>879</v>
      </c>
      <c r="I481" s="35" t="s">
        <v>965</v>
      </c>
      <c r="J481" s="35" t="s">
        <v>1110</v>
      </c>
      <c r="K481" s="35" t="s">
        <v>888</v>
      </c>
      <c r="L481" s="35" t="s">
        <v>1070</v>
      </c>
      <c r="M481" s="35" t="s">
        <v>536</v>
      </c>
      <c r="N481" s="35" t="s">
        <v>968</v>
      </c>
      <c r="O481" s="36">
        <v>46</v>
      </c>
      <c r="P481" s="35" t="s">
        <v>371</v>
      </c>
      <c r="Q481" s="35"/>
      <c r="R481" s="35" t="s">
        <v>2484</v>
      </c>
    </row>
    <row r="482" spans="1:18" ht="24">
      <c r="A482" s="32">
        <v>901</v>
      </c>
      <c r="B482" s="33">
        <v>45765</v>
      </c>
      <c r="C482" s="32">
        <v>2025</v>
      </c>
      <c r="D482" s="34" t="s">
        <v>2485</v>
      </c>
      <c r="E482" s="35" t="s">
        <v>2486</v>
      </c>
      <c r="F482" s="35"/>
      <c r="G482" s="34"/>
      <c r="H482" s="35"/>
      <c r="I482" s="35" t="s">
        <v>1038</v>
      </c>
      <c r="J482" s="35" t="s">
        <v>1006</v>
      </c>
      <c r="K482" s="35" t="s">
        <v>1007</v>
      </c>
      <c r="L482" s="35" t="s">
        <v>972</v>
      </c>
      <c r="M482" s="35" t="s">
        <v>512</v>
      </c>
      <c r="N482" s="35" t="s">
        <v>977</v>
      </c>
      <c r="O482" s="36">
        <v>17</v>
      </c>
      <c r="P482" s="35" t="s">
        <v>371</v>
      </c>
      <c r="Q482" s="35"/>
      <c r="R482" s="35" t="s">
        <v>2487</v>
      </c>
    </row>
    <row r="483" spans="1:18" ht="24">
      <c r="A483" s="32">
        <v>900</v>
      </c>
      <c r="B483" s="33">
        <v>45764</v>
      </c>
      <c r="C483" s="32">
        <v>2025</v>
      </c>
      <c r="D483" s="34" t="s">
        <v>2488</v>
      </c>
      <c r="E483" s="35" t="s">
        <v>2489</v>
      </c>
      <c r="F483" s="35" t="s">
        <v>899</v>
      </c>
      <c r="G483" s="34"/>
      <c r="H483" s="35" t="s">
        <v>886</v>
      </c>
      <c r="I483" s="35" t="s">
        <v>965</v>
      </c>
      <c r="J483" s="35" t="s">
        <v>1110</v>
      </c>
      <c r="K483" s="35" t="s">
        <v>888</v>
      </c>
      <c r="L483" s="35" t="s">
        <v>1008</v>
      </c>
      <c r="M483" s="35" t="s">
        <v>526</v>
      </c>
      <c r="N483" s="35" t="s">
        <v>977</v>
      </c>
      <c r="O483" s="36">
        <v>8</v>
      </c>
      <c r="P483" s="35" t="s">
        <v>371</v>
      </c>
      <c r="Q483" s="35"/>
      <c r="R483" s="35" t="s">
        <v>2490</v>
      </c>
    </row>
    <row r="484" spans="1:18" ht="24">
      <c r="A484" s="32">
        <v>1049</v>
      </c>
      <c r="B484" s="33">
        <v>45759</v>
      </c>
      <c r="C484" s="32">
        <v>2025</v>
      </c>
      <c r="D484" s="34" t="s">
        <v>2491</v>
      </c>
      <c r="E484" s="35" t="s">
        <v>2492</v>
      </c>
      <c r="F484" s="35" t="s">
        <v>913</v>
      </c>
      <c r="G484" s="34" t="s">
        <v>882</v>
      </c>
      <c r="H484" s="35" t="s">
        <v>895</v>
      </c>
      <c r="I484" s="35" t="s">
        <v>1317</v>
      </c>
      <c r="J484" s="35" t="s">
        <v>1110</v>
      </c>
      <c r="K484" s="35" t="s">
        <v>888</v>
      </c>
      <c r="L484" s="35" t="s">
        <v>1008</v>
      </c>
      <c r="M484" s="35" t="s">
        <v>526</v>
      </c>
      <c r="N484" s="35" t="s">
        <v>977</v>
      </c>
      <c r="O484" s="36">
        <v>2</v>
      </c>
      <c r="P484" s="35" t="s">
        <v>382</v>
      </c>
      <c r="Q484" s="35"/>
      <c r="R484" s="35" t="s">
        <v>2493</v>
      </c>
    </row>
    <row r="485" spans="1:18" ht="24">
      <c r="A485" s="32">
        <v>899</v>
      </c>
      <c r="B485" s="33">
        <v>45759</v>
      </c>
      <c r="C485" s="32">
        <v>2025</v>
      </c>
      <c r="D485" s="34" t="s">
        <v>2494</v>
      </c>
      <c r="E485" s="35" t="s">
        <v>2495</v>
      </c>
      <c r="F485" s="35" t="s">
        <v>878</v>
      </c>
      <c r="G485" s="34"/>
      <c r="H485" s="35" t="s">
        <v>879</v>
      </c>
      <c r="I485" s="35" t="s">
        <v>965</v>
      </c>
      <c r="J485" s="35" t="s">
        <v>1110</v>
      </c>
      <c r="K485" s="35" t="s">
        <v>888</v>
      </c>
      <c r="L485" s="35" t="s">
        <v>1840</v>
      </c>
      <c r="M485" s="35" t="s">
        <v>512</v>
      </c>
      <c r="N485" s="35" t="s">
        <v>968</v>
      </c>
      <c r="O485" s="36">
        <v>13</v>
      </c>
      <c r="P485" s="35" t="s">
        <v>371</v>
      </c>
      <c r="Q485" s="35"/>
      <c r="R485" s="35" t="s">
        <v>2496</v>
      </c>
    </row>
    <row r="486" spans="1:18" ht="24">
      <c r="A486" s="32">
        <v>898</v>
      </c>
      <c r="B486" s="33">
        <v>45759</v>
      </c>
      <c r="C486" s="32">
        <v>2025</v>
      </c>
      <c r="D486" s="34" t="s">
        <v>2497</v>
      </c>
      <c r="E486" s="35" t="s">
        <v>2498</v>
      </c>
      <c r="F486" s="35" t="s">
        <v>896</v>
      </c>
      <c r="G486" s="34"/>
      <c r="H486" s="35" t="s">
        <v>883</v>
      </c>
      <c r="I486" s="35" t="s">
        <v>965</v>
      </c>
      <c r="J486" s="35" t="s">
        <v>1110</v>
      </c>
      <c r="K486" s="35" t="s">
        <v>888</v>
      </c>
      <c r="L486" s="35" t="s">
        <v>1127</v>
      </c>
      <c r="M486" s="35" t="s">
        <v>515</v>
      </c>
      <c r="N486" s="35" t="s">
        <v>977</v>
      </c>
      <c r="O486" s="36">
        <v>27</v>
      </c>
      <c r="P486" s="35" t="s">
        <v>371</v>
      </c>
      <c r="Q486" s="35"/>
      <c r="R486" s="35" t="s">
        <v>2499</v>
      </c>
    </row>
    <row r="487" spans="1:18" ht="24">
      <c r="A487" s="32">
        <v>741</v>
      </c>
      <c r="B487" s="33">
        <v>45759</v>
      </c>
      <c r="C487" s="32">
        <v>2025</v>
      </c>
      <c r="D487" s="34" t="s">
        <v>2500</v>
      </c>
      <c r="E487" s="35" t="s">
        <v>2501</v>
      </c>
      <c r="F487" s="35"/>
      <c r="G487" s="34"/>
      <c r="H487" s="35"/>
      <c r="I487" s="35" t="s">
        <v>1005</v>
      </c>
      <c r="J487" s="35" t="s">
        <v>1021</v>
      </c>
      <c r="K487" s="35" t="s">
        <v>888</v>
      </c>
      <c r="L487" s="35" t="s">
        <v>1008</v>
      </c>
      <c r="M487" s="35" t="s">
        <v>526</v>
      </c>
      <c r="N487" s="35" t="s">
        <v>968</v>
      </c>
      <c r="O487" s="36">
        <v>9</v>
      </c>
      <c r="P487" s="35" t="s">
        <v>37</v>
      </c>
      <c r="Q487" s="35"/>
      <c r="R487" s="35" t="s">
        <v>2502</v>
      </c>
    </row>
    <row r="488" spans="1:18" ht="24">
      <c r="A488" s="32">
        <v>740</v>
      </c>
      <c r="B488" s="33">
        <v>45759</v>
      </c>
      <c r="C488" s="32">
        <v>2025</v>
      </c>
      <c r="D488" s="34" t="s">
        <v>2503</v>
      </c>
      <c r="E488" s="35" t="s">
        <v>2504</v>
      </c>
      <c r="F488" s="35" t="s">
        <v>914</v>
      </c>
      <c r="G488" s="34"/>
      <c r="H488" s="35" t="s">
        <v>886</v>
      </c>
      <c r="I488" s="35" t="s">
        <v>965</v>
      </c>
      <c r="J488" s="35" t="s">
        <v>1110</v>
      </c>
      <c r="K488" s="35" t="s">
        <v>888</v>
      </c>
      <c r="L488" s="35" t="s">
        <v>1008</v>
      </c>
      <c r="M488" s="35" t="s">
        <v>526</v>
      </c>
      <c r="N488" s="35" t="s">
        <v>968</v>
      </c>
      <c r="O488" s="36">
        <v>9</v>
      </c>
      <c r="P488" s="35" t="s">
        <v>37</v>
      </c>
      <c r="Q488" s="35"/>
      <c r="R488" s="35" t="s">
        <v>2505</v>
      </c>
    </row>
    <row r="489" spans="1:18" ht="24">
      <c r="A489" s="32">
        <v>739</v>
      </c>
      <c r="B489" s="33">
        <v>45759</v>
      </c>
      <c r="C489" s="32">
        <v>2025</v>
      </c>
      <c r="D489" s="34" t="s">
        <v>2506</v>
      </c>
      <c r="E489" s="35" t="s">
        <v>2507</v>
      </c>
      <c r="F489" s="35" t="s">
        <v>887</v>
      </c>
      <c r="G489" s="34"/>
      <c r="H489" s="35" t="s">
        <v>883</v>
      </c>
      <c r="I489" s="35" t="s">
        <v>965</v>
      </c>
      <c r="J489" s="35" t="s">
        <v>1110</v>
      </c>
      <c r="K489" s="35" t="s">
        <v>888</v>
      </c>
      <c r="L489" s="35" t="s">
        <v>976</v>
      </c>
      <c r="M489" s="35" t="s">
        <v>522</v>
      </c>
      <c r="N489" s="35" t="s">
        <v>977</v>
      </c>
      <c r="O489" s="36">
        <v>32</v>
      </c>
      <c r="P489" s="35" t="s">
        <v>37</v>
      </c>
      <c r="Q489" s="35"/>
      <c r="R489" s="35" t="s">
        <v>2508</v>
      </c>
    </row>
    <row r="490" spans="1:18" ht="24">
      <c r="A490" s="32">
        <v>896</v>
      </c>
      <c r="B490" s="33">
        <v>45756</v>
      </c>
      <c r="C490" s="32">
        <v>2025</v>
      </c>
      <c r="D490" s="34" t="s">
        <v>2509</v>
      </c>
      <c r="E490" s="35" t="s">
        <v>2510</v>
      </c>
      <c r="F490" s="35" t="s">
        <v>878</v>
      </c>
      <c r="G490" s="34"/>
      <c r="H490" s="35" t="s">
        <v>879</v>
      </c>
      <c r="I490" s="35" t="s">
        <v>965</v>
      </c>
      <c r="J490" s="35" t="s">
        <v>1110</v>
      </c>
      <c r="K490" s="35" t="s">
        <v>888</v>
      </c>
      <c r="L490" s="35" t="s">
        <v>972</v>
      </c>
      <c r="M490" s="35" t="s">
        <v>512</v>
      </c>
      <c r="N490" s="35" t="s">
        <v>977</v>
      </c>
      <c r="O490" s="36">
        <v>45</v>
      </c>
      <c r="P490" s="35" t="s">
        <v>371</v>
      </c>
      <c r="Q490" s="35"/>
      <c r="R490" s="35" t="s">
        <v>2511</v>
      </c>
    </row>
    <row r="491" spans="1:18" ht="24">
      <c r="A491" s="32">
        <v>895</v>
      </c>
      <c r="B491" s="33">
        <v>45755</v>
      </c>
      <c r="C491" s="32">
        <v>2025</v>
      </c>
      <c r="D491" s="34" t="s">
        <v>2512</v>
      </c>
      <c r="E491" s="35" t="s">
        <v>2513</v>
      </c>
      <c r="F491" s="35"/>
      <c r="G491" s="34"/>
      <c r="H491" s="35"/>
      <c r="I491" s="35" t="s">
        <v>1038</v>
      </c>
      <c r="J491" s="35" t="s">
        <v>1006</v>
      </c>
      <c r="K491" s="35" t="s">
        <v>1007</v>
      </c>
      <c r="L491" s="35" t="s">
        <v>1119</v>
      </c>
      <c r="M491" s="35" t="s">
        <v>519</v>
      </c>
      <c r="N491" s="35" t="s">
        <v>968</v>
      </c>
      <c r="O491" s="36">
        <v>21</v>
      </c>
      <c r="P491" s="35" t="s">
        <v>371</v>
      </c>
      <c r="Q491" s="35"/>
      <c r="R491" s="35" t="s">
        <v>2514</v>
      </c>
    </row>
    <row r="492" spans="1:18" ht="24">
      <c r="A492" s="32">
        <v>736</v>
      </c>
      <c r="B492" s="33">
        <v>45739</v>
      </c>
      <c r="C492" s="32">
        <v>2025</v>
      </c>
      <c r="D492" s="34" t="s">
        <v>2515</v>
      </c>
      <c r="E492" s="35" t="s">
        <v>2516</v>
      </c>
      <c r="F492" s="35" t="s">
        <v>878</v>
      </c>
      <c r="G492" s="34"/>
      <c r="H492" s="35" t="s">
        <v>879</v>
      </c>
      <c r="I492" s="35" t="s">
        <v>965</v>
      </c>
      <c r="J492" s="35" t="s">
        <v>1110</v>
      </c>
      <c r="K492" s="35" t="s">
        <v>888</v>
      </c>
      <c r="L492" s="35" t="s">
        <v>1086</v>
      </c>
      <c r="M492" s="35" t="s">
        <v>512</v>
      </c>
      <c r="N492" s="35" t="s">
        <v>977</v>
      </c>
      <c r="O492" s="36">
        <v>32</v>
      </c>
      <c r="P492" s="35" t="s">
        <v>37</v>
      </c>
      <c r="Q492" s="35"/>
      <c r="R492" s="35" t="s">
        <v>2517</v>
      </c>
    </row>
    <row r="493" spans="1:18" ht="24">
      <c r="A493" s="32">
        <v>735</v>
      </c>
      <c r="B493" s="33">
        <v>45738</v>
      </c>
      <c r="C493" s="32">
        <v>2025</v>
      </c>
      <c r="D493" s="34" t="s">
        <v>2518</v>
      </c>
      <c r="E493" s="35" t="s">
        <v>2519</v>
      </c>
      <c r="F493" s="35"/>
      <c r="G493" s="34"/>
      <c r="H493" s="35" t="s">
        <v>883</v>
      </c>
      <c r="I493" s="35" t="s">
        <v>1134</v>
      </c>
      <c r="J493" s="35" t="s">
        <v>1135</v>
      </c>
      <c r="K493" s="35" t="s">
        <v>888</v>
      </c>
      <c r="L493" s="35" t="s">
        <v>976</v>
      </c>
      <c r="M493" s="35" t="s">
        <v>522</v>
      </c>
      <c r="N493" s="35" t="s">
        <v>977</v>
      </c>
      <c r="O493" s="36">
        <v>13</v>
      </c>
      <c r="P493" s="35" t="s">
        <v>37</v>
      </c>
      <c r="Q493" s="35"/>
      <c r="R493" s="35" t="s">
        <v>2520</v>
      </c>
    </row>
    <row r="494" spans="1:18" ht="24">
      <c r="A494" s="32">
        <v>1048</v>
      </c>
      <c r="B494" s="33">
        <v>45736</v>
      </c>
      <c r="C494" s="32">
        <v>2025</v>
      </c>
      <c r="D494" s="34" t="s">
        <v>2521</v>
      </c>
      <c r="E494" s="35" t="s">
        <v>2522</v>
      </c>
      <c r="F494" s="35" t="s">
        <v>878</v>
      </c>
      <c r="G494" s="34"/>
      <c r="H494" s="35" t="s">
        <v>879</v>
      </c>
      <c r="I494" s="35" t="s">
        <v>965</v>
      </c>
      <c r="J494" s="35" t="s">
        <v>1110</v>
      </c>
      <c r="K494" s="35" t="s">
        <v>888</v>
      </c>
      <c r="L494" s="35" t="s">
        <v>972</v>
      </c>
      <c r="M494" s="35" t="s">
        <v>512</v>
      </c>
      <c r="N494" s="35" t="s">
        <v>977</v>
      </c>
      <c r="O494" s="36">
        <v>20</v>
      </c>
      <c r="P494" s="35" t="s">
        <v>382</v>
      </c>
      <c r="Q494" s="35"/>
      <c r="R494" s="35" t="s">
        <v>2523</v>
      </c>
    </row>
    <row r="495" spans="1:18" ht="24">
      <c r="A495" s="32">
        <v>1047</v>
      </c>
      <c r="B495" s="33">
        <v>45713</v>
      </c>
      <c r="C495" s="32">
        <v>2025</v>
      </c>
      <c r="D495" s="34" t="s">
        <v>2524</v>
      </c>
      <c r="E495" s="35" t="s">
        <v>2525</v>
      </c>
      <c r="F495" s="35"/>
      <c r="G495" s="34"/>
      <c r="H495" s="35"/>
      <c r="I495" s="35" t="s">
        <v>1005</v>
      </c>
      <c r="J495" s="35" t="s">
        <v>1021</v>
      </c>
      <c r="K495" s="35" t="s">
        <v>888</v>
      </c>
      <c r="L495" s="35" t="s">
        <v>972</v>
      </c>
      <c r="M495" s="35" t="s">
        <v>512</v>
      </c>
      <c r="N495" s="35" t="s">
        <v>968</v>
      </c>
      <c r="O495" s="36">
        <v>13</v>
      </c>
      <c r="P495" s="35" t="s">
        <v>382</v>
      </c>
      <c r="Q495" s="35"/>
      <c r="R495" s="35" t="s">
        <v>2526</v>
      </c>
    </row>
    <row r="496" spans="1:18" ht="24">
      <c r="A496" s="32">
        <v>732</v>
      </c>
      <c r="B496" s="33">
        <v>45713</v>
      </c>
      <c r="C496" s="32">
        <v>2025</v>
      </c>
      <c r="D496" s="34" t="s">
        <v>2527</v>
      </c>
      <c r="E496" s="35" t="s">
        <v>2528</v>
      </c>
      <c r="F496" s="35"/>
      <c r="G496" s="34"/>
      <c r="H496" s="35" t="s">
        <v>879</v>
      </c>
      <c r="I496" s="35" t="s">
        <v>1134</v>
      </c>
      <c r="J496" s="35" t="s">
        <v>1135</v>
      </c>
      <c r="K496" s="35" t="s">
        <v>888</v>
      </c>
      <c r="L496" s="35" t="s">
        <v>1139</v>
      </c>
      <c r="M496" s="35" t="s">
        <v>519</v>
      </c>
      <c r="N496" s="35" t="s">
        <v>968</v>
      </c>
      <c r="O496" s="36">
        <v>24</v>
      </c>
      <c r="P496" s="35" t="s">
        <v>37</v>
      </c>
      <c r="Q496" s="35"/>
      <c r="R496" s="35" t="s">
        <v>2529</v>
      </c>
    </row>
    <row r="497" spans="1:18">
      <c r="A497" s="32">
        <v>891</v>
      </c>
      <c r="B497" s="33">
        <v>45712</v>
      </c>
      <c r="C497" s="32">
        <v>2025</v>
      </c>
      <c r="D497" s="34" t="s">
        <v>2530</v>
      </c>
      <c r="E497" s="35" t="s">
        <v>2531</v>
      </c>
      <c r="F497" s="35"/>
      <c r="G497" s="34"/>
      <c r="H497" s="35"/>
      <c r="I497" s="35" t="s">
        <v>1038</v>
      </c>
      <c r="J497" s="35" t="s">
        <v>1006</v>
      </c>
      <c r="K497" s="35" t="s">
        <v>1007</v>
      </c>
      <c r="L497" s="35" t="s">
        <v>1101</v>
      </c>
      <c r="M497" s="35" t="s">
        <v>530</v>
      </c>
      <c r="N497" s="35" t="s">
        <v>968</v>
      </c>
      <c r="O497" s="36">
        <v>13</v>
      </c>
      <c r="P497" s="35" t="s">
        <v>371</v>
      </c>
      <c r="Q497" s="35"/>
      <c r="R497" s="35" t="s">
        <v>2532</v>
      </c>
    </row>
    <row r="498" spans="1:18" ht="24">
      <c r="A498" s="32">
        <v>1053</v>
      </c>
      <c r="B498" s="33">
        <v>45706</v>
      </c>
      <c r="C498" s="32">
        <v>2025</v>
      </c>
      <c r="D498" s="34" t="s">
        <v>2533</v>
      </c>
      <c r="E498" s="35" t="s">
        <v>2534</v>
      </c>
      <c r="F498" s="35" t="s">
        <v>878</v>
      </c>
      <c r="G498" s="34"/>
      <c r="H498" s="35" t="s">
        <v>879</v>
      </c>
      <c r="I498" s="35" t="s">
        <v>965</v>
      </c>
      <c r="J498" s="35" t="s">
        <v>1110</v>
      </c>
      <c r="K498" s="35" t="s">
        <v>888</v>
      </c>
      <c r="L498" s="35" t="s">
        <v>1034</v>
      </c>
      <c r="M498" s="35" t="s">
        <v>515</v>
      </c>
      <c r="N498" s="35" t="s">
        <v>977</v>
      </c>
      <c r="O498" s="36">
        <v>16</v>
      </c>
      <c r="P498" s="35" t="s">
        <v>382</v>
      </c>
      <c r="Q498" s="35"/>
      <c r="R498" s="35" t="s">
        <v>2535</v>
      </c>
    </row>
    <row r="499" spans="1:18" ht="24">
      <c r="A499" s="32">
        <v>890</v>
      </c>
      <c r="B499" s="33">
        <v>45703</v>
      </c>
      <c r="C499" s="32">
        <v>2025</v>
      </c>
      <c r="D499" s="34" t="s">
        <v>2536</v>
      </c>
      <c r="E499" s="35" t="s">
        <v>2537</v>
      </c>
      <c r="F499" s="35" t="s">
        <v>893</v>
      </c>
      <c r="G499" s="34"/>
      <c r="H499" s="35" t="s">
        <v>879</v>
      </c>
      <c r="I499" s="35" t="s">
        <v>965</v>
      </c>
      <c r="J499" s="35" t="s">
        <v>1110</v>
      </c>
      <c r="K499" s="35" t="s">
        <v>888</v>
      </c>
      <c r="L499" s="35" t="s">
        <v>972</v>
      </c>
      <c r="M499" s="35" t="s">
        <v>512</v>
      </c>
      <c r="N499" s="35" t="s">
        <v>977</v>
      </c>
      <c r="O499" s="36">
        <v>23</v>
      </c>
      <c r="P499" s="35" t="s">
        <v>371</v>
      </c>
      <c r="Q499" s="35"/>
      <c r="R499" s="35" t="s">
        <v>2538</v>
      </c>
    </row>
    <row r="500" spans="1:18" ht="36">
      <c r="A500" s="32">
        <v>889</v>
      </c>
      <c r="B500" s="33">
        <v>45703</v>
      </c>
      <c r="C500" s="32">
        <v>2025</v>
      </c>
      <c r="D500" s="34" t="s">
        <v>2539</v>
      </c>
      <c r="E500" s="35" t="s">
        <v>2540</v>
      </c>
      <c r="F500" s="35"/>
      <c r="G500" s="34"/>
      <c r="H500" s="35" t="s">
        <v>879</v>
      </c>
      <c r="I500" s="35" t="s">
        <v>1134</v>
      </c>
      <c r="J500" s="35" t="s">
        <v>1135</v>
      </c>
      <c r="K500" s="35" t="s">
        <v>888</v>
      </c>
      <c r="L500" s="35" t="s">
        <v>1034</v>
      </c>
      <c r="M500" s="35" t="s">
        <v>515</v>
      </c>
      <c r="N500" s="35" t="s">
        <v>977</v>
      </c>
      <c r="O500" s="36">
        <v>9</v>
      </c>
      <c r="P500" s="35" t="s">
        <v>371</v>
      </c>
      <c r="Q500" s="35"/>
      <c r="R500" s="35" t="s">
        <v>2541</v>
      </c>
    </row>
    <row r="501" spans="1:18" ht="24">
      <c r="A501" s="32">
        <v>1046</v>
      </c>
      <c r="B501" s="33">
        <v>45697</v>
      </c>
      <c r="C501" s="32">
        <v>2025</v>
      </c>
      <c r="D501" s="34" t="s">
        <v>2542</v>
      </c>
      <c r="E501" s="35" t="s">
        <v>2543</v>
      </c>
      <c r="F501" s="35"/>
      <c r="G501" s="34"/>
      <c r="H501" s="35"/>
      <c r="I501" s="35" t="s">
        <v>1005</v>
      </c>
      <c r="J501" s="35" t="s">
        <v>1021</v>
      </c>
      <c r="K501" s="35" t="s">
        <v>888</v>
      </c>
      <c r="L501" s="35" t="s">
        <v>1086</v>
      </c>
      <c r="M501" s="35" t="s">
        <v>512</v>
      </c>
      <c r="N501" s="35" t="s">
        <v>977</v>
      </c>
      <c r="O501" s="36">
        <v>22</v>
      </c>
      <c r="P501" s="35" t="s">
        <v>382</v>
      </c>
      <c r="Q501" s="35"/>
      <c r="R501" s="35" t="s">
        <v>2544</v>
      </c>
    </row>
    <row r="502" spans="1:18" ht="24">
      <c r="A502" s="32">
        <v>888</v>
      </c>
      <c r="B502" s="33">
        <v>45697</v>
      </c>
      <c r="C502" s="32">
        <v>2025</v>
      </c>
      <c r="D502" s="34" t="s">
        <v>2545</v>
      </c>
      <c r="E502" s="35" t="s">
        <v>2546</v>
      </c>
      <c r="F502" s="35" t="s">
        <v>892</v>
      </c>
      <c r="G502" s="34"/>
      <c r="H502" s="35" t="s">
        <v>879</v>
      </c>
      <c r="I502" s="35" t="s">
        <v>965</v>
      </c>
      <c r="J502" s="35" t="s">
        <v>1110</v>
      </c>
      <c r="K502" s="35" t="s">
        <v>888</v>
      </c>
      <c r="L502" s="35" t="s">
        <v>1139</v>
      </c>
      <c r="M502" s="35" t="s">
        <v>519</v>
      </c>
      <c r="N502" s="35" t="s">
        <v>977</v>
      </c>
      <c r="O502" s="36">
        <v>14</v>
      </c>
      <c r="P502" s="35" t="s">
        <v>371</v>
      </c>
      <c r="Q502" s="35"/>
      <c r="R502" s="35" t="s">
        <v>2547</v>
      </c>
    </row>
    <row r="503" spans="1:18">
      <c r="A503" s="32">
        <v>886</v>
      </c>
      <c r="B503" s="33">
        <v>45695</v>
      </c>
      <c r="C503" s="32">
        <v>2025</v>
      </c>
      <c r="D503" s="34" t="s">
        <v>2548</v>
      </c>
      <c r="E503" s="35" t="s">
        <v>2549</v>
      </c>
      <c r="F503" s="35" t="s">
        <v>902</v>
      </c>
      <c r="G503" s="34"/>
      <c r="H503" s="35" t="s">
        <v>886</v>
      </c>
      <c r="I503" s="35" t="s">
        <v>965</v>
      </c>
      <c r="J503" s="35" t="s">
        <v>1110</v>
      </c>
      <c r="K503" s="35" t="s">
        <v>888</v>
      </c>
      <c r="L503" s="35" t="s">
        <v>972</v>
      </c>
      <c r="M503" s="35" t="s">
        <v>512</v>
      </c>
      <c r="N503" s="35" t="s">
        <v>977</v>
      </c>
      <c r="O503" s="36">
        <v>3</v>
      </c>
      <c r="P503" s="35" t="s">
        <v>371</v>
      </c>
      <c r="Q503" s="35"/>
      <c r="R503" s="35" t="s">
        <v>2550</v>
      </c>
    </row>
    <row r="504" spans="1:18" ht="24">
      <c r="A504" s="32">
        <v>1045</v>
      </c>
      <c r="B504" s="33">
        <v>45684</v>
      </c>
      <c r="C504" s="32">
        <v>2025</v>
      </c>
      <c r="D504" s="34" t="s">
        <v>2551</v>
      </c>
      <c r="E504" s="35" t="s">
        <v>2552</v>
      </c>
      <c r="F504" s="35" t="s">
        <v>892</v>
      </c>
      <c r="G504" s="34"/>
      <c r="H504" s="35" t="s">
        <v>879</v>
      </c>
      <c r="I504" s="35" t="s">
        <v>965</v>
      </c>
      <c r="J504" s="35" t="s">
        <v>1110</v>
      </c>
      <c r="K504" s="35" t="s">
        <v>888</v>
      </c>
      <c r="L504" s="35" t="s">
        <v>972</v>
      </c>
      <c r="M504" s="35" t="s">
        <v>512</v>
      </c>
      <c r="N504" s="35" t="s">
        <v>977</v>
      </c>
      <c r="O504" s="36">
        <v>33</v>
      </c>
      <c r="P504" s="35" t="s">
        <v>382</v>
      </c>
      <c r="Q504" s="35"/>
      <c r="R504" s="35" t="s">
        <v>2553</v>
      </c>
    </row>
    <row r="505" spans="1:18" ht="24">
      <c r="A505" s="32">
        <v>729</v>
      </c>
      <c r="B505" s="33">
        <v>45681</v>
      </c>
      <c r="C505" s="32">
        <v>2025</v>
      </c>
      <c r="D505" s="34" t="s">
        <v>2554</v>
      </c>
      <c r="E505" s="35" t="s">
        <v>2555</v>
      </c>
      <c r="F505" s="35"/>
      <c r="G505" s="34"/>
      <c r="H505" s="35"/>
      <c r="I505" s="35" t="s">
        <v>1005</v>
      </c>
      <c r="J505" s="35" t="s">
        <v>1021</v>
      </c>
      <c r="K505" s="35" t="s">
        <v>888</v>
      </c>
      <c r="L505" s="35" t="s">
        <v>976</v>
      </c>
      <c r="M505" s="35" t="s">
        <v>522</v>
      </c>
      <c r="N505" s="35" t="s">
        <v>968</v>
      </c>
      <c r="O505" s="36">
        <v>11</v>
      </c>
      <c r="P505" s="35" t="s">
        <v>37</v>
      </c>
      <c r="Q505" s="35"/>
      <c r="R505" s="35" t="s">
        <v>2556</v>
      </c>
    </row>
    <row r="506" spans="1:18" ht="24">
      <c r="A506" s="32">
        <v>728</v>
      </c>
      <c r="B506" s="33">
        <v>45680</v>
      </c>
      <c r="C506" s="32">
        <v>2025</v>
      </c>
      <c r="D506" s="34" t="s">
        <v>2557</v>
      </c>
      <c r="E506" s="35" t="s">
        <v>2558</v>
      </c>
      <c r="F506" s="35"/>
      <c r="G506" s="34"/>
      <c r="H506" s="35"/>
      <c r="I506" s="35" t="s">
        <v>1038</v>
      </c>
      <c r="J506" s="35" t="s">
        <v>1006</v>
      </c>
      <c r="K506" s="35" t="s">
        <v>1007</v>
      </c>
      <c r="L506" s="35" t="s">
        <v>1101</v>
      </c>
      <c r="M506" s="35" t="s">
        <v>530</v>
      </c>
      <c r="N506" s="35" t="s">
        <v>977</v>
      </c>
      <c r="O506" s="36">
        <v>28</v>
      </c>
      <c r="P506" s="35" t="s">
        <v>37</v>
      </c>
      <c r="Q506" s="35"/>
      <c r="R506" s="35" t="s">
        <v>2559</v>
      </c>
    </row>
    <row r="507" spans="1:18" ht="24">
      <c r="A507" s="32">
        <v>1043</v>
      </c>
      <c r="B507" s="33">
        <v>45680</v>
      </c>
      <c r="C507" s="32">
        <v>2025</v>
      </c>
      <c r="D507" s="34" t="s">
        <v>2560</v>
      </c>
      <c r="E507" s="35" t="s">
        <v>2561</v>
      </c>
      <c r="F507" s="35" t="s">
        <v>878</v>
      </c>
      <c r="G507" s="34" t="s">
        <v>882</v>
      </c>
      <c r="H507" s="35" t="s">
        <v>879</v>
      </c>
      <c r="I507" s="35" t="s">
        <v>1317</v>
      </c>
      <c r="J507" s="35" t="s">
        <v>1291</v>
      </c>
      <c r="K507" s="35" t="s">
        <v>897</v>
      </c>
      <c r="L507" s="35" t="s">
        <v>1034</v>
      </c>
      <c r="M507" s="35" t="s">
        <v>515</v>
      </c>
      <c r="N507" s="35" t="s">
        <v>977</v>
      </c>
      <c r="O507" s="36">
        <v>28</v>
      </c>
      <c r="P507" s="35" t="s">
        <v>382</v>
      </c>
      <c r="Q507" s="35"/>
      <c r="R507" s="35" t="s">
        <v>2562</v>
      </c>
    </row>
    <row r="508" spans="1:18" ht="24">
      <c r="A508" s="32">
        <v>1042</v>
      </c>
      <c r="B508" s="33">
        <v>45678</v>
      </c>
      <c r="C508" s="32">
        <v>2025</v>
      </c>
      <c r="D508" s="34" t="s">
        <v>2563</v>
      </c>
      <c r="E508" s="35" t="s">
        <v>2564</v>
      </c>
      <c r="F508" s="35" t="s">
        <v>899</v>
      </c>
      <c r="G508" s="34"/>
      <c r="H508" s="35" t="s">
        <v>886</v>
      </c>
      <c r="I508" s="35" t="s">
        <v>965</v>
      </c>
      <c r="J508" s="35" t="s">
        <v>1110</v>
      </c>
      <c r="K508" s="35" t="s">
        <v>888</v>
      </c>
      <c r="L508" s="35" t="s">
        <v>972</v>
      </c>
      <c r="M508" s="35" t="s">
        <v>512</v>
      </c>
      <c r="N508" s="35" t="s">
        <v>977</v>
      </c>
      <c r="O508" s="36">
        <v>13</v>
      </c>
      <c r="P508" s="35" t="s">
        <v>382</v>
      </c>
      <c r="Q508" s="35"/>
      <c r="R508" s="35" t="s">
        <v>2565</v>
      </c>
    </row>
    <row r="509" spans="1:18" ht="24">
      <c r="A509" s="32">
        <v>1041</v>
      </c>
      <c r="B509" s="33">
        <v>45678</v>
      </c>
      <c r="C509" s="32">
        <v>2025</v>
      </c>
      <c r="D509" s="34" t="s">
        <v>2566</v>
      </c>
      <c r="E509" s="35" t="s">
        <v>2567</v>
      </c>
      <c r="F509" s="35" t="s">
        <v>907</v>
      </c>
      <c r="G509" s="34"/>
      <c r="H509" s="35" t="s">
        <v>879</v>
      </c>
      <c r="I509" s="35" t="s">
        <v>965</v>
      </c>
      <c r="J509" s="35" t="s">
        <v>1110</v>
      </c>
      <c r="K509" s="35" t="s">
        <v>888</v>
      </c>
      <c r="L509" s="35" t="s">
        <v>976</v>
      </c>
      <c r="M509" s="35" t="s">
        <v>522</v>
      </c>
      <c r="N509" s="35" t="s">
        <v>977</v>
      </c>
      <c r="O509" s="36">
        <v>42</v>
      </c>
      <c r="P509" s="35" t="s">
        <v>382</v>
      </c>
      <c r="Q509" s="35"/>
      <c r="R509" s="35" t="s">
        <v>2568</v>
      </c>
    </row>
    <row r="510" spans="1:18" ht="24">
      <c r="A510" s="32">
        <v>880</v>
      </c>
      <c r="B510" s="33">
        <v>45676</v>
      </c>
      <c r="C510" s="32">
        <v>2025</v>
      </c>
      <c r="D510" s="34" t="s">
        <v>2569</v>
      </c>
      <c r="E510" s="35" t="s">
        <v>2570</v>
      </c>
      <c r="F510" s="35" t="s">
        <v>896</v>
      </c>
      <c r="G510" s="34"/>
      <c r="H510" s="35" t="s">
        <v>883</v>
      </c>
      <c r="I510" s="35" t="s">
        <v>965</v>
      </c>
      <c r="J510" s="35" t="s">
        <v>1110</v>
      </c>
      <c r="K510" s="35" t="s">
        <v>888</v>
      </c>
      <c r="L510" s="35" t="s">
        <v>1086</v>
      </c>
      <c r="M510" s="35" t="s">
        <v>512</v>
      </c>
      <c r="N510" s="35" t="s">
        <v>977</v>
      </c>
      <c r="O510" s="36">
        <v>22</v>
      </c>
      <c r="P510" s="35" t="s">
        <v>371</v>
      </c>
      <c r="Q510" s="35"/>
      <c r="R510" s="35" t="s">
        <v>2571</v>
      </c>
    </row>
    <row r="511" spans="1:18">
      <c r="A511" s="32">
        <v>879</v>
      </c>
      <c r="B511" s="33">
        <v>45676</v>
      </c>
      <c r="C511" s="32">
        <v>2025</v>
      </c>
      <c r="D511" s="34" t="s">
        <v>2572</v>
      </c>
      <c r="E511" s="35" t="s">
        <v>2573</v>
      </c>
      <c r="F511" s="35"/>
      <c r="G511" s="34"/>
      <c r="H511" s="35"/>
      <c r="I511" s="35" t="s">
        <v>1038</v>
      </c>
      <c r="J511" s="35" t="s">
        <v>1006</v>
      </c>
      <c r="K511" s="35" t="s">
        <v>1007</v>
      </c>
      <c r="L511" s="35" t="s">
        <v>2574</v>
      </c>
      <c r="M511" s="35" t="s">
        <v>533</v>
      </c>
      <c r="N511" s="35" t="s">
        <v>968</v>
      </c>
      <c r="O511" s="36">
        <v>27</v>
      </c>
      <c r="P511" s="35" t="s">
        <v>371</v>
      </c>
      <c r="Q511" s="35"/>
      <c r="R511" s="35" t="s">
        <v>2575</v>
      </c>
    </row>
    <row r="512" spans="1:18" ht="36">
      <c r="A512" s="32">
        <v>878</v>
      </c>
      <c r="B512" s="33">
        <v>45676</v>
      </c>
      <c r="C512" s="32">
        <v>2025</v>
      </c>
      <c r="D512" s="34" t="s">
        <v>2576</v>
      </c>
      <c r="E512" s="35" t="s">
        <v>2577</v>
      </c>
      <c r="F512" s="35" t="s">
        <v>899</v>
      </c>
      <c r="G512" s="34"/>
      <c r="H512" s="35" t="s">
        <v>886</v>
      </c>
      <c r="I512" s="35" t="s">
        <v>965</v>
      </c>
      <c r="J512" s="35" t="s">
        <v>1110</v>
      </c>
      <c r="K512" s="35" t="s">
        <v>888</v>
      </c>
      <c r="L512" s="35" t="s">
        <v>2574</v>
      </c>
      <c r="M512" s="35" t="s">
        <v>533</v>
      </c>
      <c r="N512" s="35" t="s">
        <v>968</v>
      </c>
      <c r="O512" s="36">
        <v>27</v>
      </c>
      <c r="P512" s="35" t="s">
        <v>371</v>
      </c>
      <c r="Q512" s="35"/>
      <c r="R512" s="35" t="s">
        <v>2578</v>
      </c>
    </row>
    <row r="513" spans="1:18">
      <c r="A513" s="32">
        <v>727</v>
      </c>
      <c r="B513" s="33">
        <v>45676</v>
      </c>
      <c r="C513" s="32">
        <v>2025</v>
      </c>
      <c r="D513" s="34" t="s">
        <v>2579</v>
      </c>
      <c r="E513" s="35" t="s">
        <v>2580</v>
      </c>
      <c r="F513" s="35" t="s">
        <v>913</v>
      </c>
      <c r="G513" s="34" t="s">
        <v>882</v>
      </c>
      <c r="H513" s="35" t="s">
        <v>895</v>
      </c>
      <c r="I513" s="35" t="s">
        <v>1317</v>
      </c>
      <c r="J513" s="35" t="s">
        <v>1110</v>
      </c>
      <c r="K513" s="35" t="s">
        <v>888</v>
      </c>
      <c r="L513" s="35" t="s">
        <v>1008</v>
      </c>
      <c r="M513" s="35" t="s">
        <v>526</v>
      </c>
      <c r="N513" s="35" t="s">
        <v>977</v>
      </c>
      <c r="O513" s="36">
        <v>12</v>
      </c>
      <c r="P513" s="35" t="s">
        <v>37</v>
      </c>
      <c r="Q513" s="35"/>
      <c r="R513" s="35" t="s">
        <v>2581</v>
      </c>
    </row>
    <row r="514" spans="1:18" ht="24">
      <c r="A514" s="32">
        <v>725</v>
      </c>
      <c r="B514" s="33">
        <v>45674</v>
      </c>
      <c r="C514" s="32">
        <v>2025</v>
      </c>
      <c r="D514" s="34" t="s">
        <v>2582</v>
      </c>
      <c r="E514" s="35" t="s">
        <v>2583</v>
      </c>
      <c r="F514" s="35"/>
      <c r="G514" s="34"/>
      <c r="H514" s="35" t="s">
        <v>883</v>
      </c>
      <c r="I514" s="35" t="s">
        <v>1134</v>
      </c>
      <c r="J514" s="35" t="s">
        <v>1135</v>
      </c>
      <c r="K514" s="35" t="s">
        <v>888</v>
      </c>
      <c r="L514" s="35" t="s">
        <v>1086</v>
      </c>
      <c r="M514" s="35" t="s">
        <v>512</v>
      </c>
      <c r="N514" s="35" t="s">
        <v>977</v>
      </c>
      <c r="O514" s="36">
        <v>11</v>
      </c>
      <c r="P514" s="35" t="s">
        <v>37</v>
      </c>
      <c r="Q514" s="35"/>
      <c r="R514" s="35" t="s">
        <v>2584</v>
      </c>
    </row>
    <row r="515" spans="1:18" ht="24">
      <c r="A515" s="32">
        <v>877</v>
      </c>
      <c r="B515" s="33">
        <v>45673</v>
      </c>
      <c r="C515" s="32">
        <v>2025</v>
      </c>
      <c r="D515" s="34" t="s">
        <v>2585</v>
      </c>
      <c r="E515" s="35" t="s">
        <v>2586</v>
      </c>
      <c r="F515" s="35" t="s">
        <v>899</v>
      </c>
      <c r="G515" s="34"/>
      <c r="H515" s="35" t="s">
        <v>886</v>
      </c>
      <c r="I515" s="35" t="s">
        <v>965</v>
      </c>
      <c r="J515" s="35" t="s">
        <v>1110</v>
      </c>
      <c r="K515" s="35" t="s">
        <v>888</v>
      </c>
      <c r="L515" s="35" t="s">
        <v>1034</v>
      </c>
      <c r="M515" s="35" t="s">
        <v>515</v>
      </c>
      <c r="N515" s="35" t="s">
        <v>977</v>
      </c>
      <c r="O515" s="36">
        <v>3</v>
      </c>
      <c r="P515" s="35" t="s">
        <v>371</v>
      </c>
      <c r="Q515" s="35"/>
      <c r="R515" s="35" t="s">
        <v>2587</v>
      </c>
    </row>
    <row r="516" spans="1:18" ht="24">
      <c r="A516" s="32">
        <v>875</v>
      </c>
      <c r="B516" s="33">
        <v>45672</v>
      </c>
      <c r="C516" s="32">
        <v>2025</v>
      </c>
      <c r="D516" s="34" t="s">
        <v>2588</v>
      </c>
      <c r="E516" s="35" t="s">
        <v>2589</v>
      </c>
      <c r="F516" s="35" t="s">
        <v>885</v>
      </c>
      <c r="G516" s="34"/>
      <c r="H516" s="35" t="s">
        <v>886</v>
      </c>
      <c r="I516" s="35" t="s">
        <v>965</v>
      </c>
      <c r="J516" s="35" t="s">
        <v>1110</v>
      </c>
      <c r="K516" s="35" t="s">
        <v>888</v>
      </c>
      <c r="L516" s="35" t="s">
        <v>1139</v>
      </c>
      <c r="M516" s="35" t="s">
        <v>519</v>
      </c>
      <c r="N516" s="35" t="s">
        <v>977</v>
      </c>
      <c r="O516" s="36">
        <v>10</v>
      </c>
      <c r="P516" s="35" t="s">
        <v>371</v>
      </c>
      <c r="Q516" s="35"/>
      <c r="R516" s="35" t="s">
        <v>2590</v>
      </c>
    </row>
    <row r="517" spans="1:18" ht="24">
      <c r="A517" s="32">
        <v>874</v>
      </c>
      <c r="B517" s="33">
        <v>45671</v>
      </c>
      <c r="C517" s="32">
        <v>2025</v>
      </c>
      <c r="D517" s="34" t="s">
        <v>2591</v>
      </c>
      <c r="E517" s="35" t="s">
        <v>2592</v>
      </c>
      <c r="F517" s="35" t="s">
        <v>882</v>
      </c>
      <c r="G517" s="34" t="s">
        <v>902</v>
      </c>
      <c r="H517" s="35" t="s">
        <v>883</v>
      </c>
      <c r="I517" s="35" t="s">
        <v>1317</v>
      </c>
      <c r="J517" s="35" t="s">
        <v>1110</v>
      </c>
      <c r="K517" s="35" t="s">
        <v>888</v>
      </c>
      <c r="L517" s="35" t="s">
        <v>1158</v>
      </c>
      <c r="M517" s="35" t="s">
        <v>515</v>
      </c>
      <c r="N517" s="35" t="s">
        <v>977</v>
      </c>
      <c r="O517" s="36">
        <v>8</v>
      </c>
      <c r="P517" s="35" t="s">
        <v>371</v>
      </c>
      <c r="Q517" s="35"/>
      <c r="R517" s="35" t="s">
        <v>2593</v>
      </c>
    </row>
    <row r="518" spans="1:18" ht="24">
      <c r="A518" s="32">
        <v>873</v>
      </c>
      <c r="B518" s="33">
        <v>45671</v>
      </c>
      <c r="C518" s="32">
        <v>2025</v>
      </c>
      <c r="D518" s="34" t="s">
        <v>2594</v>
      </c>
      <c r="E518" s="35" t="s">
        <v>2595</v>
      </c>
      <c r="F518" s="35" t="s">
        <v>882</v>
      </c>
      <c r="G518" s="34"/>
      <c r="H518" s="35" t="s">
        <v>883</v>
      </c>
      <c r="I518" s="35" t="s">
        <v>965</v>
      </c>
      <c r="J518" s="35" t="s">
        <v>1110</v>
      </c>
      <c r="K518" s="35" t="s">
        <v>888</v>
      </c>
      <c r="L518" s="35" t="s">
        <v>1008</v>
      </c>
      <c r="M518" s="35" t="s">
        <v>526</v>
      </c>
      <c r="N518" s="35" t="s">
        <v>977</v>
      </c>
      <c r="O518" s="36">
        <v>5</v>
      </c>
      <c r="P518" s="35" t="s">
        <v>371</v>
      </c>
      <c r="Q518" s="35"/>
      <c r="R518" s="35" t="s">
        <v>2596</v>
      </c>
    </row>
    <row r="519" spans="1:18" ht="24">
      <c r="A519" s="32">
        <v>1040</v>
      </c>
      <c r="B519" s="33">
        <v>45670</v>
      </c>
      <c r="C519" s="32">
        <v>2025</v>
      </c>
      <c r="D519" s="34" t="s">
        <v>2597</v>
      </c>
      <c r="E519" s="35" t="s">
        <v>2598</v>
      </c>
      <c r="F519" s="35" t="s">
        <v>892</v>
      </c>
      <c r="G519" s="34"/>
      <c r="H519" s="35" t="s">
        <v>879</v>
      </c>
      <c r="I519" s="35" t="s">
        <v>965</v>
      </c>
      <c r="J519" s="35" t="s">
        <v>1110</v>
      </c>
      <c r="K519" s="35" t="s">
        <v>888</v>
      </c>
      <c r="L519" s="35" t="s">
        <v>1139</v>
      </c>
      <c r="M519" s="35" t="s">
        <v>519</v>
      </c>
      <c r="N519" s="35" t="s">
        <v>977</v>
      </c>
      <c r="O519" s="36">
        <v>71</v>
      </c>
      <c r="P519" s="35" t="s">
        <v>382</v>
      </c>
      <c r="Q519" s="35"/>
      <c r="R519" s="35" t="s">
        <v>2599</v>
      </c>
    </row>
    <row r="520" spans="1:18" ht="24">
      <c r="A520" s="32">
        <v>871</v>
      </c>
      <c r="B520" s="33">
        <v>45669</v>
      </c>
      <c r="C520" s="32">
        <v>2025</v>
      </c>
      <c r="D520" s="34" t="s">
        <v>2600</v>
      </c>
      <c r="E520" s="35" t="s">
        <v>2601</v>
      </c>
      <c r="F520" s="35" t="s">
        <v>902</v>
      </c>
      <c r="G520" s="34"/>
      <c r="H520" s="35" t="s">
        <v>886</v>
      </c>
      <c r="I520" s="35" t="s">
        <v>965</v>
      </c>
      <c r="J520" s="35" t="s">
        <v>1110</v>
      </c>
      <c r="K520" s="35" t="s">
        <v>888</v>
      </c>
      <c r="L520" s="35" t="s">
        <v>972</v>
      </c>
      <c r="M520" s="35" t="s">
        <v>512</v>
      </c>
      <c r="N520" s="35" t="s">
        <v>977</v>
      </c>
      <c r="O520" s="36">
        <v>22</v>
      </c>
      <c r="P520" s="35" t="s">
        <v>371</v>
      </c>
      <c r="Q520" s="35"/>
      <c r="R520" s="35" t="s">
        <v>2602</v>
      </c>
    </row>
    <row r="521" spans="1:18" ht="24">
      <c r="A521" s="32">
        <v>870</v>
      </c>
      <c r="B521" s="33">
        <v>45669</v>
      </c>
      <c r="C521" s="32">
        <v>2025</v>
      </c>
      <c r="D521" s="34" t="s">
        <v>2603</v>
      </c>
      <c r="E521" s="35" t="s">
        <v>2604</v>
      </c>
      <c r="F521" s="35" t="s">
        <v>902</v>
      </c>
      <c r="G521" s="34"/>
      <c r="H521" s="35" t="s">
        <v>886</v>
      </c>
      <c r="I521" s="35" t="s">
        <v>965</v>
      </c>
      <c r="J521" s="35" t="s">
        <v>1110</v>
      </c>
      <c r="K521" s="35" t="s">
        <v>888</v>
      </c>
      <c r="L521" s="35" t="s">
        <v>972</v>
      </c>
      <c r="M521" s="35" t="s">
        <v>512</v>
      </c>
      <c r="N521" s="35" t="s">
        <v>968</v>
      </c>
      <c r="O521" s="36">
        <v>14</v>
      </c>
      <c r="P521" s="35" t="s">
        <v>371</v>
      </c>
      <c r="Q521" s="35"/>
      <c r="R521" s="35" t="s">
        <v>2605</v>
      </c>
    </row>
    <row r="522" spans="1:18" ht="24">
      <c r="A522" s="32">
        <v>721</v>
      </c>
      <c r="B522" s="33">
        <v>45668</v>
      </c>
      <c r="C522" s="32">
        <v>2025</v>
      </c>
      <c r="D522" s="34" t="s">
        <v>2606</v>
      </c>
      <c r="E522" s="35" t="s">
        <v>2607</v>
      </c>
      <c r="F522" s="35"/>
      <c r="G522" s="34"/>
      <c r="H522" s="35"/>
      <c r="I522" s="35" t="s">
        <v>1038</v>
      </c>
      <c r="J522" s="35" t="s">
        <v>1006</v>
      </c>
      <c r="K522" s="35" t="s">
        <v>1007</v>
      </c>
      <c r="L522" s="35" t="s">
        <v>972</v>
      </c>
      <c r="M522" s="35" t="s">
        <v>512</v>
      </c>
      <c r="N522" s="35" t="s">
        <v>977</v>
      </c>
      <c r="O522" s="36">
        <v>27</v>
      </c>
      <c r="P522" s="35" t="s">
        <v>37</v>
      </c>
      <c r="Q522" s="35"/>
      <c r="R522" s="35" t="s">
        <v>2608</v>
      </c>
    </row>
    <row r="523" spans="1:18" ht="24">
      <c r="A523" s="32">
        <v>720</v>
      </c>
      <c r="B523" s="33">
        <v>45668</v>
      </c>
      <c r="C523" s="32">
        <v>2025</v>
      </c>
      <c r="D523" s="34" t="s">
        <v>2609</v>
      </c>
      <c r="E523" s="35" t="s">
        <v>2610</v>
      </c>
      <c r="F523" s="35"/>
      <c r="G523" s="34"/>
      <c r="H523" s="35"/>
      <c r="I523" s="35" t="s">
        <v>1038</v>
      </c>
      <c r="J523" s="35" t="s">
        <v>1006</v>
      </c>
      <c r="K523" s="35" t="s">
        <v>1007</v>
      </c>
      <c r="L523" s="35" t="s">
        <v>1034</v>
      </c>
      <c r="M523" s="35" t="s">
        <v>515</v>
      </c>
      <c r="N523" s="35" t="s">
        <v>977</v>
      </c>
      <c r="O523" s="36">
        <v>13</v>
      </c>
      <c r="P523" s="35" t="s">
        <v>37</v>
      </c>
      <c r="Q523" s="35"/>
      <c r="R523" s="35" t="s">
        <v>2611</v>
      </c>
    </row>
    <row r="524" spans="1:18" ht="24">
      <c r="A524" s="32">
        <v>719</v>
      </c>
      <c r="B524" s="33">
        <v>45666</v>
      </c>
      <c r="C524" s="32">
        <v>2025</v>
      </c>
      <c r="D524" s="34" t="s">
        <v>2612</v>
      </c>
      <c r="E524" s="35" t="s">
        <v>2613</v>
      </c>
      <c r="F524" s="35" t="s">
        <v>900</v>
      </c>
      <c r="G524" s="34"/>
      <c r="H524" s="35" t="s">
        <v>883</v>
      </c>
      <c r="I524" s="35" t="s">
        <v>965</v>
      </c>
      <c r="J524" s="35" t="s">
        <v>1110</v>
      </c>
      <c r="K524" s="35" t="s">
        <v>888</v>
      </c>
      <c r="L524" s="35" t="s">
        <v>1139</v>
      </c>
      <c r="M524" s="35" t="s">
        <v>519</v>
      </c>
      <c r="N524" s="35" t="s">
        <v>968</v>
      </c>
      <c r="O524" s="36">
        <v>13</v>
      </c>
      <c r="P524" s="35" t="s">
        <v>37</v>
      </c>
      <c r="Q524" s="35"/>
      <c r="R524" s="35" t="s">
        <v>2614</v>
      </c>
    </row>
    <row r="525" spans="1:18" ht="24">
      <c r="A525" s="32">
        <v>869</v>
      </c>
      <c r="B525" s="33">
        <v>45666</v>
      </c>
      <c r="C525" s="32">
        <v>2025</v>
      </c>
      <c r="D525" s="34" t="s">
        <v>2615</v>
      </c>
      <c r="E525" s="35" t="s">
        <v>2616</v>
      </c>
      <c r="F525" s="35" t="s">
        <v>904</v>
      </c>
      <c r="G525" s="34"/>
      <c r="H525" s="35" t="s">
        <v>886</v>
      </c>
      <c r="I525" s="35" t="s">
        <v>965</v>
      </c>
      <c r="J525" s="35" t="s">
        <v>1110</v>
      </c>
      <c r="K525" s="35" t="s">
        <v>888</v>
      </c>
      <c r="L525" s="35" t="s">
        <v>976</v>
      </c>
      <c r="M525" s="35" t="s">
        <v>522</v>
      </c>
      <c r="N525" s="35" t="s">
        <v>977</v>
      </c>
      <c r="O525" s="36">
        <v>20</v>
      </c>
      <c r="P525" s="35" t="s">
        <v>371</v>
      </c>
      <c r="Q525" s="35"/>
      <c r="R525" s="35" t="s">
        <v>2617</v>
      </c>
    </row>
    <row r="526" spans="1:18" ht="24">
      <c r="A526" s="32">
        <v>868</v>
      </c>
      <c r="B526" s="33">
        <v>45665</v>
      </c>
      <c r="C526" s="32">
        <v>2025</v>
      </c>
      <c r="D526" s="34" t="s">
        <v>2618</v>
      </c>
      <c r="E526" s="35" t="s">
        <v>2619</v>
      </c>
      <c r="F526" s="35"/>
      <c r="G526" s="34"/>
      <c r="H526" s="35"/>
      <c r="I526" s="35" t="s">
        <v>1038</v>
      </c>
      <c r="J526" s="35" t="s">
        <v>1006</v>
      </c>
      <c r="K526" s="35" t="s">
        <v>1007</v>
      </c>
      <c r="L526" s="35" t="s">
        <v>1139</v>
      </c>
      <c r="M526" s="35" t="s">
        <v>519</v>
      </c>
      <c r="N526" s="35" t="s">
        <v>968</v>
      </c>
      <c r="O526" s="36">
        <v>13</v>
      </c>
      <c r="P526" s="35" t="s">
        <v>371</v>
      </c>
      <c r="Q526" s="35"/>
      <c r="R526" s="35" t="s">
        <v>2620</v>
      </c>
    </row>
    <row r="527" spans="1:18" ht="24">
      <c r="A527" s="32">
        <v>867</v>
      </c>
      <c r="B527" s="33">
        <v>45664</v>
      </c>
      <c r="C527" s="32">
        <v>2025</v>
      </c>
      <c r="D527" s="34" t="s">
        <v>2621</v>
      </c>
      <c r="E527" s="35" t="s">
        <v>2622</v>
      </c>
      <c r="F527" s="35" t="s">
        <v>908</v>
      </c>
      <c r="G527" s="34"/>
      <c r="H527" s="35" t="s">
        <v>886</v>
      </c>
      <c r="I527" s="35" t="s">
        <v>965</v>
      </c>
      <c r="J527" s="35" t="s">
        <v>1110</v>
      </c>
      <c r="K527" s="35" t="s">
        <v>888</v>
      </c>
      <c r="L527" s="35" t="s">
        <v>1008</v>
      </c>
      <c r="M527" s="35" t="s">
        <v>526</v>
      </c>
      <c r="N527" s="35" t="s">
        <v>977</v>
      </c>
      <c r="O527" s="36">
        <v>22</v>
      </c>
      <c r="P527" s="35" t="s">
        <v>371</v>
      </c>
      <c r="Q527" s="35"/>
      <c r="R527" s="35" t="s">
        <v>2623</v>
      </c>
    </row>
    <row r="528" spans="1:18" ht="24">
      <c r="A528" s="32">
        <v>1039</v>
      </c>
      <c r="B528" s="33">
        <v>45663</v>
      </c>
      <c r="C528" s="32">
        <v>2025</v>
      </c>
      <c r="D528" s="34" t="s">
        <v>2624</v>
      </c>
      <c r="E528" s="35" t="s">
        <v>2625</v>
      </c>
      <c r="F528" s="35" t="s">
        <v>916</v>
      </c>
      <c r="G528" s="34"/>
      <c r="H528" s="35" t="s">
        <v>879</v>
      </c>
      <c r="I528" s="35" t="s">
        <v>965</v>
      </c>
      <c r="J528" s="35" t="s">
        <v>1110</v>
      </c>
      <c r="K528" s="35" t="s">
        <v>888</v>
      </c>
      <c r="L528" s="35" t="s">
        <v>1086</v>
      </c>
      <c r="M528" s="35" t="s">
        <v>512</v>
      </c>
      <c r="N528" s="35" t="s">
        <v>968</v>
      </c>
      <c r="O528" s="36">
        <v>18</v>
      </c>
      <c r="P528" s="35" t="s">
        <v>382</v>
      </c>
      <c r="Q528" s="35"/>
      <c r="R528" s="35" t="s">
        <v>2626</v>
      </c>
    </row>
    <row r="529" spans="1:18" ht="36">
      <c r="A529" s="32">
        <v>717</v>
      </c>
      <c r="B529" s="33">
        <v>45663</v>
      </c>
      <c r="C529" s="32">
        <v>2025</v>
      </c>
      <c r="D529" s="34" t="s">
        <v>2627</v>
      </c>
      <c r="E529" s="35" t="s">
        <v>2628</v>
      </c>
      <c r="F529" s="35" t="s">
        <v>882</v>
      </c>
      <c r="G529" s="34"/>
      <c r="H529" s="35" t="s">
        <v>883</v>
      </c>
      <c r="I529" s="35" t="s">
        <v>965</v>
      </c>
      <c r="J529" s="35" t="s">
        <v>1110</v>
      </c>
      <c r="K529" s="35" t="s">
        <v>888</v>
      </c>
      <c r="L529" s="35" t="s">
        <v>972</v>
      </c>
      <c r="M529" s="35" t="s">
        <v>512</v>
      </c>
      <c r="N529" s="35" t="s">
        <v>977</v>
      </c>
      <c r="O529" s="36">
        <v>11</v>
      </c>
      <c r="P529" s="35" t="s">
        <v>37</v>
      </c>
      <c r="Q529" s="35"/>
      <c r="R529" s="35" t="s">
        <v>2629</v>
      </c>
    </row>
    <row r="530" spans="1:18" ht="24">
      <c r="A530" s="32">
        <v>715</v>
      </c>
      <c r="B530" s="33">
        <v>45663</v>
      </c>
      <c r="C530" s="32">
        <v>2025</v>
      </c>
      <c r="D530" s="34" t="s">
        <v>2630</v>
      </c>
      <c r="E530" s="35" t="s">
        <v>2631</v>
      </c>
      <c r="F530" s="35"/>
      <c r="G530" s="34"/>
      <c r="H530" s="35"/>
      <c r="I530" s="35" t="s">
        <v>1038</v>
      </c>
      <c r="J530" s="35" t="s">
        <v>1006</v>
      </c>
      <c r="K530" s="35" t="s">
        <v>1007</v>
      </c>
      <c r="L530" s="35" t="s">
        <v>972</v>
      </c>
      <c r="M530" s="35" t="s">
        <v>530</v>
      </c>
      <c r="N530" s="35" t="s">
        <v>977</v>
      </c>
      <c r="O530" s="36">
        <v>22</v>
      </c>
      <c r="P530" s="35" t="s">
        <v>37</v>
      </c>
      <c r="Q530" s="35"/>
      <c r="R530" s="35" t="s">
        <v>2632</v>
      </c>
    </row>
    <row r="531" spans="1:18" ht="24">
      <c r="A531" s="32">
        <v>714</v>
      </c>
      <c r="B531" s="33">
        <v>45663</v>
      </c>
      <c r="C531" s="32">
        <v>2025</v>
      </c>
      <c r="D531" s="34" t="s">
        <v>2633</v>
      </c>
      <c r="E531" s="35" t="s">
        <v>2634</v>
      </c>
      <c r="F531" s="35" t="s">
        <v>878</v>
      </c>
      <c r="G531" s="34"/>
      <c r="H531" s="35" t="s">
        <v>879</v>
      </c>
      <c r="I531" s="35" t="s">
        <v>965</v>
      </c>
      <c r="J531" s="35" t="s">
        <v>1110</v>
      </c>
      <c r="K531" s="35" t="s">
        <v>888</v>
      </c>
      <c r="L531" s="35" t="s">
        <v>976</v>
      </c>
      <c r="M531" s="35" t="s">
        <v>522</v>
      </c>
      <c r="N531" s="35" t="s">
        <v>977</v>
      </c>
      <c r="O531" s="36">
        <v>27</v>
      </c>
      <c r="P531" s="35" t="s">
        <v>37</v>
      </c>
      <c r="Q531" s="35"/>
      <c r="R531" s="35" t="s">
        <v>2635</v>
      </c>
    </row>
    <row r="532" spans="1:18" ht="24">
      <c r="A532" s="32">
        <v>713</v>
      </c>
      <c r="B532" s="33">
        <v>45661</v>
      </c>
      <c r="C532" s="32">
        <v>2025</v>
      </c>
      <c r="D532" s="34" t="s">
        <v>2636</v>
      </c>
      <c r="E532" s="35" t="s">
        <v>2637</v>
      </c>
      <c r="F532" s="35"/>
      <c r="G532" s="34"/>
      <c r="H532" s="35"/>
      <c r="I532" s="35" t="s">
        <v>1484</v>
      </c>
      <c r="J532" s="35" t="s">
        <v>1485</v>
      </c>
      <c r="K532" s="35" t="s">
        <v>888</v>
      </c>
      <c r="L532" s="35" t="s">
        <v>1034</v>
      </c>
      <c r="M532" s="35" t="s">
        <v>515</v>
      </c>
      <c r="N532" s="35" t="s">
        <v>977</v>
      </c>
      <c r="O532" s="36">
        <v>11</v>
      </c>
      <c r="P532" s="35" t="s">
        <v>37</v>
      </c>
      <c r="Q532" s="35"/>
      <c r="R532" s="35" t="s">
        <v>2638</v>
      </c>
    </row>
    <row r="533" spans="1:18" ht="24">
      <c r="A533" s="32">
        <v>712</v>
      </c>
      <c r="B533" s="33">
        <v>45661</v>
      </c>
      <c r="C533" s="32">
        <v>2025</v>
      </c>
      <c r="D533" s="34" t="s">
        <v>2639</v>
      </c>
      <c r="E533" s="35" t="s">
        <v>2640</v>
      </c>
      <c r="F533" s="35" t="s">
        <v>889</v>
      </c>
      <c r="G533" s="34"/>
      <c r="H533" s="35" t="s">
        <v>890</v>
      </c>
      <c r="I533" s="35" t="s">
        <v>965</v>
      </c>
      <c r="J533" s="35" t="s">
        <v>1291</v>
      </c>
      <c r="K533" s="35" t="s">
        <v>897</v>
      </c>
      <c r="L533" s="35" t="s">
        <v>972</v>
      </c>
      <c r="M533" s="35" t="s">
        <v>512</v>
      </c>
      <c r="N533" s="35" t="s">
        <v>977</v>
      </c>
      <c r="O533" s="36">
        <v>19</v>
      </c>
      <c r="P533" s="35" t="s">
        <v>37</v>
      </c>
      <c r="Q533" s="35"/>
      <c r="R533" s="35" t="s">
        <v>2641</v>
      </c>
    </row>
    <row r="534" spans="1:18" ht="24">
      <c r="A534" s="32">
        <v>711</v>
      </c>
      <c r="B534" s="33">
        <v>45661</v>
      </c>
      <c r="C534" s="32">
        <v>2025</v>
      </c>
      <c r="D534" s="34" t="s">
        <v>2642</v>
      </c>
      <c r="E534" s="35" t="s">
        <v>2643</v>
      </c>
      <c r="F534" s="35" t="s">
        <v>892</v>
      </c>
      <c r="G534" s="34" t="s">
        <v>905</v>
      </c>
      <c r="H534" s="35" t="s">
        <v>879</v>
      </c>
      <c r="I534" s="35" t="s">
        <v>1317</v>
      </c>
      <c r="J534" s="35" t="s">
        <v>1110</v>
      </c>
      <c r="K534" s="35" t="s">
        <v>888</v>
      </c>
      <c r="L534" s="35" t="s">
        <v>976</v>
      </c>
      <c r="M534" s="35" t="s">
        <v>522</v>
      </c>
      <c r="N534" s="35" t="s">
        <v>977</v>
      </c>
      <c r="O534" s="36">
        <v>2</v>
      </c>
      <c r="P534" s="35" t="s">
        <v>37</v>
      </c>
      <c r="Q534" s="35"/>
      <c r="R534" s="35" t="s">
        <v>2644</v>
      </c>
    </row>
    <row r="535" spans="1:18" ht="24">
      <c r="A535" s="32">
        <v>710</v>
      </c>
      <c r="B535" s="33">
        <v>45661</v>
      </c>
      <c r="C535" s="32">
        <v>2025</v>
      </c>
      <c r="D535" s="34" t="s">
        <v>2645</v>
      </c>
      <c r="E535" s="35" t="s">
        <v>2646</v>
      </c>
      <c r="F535" s="35" t="s">
        <v>926</v>
      </c>
      <c r="G535" s="34"/>
      <c r="H535" s="35" t="s">
        <v>883</v>
      </c>
      <c r="I535" s="35" t="s">
        <v>965</v>
      </c>
      <c r="J535" s="35" t="s">
        <v>1110</v>
      </c>
      <c r="K535" s="35" t="s">
        <v>888</v>
      </c>
      <c r="L535" s="35" t="s">
        <v>972</v>
      </c>
      <c r="M535" s="35" t="s">
        <v>512</v>
      </c>
      <c r="N535" s="35" t="s">
        <v>977</v>
      </c>
      <c r="O535" s="36">
        <v>28</v>
      </c>
      <c r="P535" s="35" t="s">
        <v>37</v>
      </c>
      <c r="Q535" s="35"/>
      <c r="R535" s="35" t="s">
        <v>2647</v>
      </c>
    </row>
    <row r="536" spans="1:18" ht="24">
      <c r="A536" s="32">
        <v>709</v>
      </c>
      <c r="B536" s="33">
        <v>45660</v>
      </c>
      <c r="C536" s="32">
        <v>2025</v>
      </c>
      <c r="D536" s="34" t="s">
        <v>2648</v>
      </c>
      <c r="E536" s="35" t="s">
        <v>2649</v>
      </c>
      <c r="F536" s="35"/>
      <c r="G536" s="34"/>
      <c r="H536" s="35"/>
      <c r="I536" s="35" t="s">
        <v>1038</v>
      </c>
      <c r="J536" s="35" t="s">
        <v>1006</v>
      </c>
      <c r="K536" s="35" t="s">
        <v>1007</v>
      </c>
      <c r="L536" s="35" t="s">
        <v>972</v>
      </c>
      <c r="M536" s="35" t="s">
        <v>512</v>
      </c>
      <c r="N536" s="35" t="s">
        <v>977</v>
      </c>
      <c r="O536" s="36">
        <v>18</v>
      </c>
      <c r="P536" s="35" t="s">
        <v>37</v>
      </c>
      <c r="Q536" s="35"/>
      <c r="R536" s="35" t="s">
        <v>2650</v>
      </c>
    </row>
    <row r="537" spans="1:18">
      <c r="A537" s="32">
        <v>707</v>
      </c>
      <c r="B537" s="33">
        <v>45660</v>
      </c>
      <c r="C537" s="32">
        <v>2025</v>
      </c>
      <c r="D537" s="34" t="s">
        <v>2651</v>
      </c>
      <c r="E537" s="35" t="s">
        <v>2652</v>
      </c>
      <c r="F537" s="35"/>
      <c r="G537" s="34"/>
      <c r="H537" s="35"/>
      <c r="I537" s="35" t="s">
        <v>1038</v>
      </c>
      <c r="J537" s="35" t="s">
        <v>1006</v>
      </c>
      <c r="K537" s="35" t="s">
        <v>1007</v>
      </c>
      <c r="L537" s="35" t="s">
        <v>972</v>
      </c>
      <c r="M537" s="35" t="s">
        <v>512</v>
      </c>
      <c r="N537" s="35" t="s">
        <v>977</v>
      </c>
      <c r="O537" s="36">
        <v>9</v>
      </c>
      <c r="P537" s="35" t="s">
        <v>37</v>
      </c>
      <c r="Q537" s="35"/>
      <c r="R537" s="35" t="s">
        <v>2653</v>
      </c>
    </row>
    <row r="538" spans="1:18" ht="24">
      <c r="A538" s="32">
        <v>706</v>
      </c>
      <c r="B538" s="33">
        <v>45660</v>
      </c>
      <c r="C538" s="32">
        <v>2025</v>
      </c>
      <c r="D538" s="34" t="s">
        <v>2654</v>
      </c>
      <c r="E538" s="35" t="s">
        <v>2655</v>
      </c>
      <c r="F538" s="35" t="s">
        <v>884</v>
      </c>
      <c r="G538" s="34"/>
      <c r="H538" s="35" t="s">
        <v>883</v>
      </c>
      <c r="I538" s="35" t="s">
        <v>965</v>
      </c>
      <c r="J538" s="35" t="s">
        <v>1110</v>
      </c>
      <c r="K538" s="35" t="s">
        <v>888</v>
      </c>
      <c r="L538" s="35" t="s">
        <v>1034</v>
      </c>
      <c r="M538" s="35" t="s">
        <v>515</v>
      </c>
      <c r="N538" s="35" t="s">
        <v>977</v>
      </c>
      <c r="O538" s="36">
        <v>11</v>
      </c>
      <c r="P538" s="35" t="s">
        <v>37</v>
      </c>
      <c r="Q538" s="35"/>
      <c r="R538" s="35" t="s">
        <v>2656</v>
      </c>
    </row>
    <row r="539" spans="1:18">
      <c r="A539" s="32">
        <v>705</v>
      </c>
      <c r="B539" s="33">
        <v>45660</v>
      </c>
      <c r="C539" s="32">
        <v>2025</v>
      </c>
      <c r="D539" s="34" t="s">
        <v>2657</v>
      </c>
      <c r="E539" s="35" t="s">
        <v>2658</v>
      </c>
      <c r="F539" s="35"/>
      <c r="G539" s="34"/>
      <c r="H539" s="35"/>
      <c r="I539" s="35" t="s">
        <v>1038</v>
      </c>
      <c r="J539" s="35" t="s">
        <v>1006</v>
      </c>
      <c r="K539" s="35" t="s">
        <v>1007</v>
      </c>
      <c r="L539" s="35" t="s">
        <v>1840</v>
      </c>
      <c r="M539" s="35" t="s">
        <v>512</v>
      </c>
      <c r="N539" s="35" t="s">
        <v>977</v>
      </c>
      <c r="O539" s="36">
        <v>13</v>
      </c>
      <c r="P539" s="35" t="s">
        <v>37</v>
      </c>
      <c r="Q539" s="35"/>
      <c r="R539" s="35" t="s">
        <v>2659</v>
      </c>
    </row>
    <row r="540" spans="1:18" ht="24">
      <c r="A540" s="32">
        <v>703</v>
      </c>
      <c r="B540" s="33">
        <v>45659</v>
      </c>
      <c r="C540" s="32">
        <v>2025</v>
      </c>
      <c r="D540" s="34" t="s">
        <v>2660</v>
      </c>
      <c r="E540" s="35" t="s">
        <v>2661</v>
      </c>
      <c r="F540" s="35" t="s">
        <v>878</v>
      </c>
      <c r="G540" s="34"/>
      <c r="H540" s="35" t="s">
        <v>879</v>
      </c>
      <c r="I540" s="35" t="s">
        <v>965</v>
      </c>
      <c r="J540" s="35" t="s">
        <v>1110</v>
      </c>
      <c r="K540" s="35" t="s">
        <v>888</v>
      </c>
      <c r="L540" s="35" t="s">
        <v>1086</v>
      </c>
      <c r="M540" s="35" t="s">
        <v>512</v>
      </c>
      <c r="N540" s="35" t="s">
        <v>977</v>
      </c>
      <c r="O540" s="36">
        <v>29</v>
      </c>
      <c r="P540" s="35" t="s">
        <v>37</v>
      </c>
      <c r="Q540" s="35"/>
      <c r="R540" s="35" t="s">
        <v>2662</v>
      </c>
    </row>
    <row r="541" spans="1:18" ht="36">
      <c r="A541" s="32">
        <v>702</v>
      </c>
      <c r="B541" s="33">
        <v>45658</v>
      </c>
      <c r="C541" s="32">
        <v>2025</v>
      </c>
      <c r="D541" s="34" t="s">
        <v>2663</v>
      </c>
      <c r="E541" s="35" t="s">
        <v>2664</v>
      </c>
      <c r="F541" s="35" t="s">
        <v>882</v>
      </c>
      <c r="G541" s="34"/>
      <c r="H541" s="35" t="s">
        <v>883</v>
      </c>
      <c r="I541" s="35" t="s">
        <v>965</v>
      </c>
      <c r="J541" s="35" t="s">
        <v>1110</v>
      </c>
      <c r="K541" s="35" t="s">
        <v>888</v>
      </c>
      <c r="L541" s="35" t="s">
        <v>1101</v>
      </c>
      <c r="M541" s="35" t="s">
        <v>530</v>
      </c>
      <c r="N541" s="35" t="s">
        <v>977</v>
      </c>
      <c r="O541" s="36">
        <v>3</v>
      </c>
      <c r="P541" s="35" t="s">
        <v>37</v>
      </c>
      <c r="Q541" s="35"/>
      <c r="R541" s="35" t="s">
        <v>2665</v>
      </c>
    </row>
    <row r="542" spans="1:18">
      <c r="A542" s="32">
        <v>701</v>
      </c>
      <c r="B542" s="33">
        <v>45658</v>
      </c>
      <c r="C542" s="32">
        <v>2025</v>
      </c>
      <c r="D542" s="34" t="s">
        <v>2666</v>
      </c>
      <c r="E542" s="35" t="s">
        <v>2667</v>
      </c>
      <c r="F542" s="35"/>
      <c r="G542" s="34"/>
      <c r="H542" s="35"/>
      <c r="I542" s="35" t="s">
        <v>1038</v>
      </c>
      <c r="J542" s="35" t="s">
        <v>1006</v>
      </c>
      <c r="K542" s="35" t="s">
        <v>1007</v>
      </c>
      <c r="L542" s="35" t="s">
        <v>1034</v>
      </c>
      <c r="M542" s="35" t="s">
        <v>515</v>
      </c>
      <c r="N542" s="35" t="s">
        <v>968</v>
      </c>
      <c r="O542" s="36">
        <v>9</v>
      </c>
      <c r="P542" s="35" t="s">
        <v>37</v>
      </c>
      <c r="Q542" s="35"/>
      <c r="R542" s="35" t="s">
        <v>2668</v>
      </c>
    </row>
    <row r="543" spans="1:18">
      <c r="A543" s="32">
        <v>700</v>
      </c>
      <c r="B543" s="33">
        <v>45658</v>
      </c>
      <c r="C543" s="32">
        <v>2025</v>
      </c>
      <c r="D543" s="34" t="s">
        <v>2669</v>
      </c>
      <c r="E543" s="35" t="s">
        <v>2670</v>
      </c>
      <c r="F543" s="35"/>
      <c r="G543" s="34"/>
      <c r="H543" s="35"/>
      <c r="I543" s="35" t="s">
        <v>1038</v>
      </c>
      <c r="J543" s="35" t="s">
        <v>1006</v>
      </c>
      <c r="K543" s="35" t="s">
        <v>1007</v>
      </c>
      <c r="L543" s="35" t="s">
        <v>1086</v>
      </c>
      <c r="M543" s="35" t="s">
        <v>512</v>
      </c>
      <c r="N543" s="35" t="s">
        <v>968</v>
      </c>
      <c r="O543" s="36">
        <v>11</v>
      </c>
      <c r="P543" s="35" t="s">
        <v>37</v>
      </c>
      <c r="Q543" s="35"/>
      <c r="R543" s="35" t="s">
        <v>2671</v>
      </c>
    </row>
    <row r="544" spans="1:18" ht="24">
      <c r="A544" s="32">
        <v>695</v>
      </c>
      <c r="B544" s="33">
        <v>45658</v>
      </c>
      <c r="C544" s="32">
        <v>2025</v>
      </c>
      <c r="D544" s="34" t="s">
        <v>2672</v>
      </c>
      <c r="E544" s="35" t="s">
        <v>2673</v>
      </c>
      <c r="F544" s="35" t="s">
        <v>900</v>
      </c>
      <c r="G544" s="34"/>
      <c r="H544" s="35" t="s">
        <v>883</v>
      </c>
      <c r="I544" s="35" t="s">
        <v>965</v>
      </c>
      <c r="J544" s="35" t="s">
        <v>1291</v>
      </c>
      <c r="K544" s="35" t="s">
        <v>897</v>
      </c>
      <c r="L544" s="35" t="s">
        <v>1840</v>
      </c>
      <c r="M544" s="35" t="s">
        <v>512</v>
      </c>
      <c r="N544" s="35" t="s">
        <v>977</v>
      </c>
      <c r="O544" s="36">
        <v>22</v>
      </c>
      <c r="P544" s="35" t="s">
        <v>37</v>
      </c>
      <c r="Q544" s="35"/>
      <c r="R544" s="35" t="s">
        <v>2674</v>
      </c>
    </row>
    <row r="545" spans="1:18">
      <c r="A545" s="32">
        <v>718</v>
      </c>
      <c r="B545" s="33">
        <v>45657</v>
      </c>
      <c r="C545" s="32">
        <v>2024</v>
      </c>
      <c r="D545" s="34" t="s">
        <v>2675</v>
      </c>
      <c r="E545" s="35" t="s">
        <v>2676</v>
      </c>
      <c r="F545" s="35" t="s">
        <v>905</v>
      </c>
      <c r="G545" s="34" t="s">
        <v>2677</v>
      </c>
      <c r="H545" s="35" t="s">
        <v>895</v>
      </c>
      <c r="I545" s="35" t="s">
        <v>1317</v>
      </c>
      <c r="J545" s="35" t="s">
        <v>1291</v>
      </c>
      <c r="K545" s="35" t="s">
        <v>897</v>
      </c>
      <c r="L545" s="35" t="s">
        <v>1034</v>
      </c>
      <c r="M545" s="35" t="s">
        <v>515</v>
      </c>
      <c r="N545" s="35" t="s">
        <v>968</v>
      </c>
      <c r="O545" s="36">
        <v>19</v>
      </c>
      <c r="P545" s="35" t="s">
        <v>37</v>
      </c>
      <c r="Q545" s="35"/>
      <c r="R545" s="35" t="s">
        <v>2678</v>
      </c>
    </row>
    <row r="546" spans="1:18">
      <c r="A546" s="32">
        <v>696</v>
      </c>
      <c r="B546" s="33">
        <v>45657</v>
      </c>
      <c r="C546" s="32">
        <v>2024</v>
      </c>
      <c r="D546" s="34" t="s">
        <v>2679</v>
      </c>
      <c r="E546" s="35" t="s">
        <v>2680</v>
      </c>
      <c r="F546" s="35" t="s">
        <v>894</v>
      </c>
      <c r="G546" s="34"/>
      <c r="H546" s="35" t="s">
        <v>895</v>
      </c>
      <c r="I546" s="35" t="s">
        <v>965</v>
      </c>
      <c r="J546" s="35" t="s">
        <v>1110</v>
      </c>
      <c r="K546" s="35" t="s">
        <v>888</v>
      </c>
      <c r="L546" s="35" t="s">
        <v>1008</v>
      </c>
      <c r="M546" s="35" t="s">
        <v>526</v>
      </c>
      <c r="N546" s="35" t="s">
        <v>977</v>
      </c>
      <c r="O546" s="36">
        <v>16</v>
      </c>
      <c r="P546" s="35" t="s">
        <v>37</v>
      </c>
      <c r="Q546" s="35"/>
      <c r="R546" s="35" t="s">
        <v>2681</v>
      </c>
    </row>
    <row r="547" spans="1:18" ht="24">
      <c r="A547" s="32">
        <v>699</v>
      </c>
      <c r="B547" s="33">
        <v>45656</v>
      </c>
      <c r="C547" s="32">
        <v>2024</v>
      </c>
      <c r="D547" s="34" t="s">
        <v>2682</v>
      </c>
      <c r="E547" s="35" t="s">
        <v>2683</v>
      </c>
      <c r="F547" s="35"/>
      <c r="G547" s="34"/>
      <c r="H547" s="35"/>
      <c r="I547" s="35" t="s">
        <v>1038</v>
      </c>
      <c r="J547" s="35" t="s">
        <v>1006</v>
      </c>
      <c r="K547" s="35" t="s">
        <v>1007</v>
      </c>
      <c r="L547" s="35" t="s">
        <v>1408</v>
      </c>
      <c r="M547" s="35" t="s">
        <v>515</v>
      </c>
      <c r="N547" s="35" t="s">
        <v>977</v>
      </c>
      <c r="O547" s="36">
        <v>14</v>
      </c>
      <c r="P547" s="35" t="s">
        <v>37</v>
      </c>
      <c r="Q547" s="35"/>
      <c r="R547" s="35" t="s">
        <v>2684</v>
      </c>
    </row>
    <row r="548" spans="1:18" ht="24">
      <c r="A548" s="32">
        <v>698</v>
      </c>
      <c r="B548" s="33">
        <v>45656</v>
      </c>
      <c r="C548" s="32">
        <v>2024</v>
      </c>
      <c r="D548" s="34" t="s">
        <v>2685</v>
      </c>
      <c r="E548" s="35" t="s">
        <v>2686</v>
      </c>
      <c r="F548" s="35"/>
      <c r="G548" s="34"/>
      <c r="H548" s="35"/>
      <c r="I548" s="35" t="s">
        <v>1005</v>
      </c>
      <c r="J548" s="35" t="s">
        <v>1021</v>
      </c>
      <c r="K548" s="35" t="s">
        <v>888</v>
      </c>
      <c r="L548" s="35" t="s">
        <v>972</v>
      </c>
      <c r="M548" s="35" t="s">
        <v>512</v>
      </c>
      <c r="N548" s="35" t="s">
        <v>968</v>
      </c>
      <c r="O548" s="36">
        <v>29</v>
      </c>
      <c r="P548" s="35" t="s">
        <v>37</v>
      </c>
      <c r="Q548" s="35"/>
      <c r="R548" s="35" t="s">
        <v>2687</v>
      </c>
    </row>
    <row r="549" spans="1:18" ht="24">
      <c r="A549" s="32">
        <v>697</v>
      </c>
      <c r="B549" s="33">
        <v>45656</v>
      </c>
      <c r="C549" s="32">
        <v>2024</v>
      </c>
      <c r="D549" s="34" t="s">
        <v>2688</v>
      </c>
      <c r="E549" s="35" t="s">
        <v>2689</v>
      </c>
      <c r="F549" s="35"/>
      <c r="G549" s="34"/>
      <c r="H549" s="35"/>
      <c r="I549" s="35" t="s">
        <v>1038</v>
      </c>
      <c r="J549" s="35" t="s">
        <v>1006</v>
      </c>
      <c r="K549" s="35" t="s">
        <v>1007</v>
      </c>
      <c r="L549" s="35" t="s">
        <v>1119</v>
      </c>
      <c r="M549" s="35" t="s">
        <v>519</v>
      </c>
      <c r="N549" s="35" t="s">
        <v>968</v>
      </c>
      <c r="O549" s="36">
        <v>11</v>
      </c>
      <c r="P549" s="35" t="s">
        <v>37</v>
      </c>
      <c r="Q549" s="35"/>
      <c r="R549" s="35" t="s">
        <v>2690</v>
      </c>
    </row>
    <row r="550" spans="1:18" ht="24">
      <c r="A550" s="32">
        <v>694</v>
      </c>
      <c r="B550" s="33">
        <v>45655</v>
      </c>
      <c r="C550" s="32">
        <v>2024</v>
      </c>
      <c r="D550" s="34" t="s">
        <v>2691</v>
      </c>
      <c r="E550" s="35" t="s">
        <v>2692</v>
      </c>
      <c r="F550" s="35" t="s">
        <v>884</v>
      </c>
      <c r="G550" s="34"/>
      <c r="H550" s="35" t="s">
        <v>883</v>
      </c>
      <c r="I550" s="35" t="s">
        <v>965</v>
      </c>
      <c r="J550" s="35" t="s">
        <v>1110</v>
      </c>
      <c r="K550" s="35" t="s">
        <v>888</v>
      </c>
      <c r="L550" s="35" t="s">
        <v>1139</v>
      </c>
      <c r="M550" s="35" t="s">
        <v>519</v>
      </c>
      <c r="N550" s="35" t="s">
        <v>977</v>
      </c>
      <c r="O550" s="36">
        <v>12</v>
      </c>
      <c r="P550" s="35" t="s">
        <v>37</v>
      </c>
      <c r="Q550" s="35"/>
      <c r="R550" s="35" t="s">
        <v>2693</v>
      </c>
    </row>
    <row r="551" spans="1:18" ht="24">
      <c r="A551" s="32">
        <v>693</v>
      </c>
      <c r="B551" s="33">
        <v>45654</v>
      </c>
      <c r="C551" s="32">
        <v>2024</v>
      </c>
      <c r="D551" s="34" t="s">
        <v>2694</v>
      </c>
      <c r="E551" s="35" t="s">
        <v>2695</v>
      </c>
      <c r="F551" s="35" t="s">
        <v>882</v>
      </c>
      <c r="G551" s="34"/>
      <c r="H551" s="35" t="s">
        <v>883</v>
      </c>
      <c r="I551" s="35" t="s">
        <v>965</v>
      </c>
      <c r="J551" s="35" t="s">
        <v>1110</v>
      </c>
      <c r="K551" s="35" t="s">
        <v>888</v>
      </c>
      <c r="L551" s="35" t="s">
        <v>1008</v>
      </c>
      <c r="M551" s="35" t="s">
        <v>526</v>
      </c>
      <c r="N551" s="35" t="s">
        <v>977</v>
      </c>
      <c r="O551" s="36">
        <v>7</v>
      </c>
      <c r="P551" s="35" t="s">
        <v>37</v>
      </c>
      <c r="Q551" s="35"/>
      <c r="R551" s="35" t="s">
        <v>2696</v>
      </c>
    </row>
    <row r="552" spans="1:18">
      <c r="A552" s="32">
        <v>692</v>
      </c>
      <c r="B552" s="33">
        <v>45654</v>
      </c>
      <c r="C552" s="32">
        <v>2024</v>
      </c>
      <c r="D552" s="34" t="s">
        <v>2697</v>
      </c>
      <c r="E552" s="35" t="s">
        <v>2698</v>
      </c>
      <c r="F552" s="35" t="s">
        <v>896</v>
      </c>
      <c r="G552" s="34"/>
      <c r="H552" s="35" t="s">
        <v>883</v>
      </c>
      <c r="I552" s="35" t="s">
        <v>965</v>
      </c>
      <c r="J552" s="35" t="s">
        <v>1110</v>
      </c>
      <c r="K552" s="35" t="s">
        <v>888</v>
      </c>
      <c r="L552" s="35" t="s">
        <v>1840</v>
      </c>
      <c r="M552" s="35" t="s">
        <v>512</v>
      </c>
      <c r="N552" s="35" t="s">
        <v>977</v>
      </c>
      <c r="O552" s="36">
        <v>8</v>
      </c>
      <c r="P552" s="35" t="s">
        <v>37</v>
      </c>
      <c r="Q552" s="35"/>
      <c r="R552" s="35" t="s">
        <v>2699</v>
      </c>
    </row>
    <row r="553" spans="1:18" ht="24">
      <c r="A553" s="32">
        <v>691</v>
      </c>
      <c r="B553" s="33">
        <v>45654</v>
      </c>
      <c r="C553" s="32">
        <v>2024</v>
      </c>
      <c r="D553" s="34" t="s">
        <v>2700</v>
      </c>
      <c r="E553" s="35" t="s">
        <v>2701</v>
      </c>
      <c r="F553" s="35"/>
      <c r="G553" s="34"/>
      <c r="H553" s="35"/>
      <c r="I553" s="35" t="s">
        <v>1038</v>
      </c>
      <c r="J553" s="35" t="s">
        <v>1006</v>
      </c>
      <c r="K553" s="35" t="s">
        <v>1007</v>
      </c>
      <c r="L553" s="35" t="s">
        <v>1840</v>
      </c>
      <c r="M553" s="35" t="s">
        <v>512</v>
      </c>
      <c r="N553" s="35" t="s">
        <v>977</v>
      </c>
      <c r="O553" s="36">
        <v>17</v>
      </c>
      <c r="P553" s="35" t="s">
        <v>37</v>
      </c>
      <c r="Q553" s="35"/>
      <c r="R553" s="35" t="s">
        <v>2702</v>
      </c>
    </row>
    <row r="554" spans="1:18">
      <c r="A554" s="32">
        <v>690</v>
      </c>
      <c r="B554" s="33">
        <v>45654</v>
      </c>
      <c r="C554" s="32">
        <v>2024</v>
      </c>
      <c r="D554" s="34" t="s">
        <v>2703</v>
      </c>
      <c r="E554" s="35" t="s">
        <v>2704</v>
      </c>
      <c r="F554" s="35" t="s">
        <v>896</v>
      </c>
      <c r="G554" s="34"/>
      <c r="H554" s="35" t="s">
        <v>883</v>
      </c>
      <c r="I554" s="35" t="s">
        <v>965</v>
      </c>
      <c r="J554" s="35" t="s">
        <v>1110</v>
      </c>
      <c r="K554" s="35" t="s">
        <v>888</v>
      </c>
      <c r="L554" s="35" t="s">
        <v>1840</v>
      </c>
      <c r="M554" s="35" t="s">
        <v>512</v>
      </c>
      <c r="N554" s="35" t="s">
        <v>977</v>
      </c>
      <c r="O554" s="36">
        <v>13</v>
      </c>
      <c r="P554" s="35" t="s">
        <v>37</v>
      </c>
      <c r="Q554" s="35"/>
      <c r="R554" s="35" t="s">
        <v>2705</v>
      </c>
    </row>
    <row r="555" spans="1:18">
      <c r="A555" s="32">
        <v>689</v>
      </c>
      <c r="B555" s="33">
        <v>45654</v>
      </c>
      <c r="C555" s="32">
        <v>2024</v>
      </c>
      <c r="D555" s="34" t="s">
        <v>2706</v>
      </c>
      <c r="E555" s="35" t="s">
        <v>2707</v>
      </c>
      <c r="F555" s="35" t="s">
        <v>896</v>
      </c>
      <c r="G555" s="34"/>
      <c r="H555" s="35" t="s">
        <v>883</v>
      </c>
      <c r="I555" s="35" t="s">
        <v>965</v>
      </c>
      <c r="J555" s="35" t="s">
        <v>1110</v>
      </c>
      <c r="K555" s="35" t="s">
        <v>888</v>
      </c>
      <c r="L555" s="35" t="s">
        <v>1840</v>
      </c>
      <c r="M555" s="35" t="s">
        <v>512</v>
      </c>
      <c r="N555" s="35" t="s">
        <v>977</v>
      </c>
      <c r="O555" s="36">
        <v>24</v>
      </c>
      <c r="P555" s="35" t="s">
        <v>37</v>
      </c>
      <c r="Q555" s="35"/>
      <c r="R555" s="35" t="s">
        <v>2708</v>
      </c>
    </row>
    <row r="556" spans="1:18">
      <c r="A556" s="32">
        <v>1037</v>
      </c>
      <c r="B556" s="33">
        <v>45654</v>
      </c>
      <c r="C556" s="32">
        <v>2024</v>
      </c>
      <c r="D556" s="34" t="s">
        <v>2709</v>
      </c>
      <c r="E556" s="35" t="s">
        <v>2710</v>
      </c>
      <c r="F556" s="35" t="s">
        <v>878</v>
      </c>
      <c r="G556" s="34"/>
      <c r="H556" s="35" t="s">
        <v>879</v>
      </c>
      <c r="I556" s="35" t="s">
        <v>965</v>
      </c>
      <c r="J556" s="35" t="s">
        <v>1110</v>
      </c>
      <c r="K556" s="35" t="s">
        <v>888</v>
      </c>
      <c r="L556" s="35" t="s">
        <v>1840</v>
      </c>
      <c r="M556" s="35" t="s">
        <v>512</v>
      </c>
      <c r="N556" s="35" t="s">
        <v>977</v>
      </c>
      <c r="O556" s="36">
        <v>4</v>
      </c>
      <c r="P556" s="35" t="s">
        <v>382</v>
      </c>
      <c r="Q556" s="35"/>
      <c r="R556" s="35" t="s">
        <v>2711</v>
      </c>
    </row>
    <row r="557" spans="1:18" ht="24">
      <c r="A557" s="32">
        <v>1036</v>
      </c>
      <c r="B557" s="33">
        <v>45654</v>
      </c>
      <c r="C557" s="32">
        <v>2024</v>
      </c>
      <c r="D557" s="34" t="s">
        <v>2712</v>
      </c>
      <c r="E557" s="35" t="s">
        <v>2713</v>
      </c>
      <c r="F557" s="35" t="s">
        <v>878</v>
      </c>
      <c r="G557" s="34"/>
      <c r="H557" s="35" t="s">
        <v>879</v>
      </c>
      <c r="I557" s="35" t="s">
        <v>965</v>
      </c>
      <c r="J557" s="35" t="s">
        <v>1110</v>
      </c>
      <c r="K557" s="35" t="s">
        <v>888</v>
      </c>
      <c r="L557" s="35" t="s">
        <v>1008</v>
      </c>
      <c r="M557" s="35" t="s">
        <v>526</v>
      </c>
      <c r="N557" s="35" t="s">
        <v>977</v>
      </c>
      <c r="O557" s="36">
        <v>24</v>
      </c>
      <c r="P557" s="35" t="s">
        <v>382</v>
      </c>
      <c r="Q557" s="35"/>
      <c r="R557" s="35" t="s">
        <v>2714</v>
      </c>
    </row>
    <row r="558" spans="1:18">
      <c r="A558" s="32">
        <v>688</v>
      </c>
      <c r="B558" s="33">
        <v>45654</v>
      </c>
      <c r="C558" s="32">
        <v>2024</v>
      </c>
      <c r="D558" s="34" t="s">
        <v>2715</v>
      </c>
      <c r="E558" s="35" t="s">
        <v>2716</v>
      </c>
      <c r="F558" s="35"/>
      <c r="G558" s="34"/>
      <c r="H558" s="35"/>
      <c r="I558" s="35" t="s">
        <v>1484</v>
      </c>
      <c r="J558" s="35" t="s">
        <v>1485</v>
      </c>
      <c r="K558" s="35" t="s">
        <v>888</v>
      </c>
      <c r="L558" s="35" t="s">
        <v>1342</v>
      </c>
      <c r="M558" s="35" t="s">
        <v>515</v>
      </c>
      <c r="N558" s="35" t="s">
        <v>968</v>
      </c>
      <c r="O558" s="36">
        <v>10</v>
      </c>
      <c r="P558" s="35" t="s">
        <v>37</v>
      </c>
      <c r="Q558" s="35"/>
      <c r="R558" s="35" t="s">
        <v>2717</v>
      </c>
    </row>
    <row r="559" spans="1:18" ht="24">
      <c r="A559" s="32">
        <v>708</v>
      </c>
      <c r="B559" s="33">
        <v>45649</v>
      </c>
      <c r="C559" s="32">
        <v>2024</v>
      </c>
      <c r="D559" s="34" t="s">
        <v>2718</v>
      </c>
      <c r="E559" s="35" t="s">
        <v>2719</v>
      </c>
      <c r="F559" s="35"/>
      <c r="G559" s="34"/>
      <c r="H559" s="35"/>
      <c r="I559" s="35" t="s">
        <v>1005</v>
      </c>
      <c r="J559" s="35" t="s">
        <v>1021</v>
      </c>
      <c r="K559" s="35" t="s">
        <v>888</v>
      </c>
      <c r="L559" s="35" t="s">
        <v>976</v>
      </c>
      <c r="M559" s="35" t="s">
        <v>522</v>
      </c>
      <c r="N559" s="35" t="s">
        <v>977</v>
      </c>
      <c r="O559" s="36">
        <v>6</v>
      </c>
      <c r="P559" s="35" t="s">
        <v>37</v>
      </c>
      <c r="Q559" s="35"/>
      <c r="R559" s="35" t="s">
        <v>2720</v>
      </c>
    </row>
    <row r="560" spans="1:18" ht="24">
      <c r="A560" s="32">
        <v>683</v>
      </c>
      <c r="B560" s="33">
        <v>45647</v>
      </c>
      <c r="C560" s="32">
        <v>2024</v>
      </c>
      <c r="D560" s="34" t="s">
        <v>2721</v>
      </c>
      <c r="E560" s="35" t="s">
        <v>2722</v>
      </c>
      <c r="F560" s="35"/>
      <c r="G560" s="34"/>
      <c r="H560" s="35"/>
      <c r="I560" s="35" t="s">
        <v>1038</v>
      </c>
      <c r="J560" s="35" t="s">
        <v>1006</v>
      </c>
      <c r="K560" s="35" t="s">
        <v>1007</v>
      </c>
      <c r="L560" s="35" t="s">
        <v>1034</v>
      </c>
      <c r="M560" s="35" t="s">
        <v>515</v>
      </c>
      <c r="N560" s="35" t="s">
        <v>977</v>
      </c>
      <c r="O560" s="36">
        <v>24</v>
      </c>
      <c r="P560" s="35" t="s">
        <v>37</v>
      </c>
      <c r="Q560" s="35"/>
      <c r="R560" s="35" t="s">
        <v>2723</v>
      </c>
    </row>
    <row r="561" spans="1:18">
      <c r="A561" s="32">
        <v>1038</v>
      </c>
      <c r="B561" s="33">
        <v>45646</v>
      </c>
      <c r="C561" s="32">
        <v>2024</v>
      </c>
      <c r="D561" s="34" t="s">
        <v>2724</v>
      </c>
      <c r="E561" s="35" t="s">
        <v>2725</v>
      </c>
      <c r="F561" s="35" t="s">
        <v>878</v>
      </c>
      <c r="G561" s="34"/>
      <c r="H561" s="35" t="s">
        <v>879</v>
      </c>
      <c r="I561" s="35" t="s">
        <v>965</v>
      </c>
      <c r="J561" s="35" t="s">
        <v>1110</v>
      </c>
      <c r="K561" s="35" t="s">
        <v>888</v>
      </c>
      <c r="L561" s="35" t="s">
        <v>1127</v>
      </c>
      <c r="M561" s="35" t="s">
        <v>515</v>
      </c>
      <c r="N561" s="35" t="s">
        <v>977</v>
      </c>
      <c r="O561" s="36">
        <v>27</v>
      </c>
      <c r="P561" s="35" t="s">
        <v>382</v>
      </c>
      <c r="Q561" s="35"/>
      <c r="R561" s="35" t="s">
        <v>2726</v>
      </c>
    </row>
    <row r="562" spans="1:18" ht="24">
      <c r="A562" s="32">
        <v>682</v>
      </c>
      <c r="B562" s="33">
        <v>45646</v>
      </c>
      <c r="C562" s="32">
        <v>2024</v>
      </c>
      <c r="D562" s="34" t="s">
        <v>2727</v>
      </c>
      <c r="E562" s="35" t="s">
        <v>2728</v>
      </c>
      <c r="F562" s="35"/>
      <c r="G562" s="34"/>
      <c r="H562" s="35"/>
      <c r="I562" s="35" t="s">
        <v>1005</v>
      </c>
      <c r="J562" s="35" t="s">
        <v>1021</v>
      </c>
      <c r="K562" s="35" t="s">
        <v>888</v>
      </c>
      <c r="L562" s="35" t="s">
        <v>2729</v>
      </c>
      <c r="M562" s="35" t="s">
        <v>533</v>
      </c>
      <c r="N562" s="35" t="s">
        <v>968</v>
      </c>
      <c r="O562" s="36">
        <v>21</v>
      </c>
      <c r="P562" s="35" t="s">
        <v>37</v>
      </c>
      <c r="Q562" s="35"/>
      <c r="R562" s="35" t="s">
        <v>2730</v>
      </c>
    </row>
    <row r="563" spans="1:18" ht="36">
      <c r="A563" s="32">
        <v>680</v>
      </c>
      <c r="B563" s="33">
        <v>45644</v>
      </c>
      <c r="C563" s="32">
        <v>2024</v>
      </c>
      <c r="D563" s="34" t="s">
        <v>2731</v>
      </c>
      <c r="E563" s="35" t="s">
        <v>2732</v>
      </c>
      <c r="F563" s="35" t="s">
        <v>911</v>
      </c>
      <c r="G563" s="34"/>
      <c r="H563" s="35" t="s">
        <v>883</v>
      </c>
      <c r="I563" s="35" t="s">
        <v>965</v>
      </c>
      <c r="J563" s="35" t="s">
        <v>1110</v>
      </c>
      <c r="K563" s="35" t="s">
        <v>888</v>
      </c>
      <c r="L563" s="35" t="s">
        <v>1139</v>
      </c>
      <c r="M563" s="35" t="s">
        <v>519</v>
      </c>
      <c r="N563" s="35" t="s">
        <v>977</v>
      </c>
      <c r="O563" s="36">
        <v>18</v>
      </c>
      <c r="P563" s="35" t="s">
        <v>37</v>
      </c>
      <c r="Q563" s="35"/>
      <c r="R563" s="35" t="s">
        <v>2733</v>
      </c>
    </row>
    <row r="564" spans="1:18" ht="24">
      <c r="A564" s="32">
        <v>679</v>
      </c>
      <c r="B564" s="33">
        <v>45643</v>
      </c>
      <c r="C564" s="32">
        <v>2024</v>
      </c>
      <c r="D564" s="34" t="s">
        <v>2734</v>
      </c>
      <c r="E564" s="35" t="s">
        <v>2735</v>
      </c>
      <c r="F564" s="35" t="s">
        <v>885</v>
      </c>
      <c r="G564" s="34" t="s">
        <v>927</v>
      </c>
      <c r="H564" s="35" t="s">
        <v>886</v>
      </c>
      <c r="I564" s="35" t="s">
        <v>1317</v>
      </c>
      <c r="J564" s="35" t="s">
        <v>1291</v>
      </c>
      <c r="K564" s="35" t="s">
        <v>897</v>
      </c>
      <c r="L564" s="35" t="s">
        <v>1139</v>
      </c>
      <c r="M564" s="35" t="s">
        <v>519</v>
      </c>
      <c r="N564" s="35" t="s">
        <v>968</v>
      </c>
      <c r="O564" s="36">
        <v>2</v>
      </c>
      <c r="P564" s="35" t="s">
        <v>37</v>
      </c>
      <c r="Q564" s="35"/>
      <c r="R564" s="35" t="s">
        <v>2736</v>
      </c>
    </row>
    <row r="565" spans="1:18" ht="24">
      <c r="A565" s="32">
        <v>678</v>
      </c>
      <c r="B565" s="33">
        <v>45642</v>
      </c>
      <c r="C565" s="32">
        <v>2024</v>
      </c>
      <c r="D565" s="34" t="s">
        <v>2737</v>
      </c>
      <c r="E565" s="35" t="s">
        <v>2738</v>
      </c>
      <c r="F565" s="35"/>
      <c r="G565" s="34"/>
      <c r="H565" s="35"/>
      <c r="I565" s="35" t="s">
        <v>1005</v>
      </c>
      <c r="J565" s="35" t="s">
        <v>1021</v>
      </c>
      <c r="K565" s="35" t="s">
        <v>888</v>
      </c>
      <c r="L565" s="35" t="s">
        <v>1086</v>
      </c>
      <c r="M565" s="35" t="s">
        <v>512</v>
      </c>
      <c r="N565" s="35" t="s">
        <v>968</v>
      </c>
      <c r="O565" s="36">
        <v>16</v>
      </c>
      <c r="P565" s="35" t="s">
        <v>37</v>
      </c>
      <c r="Q565" s="35"/>
      <c r="R565" s="35" t="s">
        <v>2739</v>
      </c>
    </row>
    <row r="566" spans="1:18">
      <c r="A566" s="32">
        <v>681</v>
      </c>
      <c r="B566" s="33">
        <v>45642</v>
      </c>
      <c r="C566" s="32">
        <v>2024</v>
      </c>
      <c r="D566" s="34" t="s">
        <v>2740</v>
      </c>
      <c r="E566" s="35" t="s">
        <v>2741</v>
      </c>
      <c r="F566" s="35"/>
      <c r="G566" s="34"/>
      <c r="H566" s="35"/>
      <c r="I566" s="35" t="s">
        <v>1005</v>
      </c>
      <c r="J566" s="35" t="s">
        <v>1021</v>
      </c>
      <c r="K566" s="35" t="s">
        <v>888</v>
      </c>
      <c r="L566" s="35" t="s">
        <v>972</v>
      </c>
      <c r="M566" s="35" t="s">
        <v>512</v>
      </c>
      <c r="N566" s="35" t="s">
        <v>968</v>
      </c>
      <c r="O566" s="36">
        <v>41</v>
      </c>
      <c r="P566" s="35" t="s">
        <v>37</v>
      </c>
      <c r="Q566" s="35"/>
      <c r="R566" s="35" t="s">
        <v>2742</v>
      </c>
    </row>
    <row r="567" spans="1:18" ht="24">
      <c r="A567" s="32">
        <v>677</v>
      </c>
      <c r="B567" s="33">
        <v>45641</v>
      </c>
      <c r="C567" s="32">
        <v>2024</v>
      </c>
      <c r="D567" s="34" t="s">
        <v>2743</v>
      </c>
      <c r="E567" s="35" t="s">
        <v>2744</v>
      </c>
      <c r="F567" s="35" t="s">
        <v>885</v>
      </c>
      <c r="G567" s="34"/>
      <c r="H567" s="35" t="s">
        <v>886</v>
      </c>
      <c r="I567" s="35" t="s">
        <v>965</v>
      </c>
      <c r="J567" s="35" t="s">
        <v>1291</v>
      </c>
      <c r="K567" s="35" t="s">
        <v>897</v>
      </c>
      <c r="L567" s="35" t="s">
        <v>1086</v>
      </c>
      <c r="M567" s="35" t="s">
        <v>512</v>
      </c>
      <c r="N567" s="35" t="s">
        <v>977</v>
      </c>
      <c r="O567" s="36">
        <v>6</v>
      </c>
      <c r="P567" s="35" t="s">
        <v>37</v>
      </c>
      <c r="Q567" s="35"/>
      <c r="R567" s="35" t="s">
        <v>2745</v>
      </c>
    </row>
    <row r="568" spans="1:18" ht="24">
      <c r="A568" s="32">
        <v>676</v>
      </c>
      <c r="B568" s="33">
        <v>45641</v>
      </c>
      <c r="C568" s="32">
        <v>2024</v>
      </c>
      <c r="D568" s="34" t="s">
        <v>2746</v>
      </c>
      <c r="E568" s="35" t="s">
        <v>2747</v>
      </c>
      <c r="F568" s="35"/>
      <c r="G568" s="34"/>
      <c r="H568" s="35"/>
      <c r="I568" s="35" t="s">
        <v>1038</v>
      </c>
      <c r="J568" s="35" t="s">
        <v>1006</v>
      </c>
      <c r="K568" s="35" t="s">
        <v>1007</v>
      </c>
      <c r="L568" s="35" t="s">
        <v>1034</v>
      </c>
      <c r="M568" s="35" t="s">
        <v>515</v>
      </c>
      <c r="N568" s="35" t="s">
        <v>977</v>
      </c>
      <c r="O568" s="36">
        <v>12</v>
      </c>
      <c r="P568" s="35" t="s">
        <v>37</v>
      </c>
      <c r="Q568" s="35"/>
      <c r="R568" s="35" t="s">
        <v>2748</v>
      </c>
    </row>
    <row r="569" spans="1:18" ht="24">
      <c r="A569" s="32">
        <v>897</v>
      </c>
      <c r="B569" s="33">
        <v>45638</v>
      </c>
      <c r="C569" s="32">
        <v>2024</v>
      </c>
      <c r="D569" s="34" t="s">
        <v>2749</v>
      </c>
      <c r="E569" s="35" t="s">
        <v>2750</v>
      </c>
      <c r="F569" s="35" t="s">
        <v>878</v>
      </c>
      <c r="G569" s="34"/>
      <c r="H569" s="35" t="s">
        <v>879</v>
      </c>
      <c r="I569" s="35" t="s">
        <v>965</v>
      </c>
      <c r="J569" s="35" t="s">
        <v>1110</v>
      </c>
      <c r="K569" s="35" t="s">
        <v>888</v>
      </c>
      <c r="L569" s="35" t="s">
        <v>1840</v>
      </c>
      <c r="M569" s="35" t="s">
        <v>512</v>
      </c>
      <c r="N569" s="35" t="s">
        <v>968</v>
      </c>
      <c r="O569" s="36">
        <v>16</v>
      </c>
      <c r="P569" s="35" t="s">
        <v>371</v>
      </c>
      <c r="Q569" s="35"/>
      <c r="R569" s="35" t="s">
        <v>2751</v>
      </c>
    </row>
    <row r="570" spans="1:18" ht="24">
      <c r="A570" s="32">
        <v>675</v>
      </c>
      <c r="B570" s="33">
        <v>45636</v>
      </c>
      <c r="C570" s="32">
        <v>2024</v>
      </c>
      <c r="D570" s="34" t="s">
        <v>2752</v>
      </c>
      <c r="E570" s="35" t="s">
        <v>2753</v>
      </c>
      <c r="F570" s="35" t="s">
        <v>903</v>
      </c>
      <c r="G570" s="34"/>
      <c r="H570" s="35" t="s">
        <v>886</v>
      </c>
      <c r="I570" s="35" t="s">
        <v>965</v>
      </c>
      <c r="J570" s="35" t="s">
        <v>1291</v>
      </c>
      <c r="K570" s="35" t="s">
        <v>897</v>
      </c>
      <c r="L570" s="35" t="s">
        <v>1086</v>
      </c>
      <c r="M570" s="35" t="s">
        <v>512</v>
      </c>
      <c r="N570" s="35" t="s">
        <v>968</v>
      </c>
      <c r="O570" s="36">
        <v>18</v>
      </c>
      <c r="P570" s="35" t="s">
        <v>37</v>
      </c>
      <c r="Q570" s="35"/>
      <c r="R570" s="35" t="s">
        <v>2754</v>
      </c>
    </row>
    <row r="571" spans="1:18" ht="24">
      <c r="A571" s="32">
        <v>674</v>
      </c>
      <c r="B571" s="33">
        <v>45636</v>
      </c>
      <c r="C571" s="32">
        <v>2024</v>
      </c>
      <c r="D571" s="34" t="s">
        <v>2755</v>
      </c>
      <c r="E571" s="35" t="s">
        <v>2756</v>
      </c>
      <c r="F571" s="35"/>
      <c r="G571" s="34"/>
      <c r="H571" s="35"/>
      <c r="I571" s="35" t="s">
        <v>1005</v>
      </c>
      <c r="J571" s="35" t="s">
        <v>1021</v>
      </c>
      <c r="K571" s="35" t="s">
        <v>888</v>
      </c>
      <c r="L571" s="35" t="s">
        <v>2388</v>
      </c>
      <c r="M571" s="35" t="s">
        <v>515</v>
      </c>
      <c r="N571" s="35" t="s">
        <v>968</v>
      </c>
      <c r="O571" s="36">
        <v>26</v>
      </c>
      <c r="P571" s="35" t="s">
        <v>37</v>
      </c>
      <c r="Q571" s="35"/>
      <c r="R571" s="35" t="s">
        <v>2757</v>
      </c>
    </row>
    <row r="572" spans="1:18" ht="24">
      <c r="A572" s="32">
        <v>673</v>
      </c>
      <c r="B572" s="33">
        <v>45636</v>
      </c>
      <c r="C572" s="32">
        <v>2024</v>
      </c>
      <c r="D572" s="34" t="s">
        <v>2758</v>
      </c>
      <c r="E572" s="35" t="s">
        <v>2759</v>
      </c>
      <c r="F572" s="35"/>
      <c r="G572" s="34"/>
      <c r="H572" s="35"/>
      <c r="I572" s="35" t="s">
        <v>1005</v>
      </c>
      <c r="J572" s="35" t="s">
        <v>1021</v>
      </c>
      <c r="K572" s="35" t="s">
        <v>888</v>
      </c>
      <c r="L572" s="35" t="s">
        <v>972</v>
      </c>
      <c r="M572" s="35" t="s">
        <v>512</v>
      </c>
      <c r="N572" s="35" t="s">
        <v>968</v>
      </c>
      <c r="O572" s="36">
        <v>9</v>
      </c>
      <c r="P572" s="35" t="s">
        <v>37</v>
      </c>
      <c r="Q572" s="35"/>
      <c r="R572" s="35" t="s">
        <v>2760</v>
      </c>
    </row>
    <row r="573" spans="1:18" ht="24">
      <c r="A573" s="32">
        <v>672</v>
      </c>
      <c r="B573" s="33">
        <v>45634</v>
      </c>
      <c r="C573" s="32">
        <v>2024</v>
      </c>
      <c r="D573" s="34" t="s">
        <v>2761</v>
      </c>
      <c r="E573" s="35" t="s">
        <v>2762</v>
      </c>
      <c r="F573" s="35"/>
      <c r="G573" s="34"/>
      <c r="H573" s="35"/>
      <c r="I573" s="35" t="s">
        <v>1005</v>
      </c>
      <c r="J573" s="35" t="s">
        <v>1021</v>
      </c>
      <c r="K573" s="35" t="s">
        <v>888</v>
      </c>
      <c r="L573" s="35" t="s">
        <v>1086</v>
      </c>
      <c r="M573" s="35" t="s">
        <v>512</v>
      </c>
      <c r="N573" s="35" t="s">
        <v>968</v>
      </c>
      <c r="O573" s="36">
        <v>22</v>
      </c>
      <c r="P573" s="35" t="s">
        <v>37</v>
      </c>
      <c r="Q573" s="35"/>
      <c r="R573" s="35" t="s">
        <v>2763</v>
      </c>
    </row>
    <row r="574" spans="1:18" ht="24">
      <c r="A574" s="32">
        <v>670</v>
      </c>
      <c r="B574" s="33">
        <v>45634</v>
      </c>
      <c r="C574" s="32">
        <v>2024</v>
      </c>
      <c r="D574" s="34" t="s">
        <v>2764</v>
      </c>
      <c r="E574" s="35" t="s">
        <v>2765</v>
      </c>
      <c r="F574" s="35"/>
      <c r="G574" s="34"/>
      <c r="H574" s="35"/>
      <c r="I574" s="35" t="s">
        <v>1038</v>
      </c>
      <c r="J574" s="35" t="s">
        <v>1006</v>
      </c>
      <c r="K574" s="35" t="s">
        <v>1007</v>
      </c>
      <c r="L574" s="35" t="s">
        <v>1127</v>
      </c>
      <c r="M574" s="35" t="s">
        <v>515</v>
      </c>
      <c r="N574" s="35" t="s">
        <v>977</v>
      </c>
      <c r="O574" s="36">
        <v>16</v>
      </c>
      <c r="P574" s="35" t="s">
        <v>37</v>
      </c>
      <c r="Q574" s="35"/>
      <c r="R574" s="35" t="s">
        <v>2766</v>
      </c>
    </row>
    <row r="575" spans="1:18" ht="24">
      <c r="A575" s="32">
        <v>667</v>
      </c>
      <c r="B575" s="33">
        <v>45633</v>
      </c>
      <c r="C575" s="32">
        <v>2024</v>
      </c>
      <c r="D575" s="34" t="s">
        <v>2767</v>
      </c>
      <c r="E575" s="35" t="s">
        <v>2768</v>
      </c>
      <c r="F575" s="35" t="s">
        <v>891</v>
      </c>
      <c r="G575" s="34" t="s">
        <v>889</v>
      </c>
      <c r="H575" s="35" t="s">
        <v>883</v>
      </c>
      <c r="I575" s="35" t="s">
        <v>1317</v>
      </c>
      <c r="J575" s="35" t="s">
        <v>1291</v>
      </c>
      <c r="K575" s="35" t="s">
        <v>897</v>
      </c>
      <c r="L575" s="35" t="s">
        <v>1086</v>
      </c>
      <c r="M575" s="35" t="s">
        <v>512</v>
      </c>
      <c r="N575" s="35" t="s">
        <v>968</v>
      </c>
      <c r="O575" s="36">
        <v>22</v>
      </c>
      <c r="P575" s="35" t="s">
        <v>37</v>
      </c>
      <c r="Q575" s="35"/>
      <c r="R575" s="35" t="s">
        <v>2769</v>
      </c>
    </row>
    <row r="576" spans="1:18" ht="24">
      <c r="A576" s="32">
        <v>666</v>
      </c>
      <c r="B576" s="33">
        <v>45622</v>
      </c>
      <c r="C576" s="32">
        <v>2024</v>
      </c>
      <c r="D576" s="34" t="s">
        <v>2770</v>
      </c>
      <c r="E576" s="35" t="s">
        <v>2771</v>
      </c>
      <c r="F576" s="35"/>
      <c r="G576" s="34"/>
      <c r="H576" s="35"/>
      <c r="I576" s="35" t="s">
        <v>1005</v>
      </c>
      <c r="J576" s="35" t="s">
        <v>1021</v>
      </c>
      <c r="K576" s="35" t="s">
        <v>888</v>
      </c>
      <c r="L576" s="35" t="s">
        <v>1034</v>
      </c>
      <c r="M576" s="35" t="s">
        <v>515</v>
      </c>
      <c r="N576" s="35" t="s">
        <v>968</v>
      </c>
      <c r="O576" s="36">
        <v>10</v>
      </c>
      <c r="P576" s="35" t="s">
        <v>37</v>
      </c>
      <c r="Q576" s="35"/>
      <c r="R576" s="35" t="s">
        <v>2772</v>
      </c>
    </row>
    <row r="577" spans="1:18" ht="36">
      <c r="A577" s="32">
        <v>665</v>
      </c>
      <c r="B577" s="33">
        <v>45622</v>
      </c>
      <c r="C577" s="32">
        <v>2024</v>
      </c>
      <c r="D577" s="34" t="s">
        <v>2773</v>
      </c>
      <c r="E577" s="35" t="s">
        <v>2774</v>
      </c>
      <c r="F577" s="35" t="s">
        <v>924</v>
      </c>
      <c r="G577" s="34" t="s">
        <v>2775</v>
      </c>
      <c r="H577" s="35" t="s">
        <v>879</v>
      </c>
      <c r="I577" s="35" t="s">
        <v>1317</v>
      </c>
      <c r="J577" s="35" t="s">
        <v>1291</v>
      </c>
      <c r="K577" s="35" t="s">
        <v>897</v>
      </c>
      <c r="L577" s="35" t="s">
        <v>1127</v>
      </c>
      <c r="M577" s="35" t="s">
        <v>515</v>
      </c>
      <c r="N577" s="35" t="s">
        <v>968</v>
      </c>
      <c r="O577" s="36">
        <v>12</v>
      </c>
      <c r="P577" s="35" t="s">
        <v>37</v>
      </c>
      <c r="Q577" s="35"/>
      <c r="R577" s="35" t="s">
        <v>2776</v>
      </c>
    </row>
    <row r="578" spans="1:18" ht="24">
      <c r="A578" s="32">
        <v>664</v>
      </c>
      <c r="B578" s="33">
        <v>45621</v>
      </c>
      <c r="C578" s="32">
        <v>2024</v>
      </c>
      <c r="D578" s="34" t="s">
        <v>2777</v>
      </c>
      <c r="E578" s="35" t="s">
        <v>2778</v>
      </c>
      <c r="F578" s="35"/>
      <c r="G578" s="34"/>
      <c r="H578" s="35" t="s">
        <v>886</v>
      </c>
      <c r="I578" s="35" t="s">
        <v>1134</v>
      </c>
      <c r="J578" s="35" t="s">
        <v>1135</v>
      </c>
      <c r="K578" s="35" t="s">
        <v>888</v>
      </c>
      <c r="L578" s="35" t="s">
        <v>1139</v>
      </c>
      <c r="M578" s="35" t="s">
        <v>519</v>
      </c>
      <c r="N578" s="35" t="s">
        <v>977</v>
      </c>
      <c r="O578" s="36">
        <v>33</v>
      </c>
      <c r="P578" s="35" t="s">
        <v>37</v>
      </c>
      <c r="Q578" s="35"/>
      <c r="R578" s="35" t="s">
        <v>2779</v>
      </c>
    </row>
    <row r="579" spans="1:18" ht="24">
      <c r="A579" s="32">
        <v>663</v>
      </c>
      <c r="B579" s="33">
        <v>45621</v>
      </c>
      <c r="C579" s="32">
        <v>2024</v>
      </c>
      <c r="D579" s="34" t="s">
        <v>2780</v>
      </c>
      <c r="E579" s="35" t="s">
        <v>2781</v>
      </c>
      <c r="F579" s="35" t="s">
        <v>885</v>
      </c>
      <c r="G579" s="34"/>
      <c r="H579" s="35" t="s">
        <v>886</v>
      </c>
      <c r="I579" s="35" t="s">
        <v>965</v>
      </c>
      <c r="J579" s="35" t="s">
        <v>1110</v>
      </c>
      <c r="K579" s="35" t="s">
        <v>888</v>
      </c>
      <c r="L579" s="35" t="s">
        <v>976</v>
      </c>
      <c r="M579" s="35" t="s">
        <v>522</v>
      </c>
      <c r="N579" s="35" t="s">
        <v>977</v>
      </c>
      <c r="O579" s="36">
        <v>11</v>
      </c>
      <c r="P579" s="35" t="s">
        <v>37</v>
      </c>
      <c r="Q579" s="35"/>
      <c r="R579" s="35" t="s">
        <v>2782</v>
      </c>
    </row>
    <row r="580" spans="1:18" ht="24">
      <c r="A580" s="32">
        <v>662</v>
      </c>
      <c r="B580" s="33">
        <v>45621</v>
      </c>
      <c r="C580" s="32">
        <v>2024</v>
      </c>
      <c r="D580" s="34" t="s">
        <v>2783</v>
      </c>
      <c r="E580" s="35" t="s">
        <v>2784</v>
      </c>
      <c r="F580" s="35"/>
      <c r="G580" s="34"/>
      <c r="H580" s="35"/>
      <c r="I580" s="35" t="s">
        <v>1038</v>
      </c>
      <c r="J580" s="35" t="s">
        <v>1006</v>
      </c>
      <c r="K580" s="35" t="s">
        <v>1007</v>
      </c>
      <c r="L580" s="35" t="s">
        <v>972</v>
      </c>
      <c r="M580" s="35" t="s">
        <v>512</v>
      </c>
      <c r="N580" s="35" t="s">
        <v>977</v>
      </c>
      <c r="O580" s="36">
        <v>49</v>
      </c>
      <c r="P580" s="35" t="s">
        <v>37</v>
      </c>
      <c r="Q580" s="35"/>
      <c r="R580" s="35" t="s">
        <v>2785</v>
      </c>
    </row>
    <row r="581" spans="1:18" ht="24">
      <c r="A581" s="32">
        <v>661</v>
      </c>
      <c r="B581" s="33">
        <v>45621</v>
      </c>
      <c r="C581" s="32">
        <v>2024</v>
      </c>
      <c r="D581" s="34" t="s">
        <v>2786</v>
      </c>
      <c r="E581" s="35" t="s">
        <v>2787</v>
      </c>
      <c r="F581" s="35" t="s">
        <v>882</v>
      </c>
      <c r="G581" s="34"/>
      <c r="H581" s="35" t="s">
        <v>883</v>
      </c>
      <c r="I581" s="35" t="s">
        <v>965</v>
      </c>
      <c r="J581" s="35" t="s">
        <v>1110</v>
      </c>
      <c r="K581" s="35" t="s">
        <v>888</v>
      </c>
      <c r="L581" s="35" t="s">
        <v>2015</v>
      </c>
      <c r="M581" s="35" t="s">
        <v>519</v>
      </c>
      <c r="N581" s="35" t="s">
        <v>977</v>
      </c>
      <c r="O581" s="36">
        <v>4</v>
      </c>
      <c r="P581" s="35" t="s">
        <v>37</v>
      </c>
      <c r="Q581" s="35"/>
      <c r="R581" s="35" t="s">
        <v>2788</v>
      </c>
    </row>
    <row r="582" spans="1:18">
      <c r="A582" s="32">
        <v>660</v>
      </c>
      <c r="B582" s="33">
        <v>45619</v>
      </c>
      <c r="C582" s="32">
        <v>2024</v>
      </c>
      <c r="D582" s="34" t="s">
        <v>2789</v>
      </c>
      <c r="E582" s="35" t="s">
        <v>2790</v>
      </c>
      <c r="F582" s="35" t="s">
        <v>878</v>
      </c>
      <c r="G582" s="34"/>
      <c r="H582" s="35" t="s">
        <v>879</v>
      </c>
      <c r="I582" s="35" t="s">
        <v>965</v>
      </c>
      <c r="J582" s="35" t="s">
        <v>1110</v>
      </c>
      <c r="K582" s="35" t="s">
        <v>888</v>
      </c>
      <c r="L582" s="35" t="s">
        <v>1127</v>
      </c>
      <c r="M582" s="35" t="s">
        <v>515</v>
      </c>
      <c r="N582" s="35" t="s">
        <v>977</v>
      </c>
      <c r="O582" s="36">
        <v>10</v>
      </c>
      <c r="P582" s="35" t="s">
        <v>37</v>
      </c>
      <c r="Q582" s="35"/>
      <c r="R582" s="35" t="s">
        <v>2791</v>
      </c>
    </row>
    <row r="583" spans="1:18">
      <c r="A583" s="32">
        <v>659</v>
      </c>
      <c r="B583" s="33">
        <v>45615</v>
      </c>
      <c r="C583" s="32">
        <v>2024</v>
      </c>
      <c r="D583" s="34" t="s">
        <v>2792</v>
      </c>
      <c r="E583" s="35" t="s">
        <v>2793</v>
      </c>
      <c r="F583" s="35"/>
      <c r="G583" s="34"/>
      <c r="H583" s="35"/>
      <c r="I583" s="35" t="s">
        <v>1038</v>
      </c>
      <c r="J583" s="35" t="s">
        <v>1006</v>
      </c>
      <c r="K583" s="35" t="s">
        <v>1007</v>
      </c>
      <c r="L583" s="35" t="s">
        <v>1127</v>
      </c>
      <c r="M583" s="35" t="s">
        <v>515</v>
      </c>
      <c r="N583" s="35" t="s">
        <v>968</v>
      </c>
      <c r="O583" s="36">
        <v>10</v>
      </c>
      <c r="P583" s="35" t="s">
        <v>37</v>
      </c>
      <c r="Q583" s="35"/>
      <c r="R583" s="35" t="s">
        <v>2794</v>
      </c>
    </row>
    <row r="584" spans="1:18">
      <c r="A584" s="32">
        <v>657</v>
      </c>
      <c r="B584" s="33">
        <v>45610</v>
      </c>
      <c r="C584" s="32">
        <v>2024</v>
      </c>
      <c r="D584" s="34" t="s">
        <v>2795</v>
      </c>
      <c r="E584" s="35" t="s">
        <v>2796</v>
      </c>
      <c r="F584" s="35" t="s">
        <v>894</v>
      </c>
      <c r="G584" s="34"/>
      <c r="H584" s="35" t="s">
        <v>895</v>
      </c>
      <c r="I584" s="35" t="s">
        <v>965</v>
      </c>
      <c r="J584" s="35" t="s">
        <v>1110</v>
      </c>
      <c r="K584" s="35" t="s">
        <v>888</v>
      </c>
      <c r="L584" s="35" t="s">
        <v>2388</v>
      </c>
      <c r="M584" s="35" t="s">
        <v>515</v>
      </c>
      <c r="N584" s="35" t="s">
        <v>977</v>
      </c>
      <c r="O584" s="36">
        <v>23</v>
      </c>
      <c r="P584" s="35" t="s">
        <v>37</v>
      </c>
      <c r="Q584" s="35"/>
      <c r="R584" s="35" t="s">
        <v>2797</v>
      </c>
    </row>
    <row r="585" spans="1:18" ht="24">
      <c r="A585" s="32">
        <v>1035</v>
      </c>
      <c r="B585" s="33">
        <v>45608</v>
      </c>
      <c r="C585" s="32">
        <v>2024</v>
      </c>
      <c r="D585" s="34" t="s">
        <v>2798</v>
      </c>
      <c r="E585" s="35" t="s">
        <v>2799</v>
      </c>
      <c r="F585" s="35" t="s">
        <v>878</v>
      </c>
      <c r="G585" s="34"/>
      <c r="H585" s="35" t="s">
        <v>879</v>
      </c>
      <c r="I585" s="35" t="s">
        <v>965</v>
      </c>
      <c r="J585" s="35" t="s">
        <v>1110</v>
      </c>
      <c r="K585" s="35" t="s">
        <v>888</v>
      </c>
      <c r="L585" s="35" t="s">
        <v>1150</v>
      </c>
      <c r="M585" s="35" t="s">
        <v>515</v>
      </c>
      <c r="N585" s="35" t="s">
        <v>977</v>
      </c>
      <c r="O585" s="36">
        <v>4</v>
      </c>
      <c r="P585" s="35" t="s">
        <v>382</v>
      </c>
      <c r="Q585" s="35"/>
      <c r="R585" s="35" t="s">
        <v>2800</v>
      </c>
    </row>
    <row r="586" spans="1:18" ht="24">
      <c r="A586" s="32">
        <v>1034</v>
      </c>
      <c r="B586" s="33">
        <v>45608</v>
      </c>
      <c r="C586" s="32">
        <v>2024</v>
      </c>
      <c r="D586" s="34" t="s">
        <v>2801</v>
      </c>
      <c r="E586" s="35" t="s">
        <v>2802</v>
      </c>
      <c r="F586" s="35" t="s">
        <v>878</v>
      </c>
      <c r="G586" s="34"/>
      <c r="H586" s="35" t="s">
        <v>879</v>
      </c>
      <c r="I586" s="35" t="s">
        <v>965</v>
      </c>
      <c r="J586" s="35" t="s">
        <v>1110</v>
      </c>
      <c r="K586" s="35" t="s">
        <v>888</v>
      </c>
      <c r="L586" s="35" t="s">
        <v>1840</v>
      </c>
      <c r="M586" s="35" t="s">
        <v>512</v>
      </c>
      <c r="N586" s="35" t="s">
        <v>968</v>
      </c>
      <c r="O586" s="36">
        <v>2</v>
      </c>
      <c r="P586" s="35" t="s">
        <v>382</v>
      </c>
      <c r="Q586" s="35"/>
      <c r="R586" s="35" t="s">
        <v>2803</v>
      </c>
    </row>
    <row r="587" spans="1:18" ht="24">
      <c r="A587" s="32">
        <v>1033</v>
      </c>
      <c r="B587" s="33">
        <v>45608</v>
      </c>
      <c r="C587" s="32">
        <v>2024</v>
      </c>
      <c r="D587" s="34" t="s">
        <v>2804</v>
      </c>
      <c r="E587" s="35" t="s">
        <v>2805</v>
      </c>
      <c r="F587" s="35" t="s">
        <v>878</v>
      </c>
      <c r="G587" s="34"/>
      <c r="H587" s="35" t="s">
        <v>879</v>
      </c>
      <c r="I587" s="35" t="s">
        <v>965</v>
      </c>
      <c r="J587" s="35" t="s">
        <v>1110</v>
      </c>
      <c r="K587" s="35" t="s">
        <v>888</v>
      </c>
      <c r="L587" s="35" t="s">
        <v>1840</v>
      </c>
      <c r="M587" s="35" t="s">
        <v>512</v>
      </c>
      <c r="N587" s="35" t="s">
        <v>977</v>
      </c>
      <c r="O587" s="36">
        <v>4</v>
      </c>
      <c r="P587" s="35" t="s">
        <v>382</v>
      </c>
      <c r="Q587" s="35"/>
      <c r="R587" s="35" t="s">
        <v>2806</v>
      </c>
    </row>
    <row r="588" spans="1:18">
      <c r="A588" s="32">
        <v>1032</v>
      </c>
      <c r="B588" s="33">
        <v>45608</v>
      </c>
      <c r="C588" s="32">
        <v>2024</v>
      </c>
      <c r="D588" s="34" t="s">
        <v>2807</v>
      </c>
      <c r="E588" s="35" t="s">
        <v>2808</v>
      </c>
      <c r="F588" s="35" t="s">
        <v>878</v>
      </c>
      <c r="G588" s="34"/>
      <c r="H588" s="35" t="s">
        <v>879</v>
      </c>
      <c r="I588" s="35" t="s">
        <v>965</v>
      </c>
      <c r="J588" s="35" t="s">
        <v>1110</v>
      </c>
      <c r="K588" s="35" t="s">
        <v>888</v>
      </c>
      <c r="L588" s="35" t="s">
        <v>1840</v>
      </c>
      <c r="M588" s="35" t="s">
        <v>512</v>
      </c>
      <c r="N588" s="35" t="s">
        <v>977</v>
      </c>
      <c r="O588" s="36">
        <v>11</v>
      </c>
      <c r="P588" s="35" t="s">
        <v>382</v>
      </c>
      <c r="Q588" s="35"/>
      <c r="R588" s="35" t="s">
        <v>2809</v>
      </c>
    </row>
    <row r="589" spans="1:18">
      <c r="A589" s="32">
        <v>1022</v>
      </c>
      <c r="B589" s="33">
        <v>45608</v>
      </c>
      <c r="C589" s="32">
        <v>2024</v>
      </c>
      <c r="D589" s="34" t="s">
        <v>2810</v>
      </c>
      <c r="E589" s="35" t="s">
        <v>2811</v>
      </c>
      <c r="F589" s="35" t="s">
        <v>878</v>
      </c>
      <c r="G589" s="34"/>
      <c r="H589" s="35" t="s">
        <v>879</v>
      </c>
      <c r="I589" s="35" t="s">
        <v>965</v>
      </c>
      <c r="J589" s="35" t="s">
        <v>1110</v>
      </c>
      <c r="K589" s="35" t="s">
        <v>888</v>
      </c>
      <c r="L589" s="35" t="s">
        <v>1150</v>
      </c>
      <c r="M589" s="35" t="s">
        <v>515</v>
      </c>
      <c r="N589" s="35" t="s">
        <v>977</v>
      </c>
      <c r="O589" s="36">
        <v>7</v>
      </c>
      <c r="P589" s="35" t="s">
        <v>382</v>
      </c>
      <c r="Q589" s="35"/>
      <c r="R589" s="35" t="s">
        <v>2812</v>
      </c>
    </row>
    <row r="590" spans="1:18" ht="36">
      <c r="A590" s="32">
        <v>652</v>
      </c>
      <c r="B590" s="33">
        <v>45607</v>
      </c>
      <c r="C590" s="32">
        <v>2024</v>
      </c>
      <c r="D590" s="34" t="s">
        <v>2813</v>
      </c>
      <c r="E590" s="35" t="s">
        <v>2814</v>
      </c>
      <c r="F590" s="35" t="s">
        <v>891</v>
      </c>
      <c r="G590" s="34"/>
      <c r="H590" s="35" t="s">
        <v>883</v>
      </c>
      <c r="I590" s="35" t="s">
        <v>965</v>
      </c>
      <c r="J590" s="35" t="s">
        <v>1110</v>
      </c>
      <c r="K590" s="35" t="s">
        <v>888</v>
      </c>
      <c r="L590" s="35" t="s">
        <v>1086</v>
      </c>
      <c r="M590" s="35" t="s">
        <v>512</v>
      </c>
      <c r="N590" s="35" t="s">
        <v>968</v>
      </c>
      <c r="O590" s="36">
        <v>11</v>
      </c>
      <c r="P590" s="35" t="s">
        <v>37</v>
      </c>
      <c r="Q590" s="35"/>
      <c r="R590" s="35" t="s">
        <v>2815</v>
      </c>
    </row>
    <row r="591" spans="1:18" ht="24">
      <c r="A591" s="32">
        <v>716</v>
      </c>
      <c r="B591" s="33">
        <v>45607</v>
      </c>
      <c r="C591" s="32">
        <v>2024</v>
      </c>
      <c r="D591" s="34" t="s">
        <v>2816</v>
      </c>
      <c r="E591" s="35" t="s">
        <v>2817</v>
      </c>
      <c r="F591" s="35" t="s">
        <v>882</v>
      </c>
      <c r="G591" s="34"/>
      <c r="H591" s="35" t="s">
        <v>883</v>
      </c>
      <c r="I591" s="35" t="s">
        <v>965</v>
      </c>
      <c r="J591" s="35" t="s">
        <v>1110</v>
      </c>
      <c r="K591" s="35" t="s">
        <v>888</v>
      </c>
      <c r="L591" s="35" t="s">
        <v>976</v>
      </c>
      <c r="M591" s="35" t="s">
        <v>522</v>
      </c>
      <c r="N591" s="35" t="s">
        <v>977</v>
      </c>
      <c r="O591" s="36">
        <v>10</v>
      </c>
      <c r="P591" s="35" t="s">
        <v>37</v>
      </c>
      <c r="Q591" s="35"/>
      <c r="R591" s="35" t="s">
        <v>2818</v>
      </c>
    </row>
    <row r="592" spans="1:18" ht="24">
      <c r="A592" s="32">
        <v>648</v>
      </c>
      <c r="B592" s="33">
        <v>45600</v>
      </c>
      <c r="C592" s="32">
        <v>2024</v>
      </c>
      <c r="D592" s="34" t="s">
        <v>2819</v>
      </c>
      <c r="E592" s="35" t="s">
        <v>2820</v>
      </c>
      <c r="F592" s="35"/>
      <c r="G592" s="34"/>
      <c r="H592" s="35"/>
      <c r="I592" s="35" t="s">
        <v>1038</v>
      </c>
      <c r="J592" s="35" t="s">
        <v>1006</v>
      </c>
      <c r="K592" s="35" t="s">
        <v>1007</v>
      </c>
      <c r="L592" s="35" t="s">
        <v>1342</v>
      </c>
      <c r="M592" s="35" t="s">
        <v>515</v>
      </c>
      <c r="N592" s="35" t="s">
        <v>977</v>
      </c>
      <c r="O592" s="36">
        <v>18</v>
      </c>
      <c r="P592" s="35" t="s">
        <v>37</v>
      </c>
      <c r="Q592" s="35"/>
      <c r="R592" s="35" t="s">
        <v>2821</v>
      </c>
    </row>
    <row r="593" spans="1:18">
      <c r="A593" s="32">
        <v>647</v>
      </c>
      <c r="B593" s="33">
        <v>45600</v>
      </c>
      <c r="C593" s="32">
        <v>2024</v>
      </c>
      <c r="D593" s="34" t="s">
        <v>2822</v>
      </c>
      <c r="E593" s="35" t="s">
        <v>2823</v>
      </c>
      <c r="F593" s="35" t="s">
        <v>893</v>
      </c>
      <c r="G593" s="34" t="s">
        <v>903</v>
      </c>
      <c r="H593" s="35" t="s">
        <v>879</v>
      </c>
      <c r="I593" s="35" t="s">
        <v>1317</v>
      </c>
      <c r="J593" s="35" t="s">
        <v>1110</v>
      </c>
      <c r="K593" s="35" t="s">
        <v>888</v>
      </c>
      <c r="L593" s="35" t="s">
        <v>2388</v>
      </c>
      <c r="M593" s="35" t="s">
        <v>515</v>
      </c>
      <c r="N593" s="35" t="s">
        <v>977</v>
      </c>
      <c r="O593" s="36">
        <v>13</v>
      </c>
      <c r="P593" s="35" t="s">
        <v>37</v>
      </c>
      <c r="Q593" s="35"/>
      <c r="R593" s="35" t="s">
        <v>2824</v>
      </c>
    </row>
    <row r="594" spans="1:18" ht="24">
      <c r="A594" s="32">
        <v>645</v>
      </c>
      <c r="B594" s="33">
        <v>45599</v>
      </c>
      <c r="C594" s="32">
        <v>2024</v>
      </c>
      <c r="D594" s="34" t="s">
        <v>2825</v>
      </c>
      <c r="E594" s="35" t="s">
        <v>2826</v>
      </c>
      <c r="F594" s="35"/>
      <c r="G594" s="34"/>
      <c r="H594" s="35"/>
      <c r="I594" s="35" t="s">
        <v>1005</v>
      </c>
      <c r="J594" s="35" t="s">
        <v>1021</v>
      </c>
      <c r="K594" s="35" t="s">
        <v>888</v>
      </c>
      <c r="L594" s="35" t="s">
        <v>1034</v>
      </c>
      <c r="M594" s="35" t="s">
        <v>515</v>
      </c>
      <c r="N594" s="35" t="s">
        <v>968</v>
      </c>
      <c r="O594" s="36">
        <v>8</v>
      </c>
      <c r="P594" s="35" t="s">
        <v>37</v>
      </c>
      <c r="Q594" s="35"/>
      <c r="R594" s="35" t="s">
        <v>2827</v>
      </c>
    </row>
    <row r="595" spans="1:18" ht="24">
      <c r="A595" s="32">
        <v>643</v>
      </c>
      <c r="B595" s="33">
        <v>45599</v>
      </c>
      <c r="C595" s="32">
        <v>2024</v>
      </c>
      <c r="D595" s="34" t="s">
        <v>2828</v>
      </c>
      <c r="E595" s="35" t="s">
        <v>2829</v>
      </c>
      <c r="F595" s="35"/>
      <c r="G595" s="34"/>
      <c r="H595" s="35"/>
      <c r="I595" s="35" t="s">
        <v>1038</v>
      </c>
      <c r="J595" s="35" t="s">
        <v>1006</v>
      </c>
      <c r="K595" s="35" t="s">
        <v>1007</v>
      </c>
      <c r="L595" s="35" t="s">
        <v>1086</v>
      </c>
      <c r="M595" s="35" t="s">
        <v>512</v>
      </c>
      <c r="N595" s="35" t="s">
        <v>977</v>
      </c>
      <c r="O595" s="36">
        <v>29</v>
      </c>
      <c r="P595" s="35" t="s">
        <v>37</v>
      </c>
      <c r="Q595" s="35"/>
      <c r="R595" s="35" t="s">
        <v>2830</v>
      </c>
    </row>
    <row r="596" spans="1:18">
      <c r="A596" s="32">
        <v>642</v>
      </c>
      <c r="B596" s="33">
        <v>45599</v>
      </c>
      <c r="C596" s="32">
        <v>2024</v>
      </c>
      <c r="D596" s="34" t="s">
        <v>2831</v>
      </c>
      <c r="E596" s="35" t="s">
        <v>2832</v>
      </c>
      <c r="F596" s="35"/>
      <c r="G596" s="34"/>
      <c r="H596" s="35"/>
      <c r="I596" s="35" t="s">
        <v>1038</v>
      </c>
      <c r="J596" s="35" t="s">
        <v>1006</v>
      </c>
      <c r="K596" s="35" t="s">
        <v>1007</v>
      </c>
      <c r="L596" s="35" t="s">
        <v>1034</v>
      </c>
      <c r="M596" s="35" t="s">
        <v>515</v>
      </c>
      <c r="N596" s="35" t="s">
        <v>977</v>
      </c>
      <c r="O596" s="36">
        <v>31</v>
      </c>
      <c r="P596" s="35" t="s">
        <v>37</v>
      </c>
      <c r="Q596" s="35"/>
      <c r="R596" s="35" t="s">
        <v>2833</v>
      </c>
    </row>
    <row r="597" spans="1:18" ht="24">
      <c r="A597" s="32">
        <v>641</v>
      </c>
      <c r="B597" s="33">
        <v>45599</v>
      </c>
      <c r="C597" s="32">
        <v>2024</v>
      </c>
      <c r="D597" s="34" t="s">
        <v>2834</v>
      </c>
      <c r="E597" s="35" t="s">
        <v>2835</v>
      </c>
      <c r="F597" s="35"/>
      <c r="G597" s="34"/>
      <c r="H597" s="35"/>
      <c r="I597" s="35" t="s">
        <v>1038</v>
      </c>
      <c r="J597" s="35" t="s">
        <v>1006</v>
      </c>
      <c r="K597" s="35" t="s">
        <v>1007</v>
      </c>
      <c r="L597" s="35" t="s">
        <v>972</v>
      </c>
      <c r="M597" s="35" t="s">
        <v>512</v>
      </c>
      <c r="N597" s="35" t="s">
        <v>977</v>
      </c>
      <c r="O597" s="36">
        <v>37</v>
      </c>
      <c r="P597" s="35" t="s">
        <v>37</v>
      </c>
      <c r="Q597" s="35"/>
      <c r="R597" s="35" t="s">
        <v>2836</v>
      </c>
    </row>
    <row r="598" spans="1:18" ht="24">
      <c r="A598" s="32">
        <v>704</v>
      </c>
      <c r="B598" s="33">
        <v>45598</v>
      </c>
      <c r="C598" s="32">
        <v>2024</v>
      </c>
      <c r="D598" s="34" t="s">
        <v>2837</v>
      </c>
      <c r="E598" s="35" t="s">
        <v>2838</v>
      </c>
      <c r="F598" s="35" t="s">
        <v>884</v>
      </c>
      <c r="G598" s="34"/>
      <c r="H598" s="35" t="s">
        <v>883</v>
      </c>
      <c r="I598" s="35" t="s">
        <v>965</v>
      </c>
      <c r="J598" s="35" t="s">
        <v>1110</v>
      </c>
      <c r="K598" s="35" t="s">
        <v>888</v>
      </c>
      <c r="L598" s="35" t="s">
        <v>972</v>
      </c>
      <c r="M598" s="35" t="s">
        <v>530</v>
      </c>
      <c r="N598" s="35" t="s">
        <v>977</v>
      </c>
      <c r="O598" s="36">
        <v>10</v>
      </c>
      <c r="P598" s="35" t="s">
        <v>37</v>
      </c>
      <c r="Q598" s="35"/>
      <c r="R598" s="35" t="s">
        <v>2839</v>
      </c>
    </row>
    <row r="599" spans="1:18">
      <c r="A599" s="32">
        <v>640</v>
      </c>
      <c r="B599" s="33">
        <v>45595</v>
      </c>
      <c r="C599" s="32">
        <v>2024</v>
      </c>
      <c r="D599" s="34" t="s">
        <v>2840</v>
      </c>
      <c r="E599" s="35" t="s">
        <v>2841</v>
      </c>
      <c r="F599" s="35" t="s">
        <v>904</v>
      </c>
      <c r="G599" s="34" t="s">
        <v>2842</v>
      </c>
      <c r="H599" s="35" t="s">
        <v>886</v>
      </c>
      <c r="I599" s="35" t="s">
        <v>1317</v>
      </c>
      <c r="J599" s="35" t="s">
        <v>1291</v>
      </c>
      <c r="K599" s="35" t="s">
        <v>897</v>
      </c>
      <c r="L599" s="35" t="s">
        <v>1086</v>
      </c>
      <c r="M599" s="35" t="s">
        <v>512</v>
      </c>
      <c r="N599" s="35" t="s">
        <v>977</v>
      </c>
      <c r="O599" s="36">
        <v>21</v>
      </c>
      <c r="P599" s="35" t="s">
        <v>37</v>
      </c>
      <c r="Q599" s="35"/>
      <c r="R599" s="35" t="s">
        <v>2843</v>
      </c>
    </row>
    <row r="600" spans="1:18" ht="24">
      <c r="A600" s="32">
        <v>639</v>
      </c>
      <c r="B600" s="33">
        <v>45590</v>
      </c>
      <c r="C600" s="32">
        <v>2024</v>
      </c>
      <c r="D600" s="34" t="s">
        <v>2844</v>
      </c>
      <c r="E600" s="35" t="s">
        <v>2845</v>
      </c>
      <c r="F600" s="35" t="s">
        <v>892</v>
      </c>
      <c r="G600" s="34"/>
      <c r="H600" s="35" t="s">
        <v>879</v>
      </c>
      <c r="I600" s="35" t="s">
        <v>965</v>
      </c>
      <c r="J600" s="35" t="s">
        <v>1110</v>
      </c>
      <c r="K600" s="35" t="s">
        <v>888</v>
      </c>
      <c r="L600" s="35" t="s">
        <v>1086</v>
      </c>
      <c r="M600" s="35" t="s">
        <v>512</v>
      </c>
      <c r="N600" s="35" t="s">
        <v>977</v>
      </c>
      <c r="O600" s="36">
        <v>29</v>
      </c>
      <c r="P600" s="35" t="s">
        <v>37</v>
      </c>
      <c r="Q600" s="35"/>
      <c r="R600" s="35" t="s">
        <v>2846</v>
      </c>
    </row>
    <row r="601" spans="1:18" ht="24">
      <c r="A601" s="32">
        <v>638</v>
      </c>
      <c r="B601" s="33">
        <v>45590</v>
      </c>
      <c r="C601" s="32">
        <v>2024</v>
      </c>
      <c r="D601" s="34" t="s">
        <v>2847</v>
      </c>
      <c r="E601" s="35" t="s">
        <v>2848</v>
      </c>
      <c r="F601" s="35" t="s">
        <v>882</v>
      </c>
      <c r="G601" s="34"/>
      <c r="H601" s="35" t="s">
        <v>883</v>
      </c>
      <c r="I601" s="35" t="s">
        <v>965</v>
      </c>
      <c r="J601" s="35" t="s">
        <v>1110</v>
      </c>
      <c r="K601" s="35" t="s">
        <v>888</v>
      </c>
      <c r="L601" s="35" t="s">
        <v>1034</v>
      </c>
      <c r="M601" s="35" t="s">
        <v>515</v>
      </c>
      <c r="N601" s="35" t="s">
        <v>977</v>
      </c>
      <c r="O601" s="36">
        <v>13</v>
      </c>
      <c r="P601" s="35" t="s">
        <v>37</v>
      </c>
      <c r="Q601" s="35"/>
      <c r="R601" s="35" t="s">
        <v>2849</v>
      </c>
    </row>
    <row r="602" spans="1:18" ht="24">
      <c r="A602" s="32">
        <v>637</v>
      </c>
      <c r="B602" s="33">
        <v>45579</v>
      </c>
      <c r="C602" s="32">
        <v>2024</v>
      </c>
      <c r="D602" s="34" t="s">
        <v>2850</v>
      </c>
      <c r="E602" s="35" t="s">
        <v>2851</v>
      </c>
      <c r="F602" s="35"/>
      <c r="G602" s="34"/>
      <c r="H602" s="35" t="s">
        <v>879</v>
      </c>
      <c r="I602" s="35" t="s">
        <v>1134</v>
      </c>
      <c r="J602" s="35" t="s">
        <v>1135</v>
      </c>
      <c r="K602" s="35" t="s">
        <v>888</v>
      </c>
      <c r="L602" s="35" t="s">
        <v>1086</v>
      </c>
      <c r="M602" s="35" t="s">
        <v>512</v>
      </c>
      <c r="N602" s="35" t="s">
        <v>977</v>
      </c>
      <c r="O602" s="36">
        <v>11</v>
      </c>
      <c r="P602" s="35" t="s">
        <v>37</v>
      </c>
      <c r="Q602" s="35"/>
      <c r="R602" s="35" t="s">
        <v>2852</v>
      </c>
    </row>
    <row r="603" spans="1:18" ht="24">
      <c r="A603" s="32">
        <v>636</v>
      </c>
      <c r="B603" s="33">
        <v>45579</v>
      </c>
      <c r="C603" s="32">
        <v>2024</v>
      </c>
      <c r="D603" s="34" t="s">
        <v>2853</v>
      </c>
      <c r="E603" s="35" t="s">
        <v>2854</v>
      </c>
      <c r="F603" s="35" t="s">
        <v>924</v>
      </c>
      <c r="G603" s="34"/>
      <c r="H603" s="35" t="s">
        <v>879</v>
      </c>
      <c r="I603" s="35" t="s">
        <v>965</v>
      </c>
      <c r="J603" s="35" t="s">
        <v>1110</v>
      </c>
      <c r="K603" s="35" t="s">
        <v>888</v>
      </c>
      <c r="L603" s="35" t="s">
        <v>2388</v>
      </c>
      <c r="M603" s="35" t="s">
        <v>515</v>
      </c>
      <c r="N603" s="35" t="s">
        <v>968</v>
      </c>
      <c r="O603" s="36">
        <v>22</v>
      </c>
      <c r="P603" s="35" t="s">
        <v>37</v>
      </c>
      <c r="Q603" s="35"/>
      <c r="R603" s="35" t="s">
        <v>2855</v>
      </c>
    </row>
    <row r="604" spans="1:18" ht="24">
      <c r="A604" s="32">
        <v>635</v>
      </c>
      <c r="B604" s="33">
        <v>45579</v>
      </c>
      <c r="C604" s="32">
        <v>2024</v>
      </c>
      <c r="D604" s="34" t="s">
        <v>2856</v>
      </c>
      <c r="E604" s="35" t="s">
        <v>2857</v>
      </c>
      <c r="F604" s="35"/>
      <c r="G604" s="34"/>
      <c r="H604" s="35"/>
      <c r="I604" s="35" t="s">
        <v>1038</v>
      </c>
      <c r="J604" s="35" t="s">
        <v>1006</v>
      </c>
      <c r="K604" s="35" t="s">
        <v>1007</v>
      </c>
      <c r="L604" s="35" t="s">
        <v>1086</v>
      </c>
      <c r="M604" s="35" t="s">
        <v>512</v>
      </c>
      <c r="N604" s="35" t="s">
        <v>977</v>
      </c>
      <c r="O604" s="36">
        <v>11</v>
      </c>
      <c r="P604" s="35" t="s">
        <v>37</v>
      </c>
      <c r="Q604" s="35"/>
      <c r="R604" s="35" t="s">
        <v>2858</v>
      </c>
    </row>
    <row r="605" spans="1:18" ht="24">
      <c r="A605" s="32">
        <v>1021</v>
      </c>
      <c r="B605" s="33">
        <v>45579</v>
      </c>
      <c r="C605" s="32">
        <v>2024</v>
      </c>
      <c r="D605" s="34" t="s">
        <v>2859</v>
      </c>
      <c r="E605" s="35" t="s">
        <v>2860</v>
      </c>
      <c r="F605" s="35" t="s">
        <v>878</v>
      </c>
      <c r="G605" s="34"/>
      <c r="H605" s="35" t="s">
        <v>879</v>
      </c>
      <c r="I605" s="35" t="s">
        <v>965</v>
      </c>
      <c r="J605" s="35" t="s">
        <v>1110</v>
      </c>
      <c r="K605" s="35" t="s">
        <v>888</v>
      </c>
      <c r="L605" s="35" t="s">
        <v>1034</v>
      </c>
      <c r="M605" s="35" t="s">
        <v>515</v>
      </c>
      <c r="N605" s="35" t="s">
        <v>977</v>
      </c>
      <c r="O605" s="36">
        <v>29</v>
      </c>
      <c r="P605" s="35" t="s">
        <v>382</v>
      </c>
      <c r="Q605" s="35"/>
      <c r="R605" s="35" t="s">
        <v>2861</v>
      </c>
    </row>
    <row r="606" spans="1:18" ht="24">
      <c r="A606" s="32">
        <v>634</v>
      </c>
      <c r="B606" s="33">
        <v>45578</v>
      </c>
      <c r="C606" s="32">
        <v>2024</v>
      </c>
      <c r="D606" s="34" t="s">
        <v>2862</v>
      </c>
      <c r="E606" s="35" t="s">
        <v>2863</v>
      </c>
      <c r="F606" s="35"/>
      <c r="G606" s="34"/>
      <c r="H606" s="35"/>
      <c r="I606" s="35" t="s">
        <v>1038</v>
      </c>
      <c r="J606" s="35" t="s">
        <v>1006</v>
      </c>
      <c r="K606" s="35" t="s">
        <v>1007</v>
      </c>
      <c r="L606" s="35" t="s">
        <v>1008</v>
      </c>
      <c r="M606" s="35" t="s">
        <v>526</v>
      </c>
      <c r="N606" s="35" t="s">
        <v>977</v>
      </c>
      <c r="O606" s="36">
        <v>30</v>
      </c>
      <c r="P606" s="35" t="s">
        <v>37</v>
      </c>
      <c r="Q606" s="35"/>
      <c r="R606" s="35" t="s">
        <v>2864</v>
      </c>
    </row>
    <row r="607" spans="1:18" ht="24">
      <c r="A607" s="32">
        <v>633</v>
      </c>
      <c r="B607" s="33">
        <v>45577</v>
      </c>
      <c r="C607" s="32">
        <v>2024</v>
      </c>
      <c r="D607" s="34" t="s">
        <v>2865</v>
      </c>
      <c r="E607" s="35" t="s">
        <v>2866</v>
      </c>
      <c r="F607" s="35"/>
      <c r="G607" s="34"/>
      <c r="H607" s="35"/>
      <c r="I607" s="35" t="s">
        <v>1038</v>
      </c>
      <c r="J607" s="35" t="s">
        <v>1006</v>
      </c>
      <c r="K607" s="35" t="s">
        <v>1007</v>
      </c>
      <c r="L607" s="35" t="s">
        <v>2729</v>
      </c>
      <c r="M607" s="35" t="s">
        <v>533</v>
      </c>
      <c r="N607" s="35" t="s">
        <v>977</v>
      </c>
      <c r="O607" s="36">
        <v>41</v>
      </c>
      <c r="P607" s="35" t="s">
        <v>37</v>
      </c>
      <c r="Q607" s="35"/>
      <c r="R607" s="35" t="s">
        <v>2867</v>
      </c>
    </row>
    <row r="608" spans="1:18" ht="24">
      <c r="A608" s="32">
        <v>632</v>
      </c>
      <c r="B608" s="33">
        <v>45577</v>
      </c>
      <c r="C608" s="32">
        <v>2024</v>
      </c>
      <c r="D608" s="34" t="s">
        <v>2868</v>
      </c>
      <c r="E608" s="35" t="s">
        <v>2869</v>
      </c>
      <c r="F608" s="35" t="s">
        <v>903</v>
      </c>
      <c r="G608" s="34"/>
      <c r="H608" s="35" t="s">
        <v>886</v>
      </c>
      <c r="I608" s="35" t="s">
        <v>965</v>
      </c>
      <c r="J608" s="35" t="s">
        <v>1110</v>
      </c>
      <c r="K608" s="35" t="s">
        <v>888</v>
      </c>
      <c r="L608" s="35" t="s">
        <v>1034</v>
      </c>
      <c r="M608" s="35" t="s">
        <v>515</v>
      </c>
      <c r="N608" s="35" t="s">
        <v>977</v>
      </c>
      <c r="O608" s="36">
        <v>27</v>
      </c>
      <c r="P608" s="35" t="s">
        <v>37</v>
      </c>
      <c r="Q608" s="35"/>
      <c r="R608" s="35" t="s">
        <v>2870</v>
      </c>
    </row>
    <row r="609" spans="1:18">
      <c r="A609" s="32">
        <v>631</v>
      </c>
      <c r="B609" s="33">
        <v>45575</v>
      </c>
      <c r="C609" s="32">
        <v>2024</v>
      </c>
      <c r="D609" s="34" t="s">
        <v>2871</v>
      </c>
      <c r="E609" s="35" t="s">
        <v>2872</v>
      </c>
      <c r="F609" s="35"/>
      <c r="G609" s="34"/>
      <c r="H609" s="35"/>
      <c r="I609" s="35" t="s">
        <v>1005</v>
      </c>
      <c r="J609" s="35" t="s">
        <v>1021</v>
      </c>
      <c r="K609" s="35" t="s">
        <v>888</v>
      </c>
      <c r="L609" s="35" t="s">
        <v>2388</v>
      </c>
      <c r="M609" s="35" t="s">
        <v>515</v>
      </c>
      <c r="N609" s="35" t="s">
        <v>968</v>
      </c>
      <c r="O609" s="36">
        <v>28</v>
      </c>
      <c r="P609" s="35" t="s">
        <v>37</v>
      </c>
      <c r="Q609" s="35"/>
      <c r="R609" s="35" t="s">
        <v>2873</v>
      </c>
    </row>
    <row r="610" spans="1:18" ht="24">
      <c r="A610" s="32">
        <v>627</v>
      </c>
      <c r="B610" s="33">
        <v>45575</v>
      </c>
      <c r="C610" s="32">
        <v>2024</v>
      </c>
      <c r="D610" s="34" t="s">
        <v>2874</v>
      </c>
      <c r="E610" s="35" t="s">
        <v>2875</v>
      </c>
      <c r="F610" s="35" t="s">
        <v>884</v>
      </c>
      <c r="G610" s="34"/>
      <c r="H610" s="35" t="s">
        <v>883</v>
      </c>
      <c r="I610" s="35" t="s">
        <v>965</v>
      </c>
      <c r="J610" s="35" t="s">
        <v>1110</v>
      </c>
      <c r="K610" s="35" t="s">
        <v>888</v>
      </c>
      <c r="L610" s="35" t="s">
        <v>1086</v>
      </c>
      <c r="M610" s="35" t="s">
        <v>512</v>
      </c>
      <c r="N610" s="35" t="s">
        <v>977</v>
      </c>
      <c r="O610" s="36">
        <v>1</v>
      </c>
      <c r="P610" s="35" t="s">
        <v>37</v>
      </c>
      <c r="Q610" s="35"/>
      <c r="R610" s="35" t="s">
        <v>2876</v>
      </c>
    </row>
    <row r="611" spans="1:18" ht="24">
      <c r="A611" s="32">
        <v>626</v>
      </c>
      <c r="B611" s="33">
        <v>45575</v>
      </c>
      <c r="C611" s="32">
        <v>2024</v>
      </c>
      <c r="D611" s="34" t="s">
        <v>2877</v>
      </c>
      <c r="E611" s="35" t="s">
        <v>2878</v>
      </c>
      <c r="F611" s="35" t="s">
        <v>884</v>
      </c>
      <c r="G611" s="34"/>
      <c r="H611" s="35" t="s">
        <v>883</v>
      </c>
      <c r="I611" s="35" t="s">
        <v>965</v>
      </c>
      <c r="J611" s="35" t="s">
        <v>1110</v>
      </c>
      <c r="K611" s="35" t="s">
        <v>888</v>
      </c>
      <c r="L611" s="35" t="s">
        <v>972</v>
      </c>
      <c r="M611" s="35" t="s">
        <v>512</v>
      </c>
      <c r="N611" s="35" t="s">
        <v>977</v>
      </c>
      <c r="O611" s="36">
        <v>18</v>
      </c>
      <c r="P611" s="35" t="s">
        <v>37</v>
      </c>
      <c r="Q611" s="35"/>
      <c r="R611" s="35" t="s">
        <v>2879</v>
      </c>
    </row>
    <row r="612" spans="1:18" ht="24">
      <c r="A612" s="32">
        <v>625</v>
      </c>
      <c r="B612" s="33">
        <v>45575</v>
      </c>
      <c r="C612" s="32">
        <v>2024</v>
      </c>
      <c r="D612" s="34" t="s">
        <v>2880</v>
      </c>
      <c r="E612" s="35" t="s">
        <v>2881</v>
      </c>
      <c r="F612" s="35" t="s">
        <v>884</v>
      </c>
      <c r="G612" s="34"/>
      <c r="H612" s="35" t="s">
        <v>883</v>
      </c>
      <c r="I612" s="35" t="s">
        <v>965</v>
      </c>
      <c r="J612" s="35" t="s">
        <v>1110</v>
      </c>
      <c r="K612" s="35" t="s">
        <v>888</v>
      </c>
      <c r="L612" s="35" t="s">
        <v>1150</v>
      </c>
      <c r="M612" s="35" t="s">
        <v>515</v>
      </c>
      <c r="N612" s="35" t="s">
        <v>977</v>
      </c>
      <c r="O612" s="36">
        <v>4</v>
      </c>
      <c r="P612" s="35" t="s">
        <v>37</v>
      </c>
      <c r="Q612" s="35"/>
      <c r="R612" s="35" t="s">
        <v>2882</v>
      </c>
    </row>
    <row r="613" spans="1:18" ht="24">
      <c r="A613" s="32">
        <v>624</v>
      </c>
      <c r="B613" s="33">
        <v>45574</v>
      </c>
      <c r="C613" s="32">
        <v>2024</v>
      </c>
      <c r="D613" s="34" t="s">
        <v>2883</v>
      </c>
      <c r="E613" s="35" t="s">
        <v>2884</v>
      </c>
      <c r="F613" s="35" t="s">
        <v>902</v>
      </c>
      <c r="G613" s="34"/>
      <c r="H613" s="35" t="s">
        <v>886</v>
      </c>
      <c r="I613" s="35" t="s">
        <v>965</v>
      </c>
      <c r="J613" s="35" t="s">
        <v>1110</v>
      </c>
      <c r="K613" s="35" t="s">
        <v>888</v>
      </c>
      <c r="L613" s="35" t="s">
        <v>1408</v>
      </c>
      <c r="M613" s="35" t="s">
        <v>515</v>
      </c>
      <c r="N613" s="35" t="s">
        <v>968</v>
      </c>
      <c r="O613" s="36">
        <v>15</v>
      </c>
      <c r="P613" s="35" t="s">
        <v>37</v>
      </c>
      <c r="Q613" s="35"/>
      <c r="R613" s="35" t="s">
        <v>2885</v>
      </c>
    </row>
    <row r="614" spans="1:18">
      <c r="A614" s="32">
        <v>1020</v>
      </c>
      <c r="B614" s="33">
        <v>45570</v>
      </c>
      <c r="C614" s="32">
        <v>2024</v>
      </c>
      <c r="D614" s="34" t="s">
        <v>2886</v>
      </c>
      <c r="E614" s="35" t="s">
        <v>2887</v>
      </c>
      <c r="F614" s="35" t="s">
        <v>878</v>
      </c>
      <c r="G614" s="34"/>
      <c r="H614" s="35" t="s">
        <v>879</v>
      </c>
      <c r="I614" s="35" t="s">
        <v>965</v>
      </c>
      <c r="J614" s="35" t="s">
        <v>1110</v>
      </c>
      <c r="K614" s="35" t="s">
        <v>888</v>
      </c>
      <c r="L614" s="35" t="s">
        <v>1150</v>
      </c>
      <c r="M614" s="35" t="s">
        <v>515</v>
      </c>
      <c r="N614" s="35" t="s">
        <v>977</v>
      </c>
      <c r="O614" s="36">
        <v>9</v>
      </c>
      <c r="P614" s="35" t="s">
        <v>382</v>
      </c>
      <c r="Q614" s="35"/>
      <c r="R614" s="35" t="s">
        <v>2888</v>
      </c>
    </row>
    <row r="615" spans="1:18" ht="24">
      <c r="A615" s="32">
        <v>623</v>
      </c>
      <c r="B615" s="33">
        <v>45569</v>
      </c>
      <c r="C615" s="32">
        <v>2024</v>
      </c>
      <c r="D615" s="34" t="s">
        <v>2889</v>
      </c>
      <c r="E615" s="35" t="s">
        <v>2890</v>
      </c>
      <c r="F615" s="35"/>
      <c r="G615" s="34"/>
      <c r="H615" s="35"/>
      <c r="I615" s="35" t="s">
        <v>1038</v>
      </c>
      <c r="J615" s="35" t="s">
        <v>1006</v>
      </c>
      <c r="K615" s="35" t="s">
        <v>1007</v>
      </c>
      <c r="L615" s="35" t="s">
        <v>1840</v>
      </c>
      <c r="M615" s="35" t="s">
        <v>512</v>
      </c>
      <c r="N615" s="35" t="s">
        <v>977</v>
      </c>
      <c r="O615" s="36">
        <v>9</v>
      </c>
      <c r="P615" s="35" t="s">
        <v>37</v>
      </c>
      <c r="Q615" s="35"/>
      <c r="R615" s="35" t="s">
        <v>2891</v>
      </c>
    </row>
    <row r="616" spans="1:18" ht="24">
      <c r="A616" s="32">
        <v>1019</v>
      </c>
      <c r="B616" s="33">
        <v>45569</v>
      </c>
      <c r="C616" s="32">
        <v>2024</v>
      </c>
      <c r="D616" s="34" t="s">
        <v>2892</v>
      </c>
      <c r="E616" s="35" t="s">
        <v>2893</v>
      </c>
      <c r="F616" s="35" t="s">
        <v>878</v>
      </c>
      <c r="G616" s="34"/>
      <c r="H616" s="35" t="s">
        <v>879</v>
      </c>
      <c r="I616" s="35" t="s">
        <v>965</v>
      </c>
      <c r="J616" s="35" t="s">
        <v>1110</v>
      </c>
      <c r="K616" s="35" t="s">
        <v>888</v>
      </c>
      <c r="L616" s="35" t="s">
        <v>1150</v>
      </c>
      <c r="M616" s="35" t="s">
        <v>515</v>
      </c>
      <c r="N616" s="35" t="s">
        <v>977</v>
      </c>
      <c r="O616" s="36">
        <v>23</v>
      </c>
      <c r="P616" s="35" t="s">
        <v>382</v>
      </c>
      <c r="Q616" s="35"/>
      <c r="R616" s="35" t="s">
        <v>2894</v>
      </c>
    </row>
    <row r="617" spans="1:18">
      <c r="A617" s="32">
        <v>622</v>
      </c>
      <c r="B617" s="33">
        <v>45569</v>
      </c>
      <c r="C617" s="32">
        <v>2024</v>
      </c>
      <c r="D617" s="34" t="s">
        <v>2895</v>
      </c>
      <c r="E617" s="35" t="s">
        <v>2896</v>
      </c>
      <c r="F617" s="35"/>
      <c r="G617" s="34"/>
      <c r="H617" s="35"/>
      <c r="I617" s="35" t="s">
        <v>1038</v>
      </c>
      <c r="J617" s="35" t="s">
        <v>1006</v>
      </c>
      <c r="K617" s="35" t="s">
        <v>1007</v>
      </c>
      <c r="L617" s="35" t="s">
        <v>1086</v>
      </c>
      <c r="M617" s="35" t="s">
        <v>512</v>
      </c>
      <c r="N617" s="35" t="s">
        <v>968</v>
      </c>
      <c r="O617" s="36">
        <v>12</v>
      </c>
      <c r="P617" s="35" t="s">
        <v>37</v>
      </c>
      <c r="Q617" s="35"/>
      <c r="R617" s="35" t="s">
        <v>2897</v>
      </c>
    </row>
    <row r="618" spans="1:18" ht="24">
      <c r="A618" s="32">
        <v>628</v>
      </c>
      <c r="B618" s="33">
        <v>45565</v>
      </c>
      <c r="C618" s="32">
        <v>2024</v>
      </c>
      <c r="D618" s="34" t="s">
        <v>2898</v>
      </c>
      <c r="E618" s="35" t="s">
        <v>2899</v>
      </c>
      <c r="F618" s="35"/>
      <c r="G618" s="34"/>
      <c r="H618" s="35"/>
      <c r="I618" s="35" t="s">
        <v>1038</v>
      </c>
      <c r="J618" s="35" t="s">
        <v>1006</v>
      </c>
      <c r="K618" s="35" t="s">
        <v>1007</v>
      </c>
      <c r="L618" s="35" t="s">
        <v>1150</v>
      </c>
      <c r="M618" s="35" t="s">
        <v>515</v>
      </c>
      <c r="N618" s="35" t="s">
        <v>977</v>
      </c>
      <c r="O618" s="36">
        <v>12</v>
      </c>
      <c r="P618" s="35" t="s">
        <v>37</v>
      </c>
      <c r="Q618" s="35"/>
      <c r="R618" s="35" t="s">
        <v>2900</v>
      </c>
    </row>
    <row r="619" spans="1:18">
      <c r="A619" s="32">
        <v>621</v>
      </c>
      <c r="B619" s="33">
        <v>45565</v>
      </c>
      <c r="C619" s="32">
        <v>2024</v>
      </c>
      <c r="D619" s="34" t="s">
        <v>2901</v>
      </c>
      <c r="E619" s="35" t="s">
        <v>2902</v>
      </c>
      <c r="F619" s="35"/>
      <c r="G619" s="34"/>
      <c r="H619" s="35"/>
      <c r="I619" s="35" t="s">
        <v>1005</v>
      </c>
      <c r="J619" s="35" t="s">
        <v>1021</v>
      </c>
      <c r="K619" s="35" t="s">
        <v>888</v>
      </c>
      <c r="L619" s="35" t="s">
        <v>1086</v>
      </c>
      <c r="M619" s="35" t="s">
        <v>530</v>
      </c>
      <c r="N619" s="35" t="s">
        <v>968</v>
      </c>
      <c r="O619" s="36">
        <v>14</v>
      </c>
      <c r="P619" s="35" t="s">
        <v>37</v>
      </c>
      <c r="Q619" s="35"/>
      <c r="R619" s="35" t="s">
        <v>2903</v>
      </c>
    </row>
    <row r="620" spans="1:18">
      <c r="A620" s="32">
        <v>620</v>
      </c>
      <c r="B620" s="33">
        <v>45565</v>
      </c>
      <c r="C620" s="32">
        <v>2024</v>
      </c>
      <c r="D620" s="34" t="s">
        <v>2904</v>
      </c>
      <c r="E620" s="35" t="s">
        <v>2905</v>
      </c>
      <c r="F620" s="35"/>
      <c r="G620" s="34"/>
      <c r="H620" s="35"/>
      <c r="I620" s="35" t="s">
        <v>1005</v>
      </c>
      <c r="J620" s="35" t="s">
        <v>1021</v>
      </c>
      <c r="K620" s="35" t="s">
        <v>888</v>
      </c>
      <c r="L620" s="35" t="s">
        <v>1150</v>
      </c>
      <c r="M620" s="35" t="s">
        <v>515</v>
      </c>
      <c r="N620" s="35" t="s">
        <v>977</v>
      </c>
      <c r="O620" s="36">
        <v>21</v>
      </c>
      <c r="P620" s="35" t="s">
        <v>37</v>
      </c>
      <c r="Q620" s="35"/>
      <c r="R620" s="35" t="s">
        <v>2906</v>
      </c>
    </row>
    <row r="621" spans="1:18" ht="24">
      <c r="A621" s="32">
        <v>619</v>
      </c>
      <c r="B621" s="33">
        <v>45564</v>
      </c>
      <c r="C621" s="32">
        <v>2024</v>
      </c>
      <c r="D621" s="34" t="s">
        <v>2907</v>
      </c>
      <c r="E621" s="35" t="s">
        <v>2908</v>
      </c>
      <c r="F621" s="35" t="s">
        <v>903</v>
      </c>
      <c r="G621" s="34"/>
      <c r="H621" s="35" t="s">
        <v>886</v>
      </c>
      <c r="I621" s="35" t="s">
        <v>965</v>
      </c>
      <c r="J621" s="35" t="s">
        <v>1110</v>
      </c>
      <c r="K621" s="35" t="s">
        <v>888</v>
      </c>
      <c r="L621" s="35" t="s">
        <v>1034</v>
      </c>
      <c r="M621" s="35" t="s">
        <v>515</v>
      </c>
      <c r="N621" s="35" t="s">
        <v>968</v>
      </c>
      <c r="O621" s="36">
        <v>12</v>
      </c>
      <c r="P621" s="35" t="s">
        <v>37</v>
      </c>
      <c r="Q621" s="35"/>
      <c r="R621" s="35" t="s">
        <v>2909</v>
      </c>
    </row>
    <row r="622" spans="1:18">
      <c r="A622" s="32">
        <v>618</v>
      </c>
      <c r="B622" s="33">
        <v>45563</v>
      </c>
      <c r="C622" s="32">
        <v>2024</v>
      </c>
      <c r="D622" s="34" t="s">
        <v>2910</v>
      </c>
      <c r="E622" s="35" t="s">
        <v>2911</v>
      </c>
      <c r="F622" s="35" t="s">
        <v>882</v>
      </c>
      <c r="G622" s="34"/>
      <c r="H622" s="35" t="s">
        <v>883</v>
      </c>
      <c r="I622" s="35" t="s">
        <v>965</v>
      </c>
      <c r="J622" s="35" t="s">
        <v>1110</v>
      </c>
      <c r="K622" s="35" t="s">
        <v>888</v>
      </c>
      <c r="L622" s="35" t="s">
        <v>972</v>
      </c>
      <c r="M622" s="35" t="s">
        <v>512</v>
      </c>
      <c r="N622" s="35" t="s">
        <v>977</v>
      </c>
      <c r="O622" s="36">
        <v>13</v>
      </c>
      <c r="P622" s="35" t="s">
        <v>37</v>
      </c>
      <c r="Q622" s="35"/>
      <c r="R622" s="35" t="s">
        <v>2912</v>
      </c>
    </row>
    <row r="623" spans="1:18">
      <c r="A623" s="32">
        <v>617</v>
      </c>
      <c r="B623" s="33">
        <v>45563</v>
      </c>
      <c r="C623" s="32">
        <v>2024</v>
      </c>
      <c r="D623" s="34" t="s">
        <v>2913</v>
      </c>
      <c r="E623" s="35" t="s">
        <v>2914</v>
      </c>
      <c r="F623" s="35" t="s">
        <v>878</v>
      </c>
      <c r="G623" s="34"/>
      <c r="H623" s="35" t="s">
        <v>879</v>
      </c>
      <c r="I623" s="35" t="s">
        <v>965</v>
      </c>
      <c r="J623" s="35" t="s">
        <v>1110</v>
      </c>
      <c r="K623" s="35" t="s">
        <v>888</v>
      </c>
      <c r="L623" s="35" t="s">
        <v>1150</v>
      </c>
      <c r="M623" s="35" t="s">
        <v>515</v>
      </c>
      <c r="N623" s="35" t="s">
        <v>977</v>
      </c>
      <c r="O623" s="36">
        <v>21</v>
      </c>
      <c r="P623" s="35" t="s">
        <v>37</v>
      </c>
      <c r="Q623" s="35"/>
      <c r="R623" s="35" t="s">
        <v>2915</v>
      </c>
    </row>
    <row r="624" spans="1:18" ht="24">
      <c r="A624" s="32">
        <v>616</v>
      </c>
      <c r="B624" s="33">
        <v>45563</v>
      </c>
      <c r="C624" s="32">
        <v>2024</v>
      </c>
      <c r="D624" s="34" t="s">
        <v>2916</v>
      </c>
      <c r="E624" s="35" t="s">
        <v>2917</v>
      </c>
      <c r="F624" s="35"/>
      <c r="G624" s="34"/>
      <c r="H624" s="35"/>
      <c r="I624" s="35" t="s">
        <v>1005</v>
      </c>
      <c r="J624" s="35" t="s">
        <v>1021</v>
      </c>
      <c r="K624" s="35" t="s">
        <v>888</v>
      </c>
      <c r="L624" s="35" t="s">
        <v>1408</v>
      </c>
      <c r="M624" s="35" t="s">
        <v>515</v>
      </c>
      <c r="N624" s="35" t="s">
        <v>968</v>
      </c>
      <c r="O624" s="36">
        <v>24</v>
      </c>
      <c r="P624" s="35" t="s">
        <v>37</v>
      </c>
      <c r="Q624" s="35"/>
      <c r="R624" s="35" t="s">
        <v>2918</v>
      </c>
    </row>
    <row r="625" spans="1:18">
      <c r="A625" s="32">
        <v>614</v>
      </c>
      <c r="B625" s="33">
        <v>45563</v>
      </c>
      <c r="C625" s="32">
        <v>2024</v>
      </c>
      <c r="D625" s="34" t="s">
        <v>2919</v>
      </c>
      <c r="E625" s="35" t="s">
        <v>2920</v>
      </c>
      <c r="F625" s="35" t="s">
        <v>882</v>
      </c>
      <c r="G625" s="34"/>
      <c r="H625" s="35" t="s">
        <v>883</v>
      </c>
      <c r="I625" s="35" t="s">
        <v>965</v>
      </c>
      <c r="J625" s="35" t="s">
        <v>1110</v>
      </c>
      <c r="K625" s="35" t="s">
        <v>888</v>
      </c>
      <c r="L625" s="35" t="s">
        <v>1150</v>
      </c>
      <c r="M625" s="35" t="s">
        <v>515</v>
      </c>
      <c r="N625" s="35" t="s">
        <v>977</v>
      </c>
      <c r="O625" s="36">
        <v>11</v>
      </c>
      <c r="P625" s="35" t="s">
        <v>37</v>
      </c>
      <c r="Q625" s="35"/>
      <c r="R625" s="35" t="s">
        <v>2921</v>
      </c>
    </row>
    <row r="626" spans="1:18">
      <c r="A626" s="32">
        <v>615</v>
      </c>
      <c r="B626" s="33">
        <v>45563</v>
      </c>
      <c r="C626" s="32">
        <v>2024</v>
      </c>
      <c r="D626" s="34" t="s">
        <v>2922</v>
      </c>
      <c r="E626" s="35" t="s">
        <v>2923</v>
      </c>
      <c r="F626" s="35" t="s">
        <v>900</v>
      </c>
      <c r="G626" s="34"/>
      <c r="H626" s="35" t="s">
        <v>883</v>
      </c>
      <c r="I626" s="35" t="s">
        <v>965</v>
      </c>
      <c r="J626" s="35" t="s">
        <v>1110</v>
      </c>
      <c r="K626" s="35" t="s">
        <v>888</v>
      </c>
      <c r="L626" s="35" t="s">
        <v>1150</v>
      </c>
      <c r="M626" s="35" t="s">
        <v>515</v>
      </c>
      <c r="N626" s="35" t="s">
        <v>977</v>
      </c>
      <c r="O626" s="36">
        <v>26</v>
      </c>
      <c r="P626" s="35" t="s">
        <v>37</v>
      </c>
      <c r="Q626" s="35"/>
      <c r="R626" s="35" t="s">
        <v>2924</v>
      </c>
    </row>
    <row r="627" spans="1:18">
      <c r="A627" s="32">
        <v>1018</v>
      </c>
      <c r="B627" s="33">
        <v>45563</v>
      </c>
      <c r="C627" s="32">
        <v>2024</v>
      </c>
      <c r="D627" s="34" t="s">
        <v>2925</v>
      </c>
      <c r="E627" s="35" t="s">
        <v>2926</v>
      </c>
      <c r="F627" s="35" t="s">
        <v>878</v>
      </c>
      <c r="G627" s="34"/>
      <c r="H627" s="35" t="s">
        <v>879</v>
      </c>
      <c r="I627" s="35" t="s">
        <v>965</v>
      </c>
      <c r="J627" s="35" t="s">
        <v>1110</v>
      </c>
      <c r="K627" s="35" t="s">
        <v>888</v>
      </c>
      <c r="L627" s="35" t="s">
        <v>1150</v>
      </c>
      <c r="M627" s="35" t="s">
        <v>515</v>
      </c>
      <c r="N627" s="35" t="s">
        <v>977</v>
      </c>
      <c r="O627" s="36">
        <v>11</v>
      </c>
      <c r="P627" s="35" t="s">
        <v>382</v>
      </c>
      <c r="Q627" s="35"/>
      <c r="R627" s="35" t="s">
        <v>2927</v>
      </c>
    </row>
    <row r="628" spans="1:18">
      <c r="A628" s="32">
        <v>1017</v>
      </c>
      <c r="B628" s="33">
        <v>45563</v>
      </c>
      <c r="C628" s="32">
        <v>2024</v>
      </c>
      <c r="D628" s="34" t="s">
        <v>2928</v>
      </c>
      <c r="E628" s="35" t="s">
        <v>2929</v>
      </c>
      <c r="F628" s="35" t="s">
        <v>878</v>
      </c>
      <c r="G628" s="34"/>
      <c r="H628" s="35" t="s">
        <v>879</v>
      </c>
      <c r="I628" s="35" t="s">
        <v>965</v>
      </c>
      <c r="J628" s="35" t="s">
        <v>1110</v>
      </c>
      <c r="K628" s="35" t="s">
        <v>888</v>
      </c>
      <c r="L628" s="35" t="s">
        <v>1150</v>
      </c>
      <c r="M628" s="35" t="s">
        <v>515</v>
      </c>
      <c r="N628" s="35" t="s">
        <v>977</v>
      </c>
      <c r="O628" s="36">
        <v>16</v>
      </c>
      <c r="P628" s="35" t="s">
        <v>382</v>
      </c>
      <c r="Q628" s="35"/>
      <c r="R628" s="35" t="s">
        <v>2930</v>
      </c>
    </row>
    <row r="629" spans="1:18">
      <c r="A629" s="32">
        <v>1016</v>
      </c>
      <c r="B629" s="33">
        <v>45563</v>
      </c>
      <c r="C629" s="32">
        <v>2024</v>
      </c>
      <c r="D629" s="34" t="s">
        <v>2931</v>
      </c>
      <c r="E629" s="35" t="s">
        <v>2932</v>
      </c>
      <c r="F629" s="35" t="s">
        <v>878</v>
      </c>
      <c r="G629" s="34"/>
      <c r="H629" s="35" t="s">
        <v>879</v>
      </c>
      <c r="I629" s="35" t="s">
        <v>965</v>
      </c>
      <c r="J629" s="35" t="s">
        <v>1110</v>
      </c>
      <c r="K629" s="35" t="s">
        <v>888</v>
      </c>
      <c r="L629" s="35" t="s">
        <v>1150</v>
      </c>
      <c r="M629" s="35" t="s">
        <v>515</v>
      </c>
      <c r="N629" s="35" t="s">
        <v>977</v>
      </c>
      <c r="O629" s="36">
        <v>17</v>
      </c>
      <c r="P629" s="35" t="s">
        <v>382</v>
      </c>
      <c r="Q629" s="35"/>
      <c r="R629" s="35" t="s">
        <v>2933</v>
      </c>
    </row>
    <row r="630" spans="1:18">
      <c r="A630" s="32">
        <v>1015</v>
      </c>
      <c r="B630" s="33">
        <v>45563</v>
      </c>
      <c r="C630" s="32">
        <v>2024</v>
      </c>
      <c r="D630" s="34" t="s">
        <v>2934</v>
      </c>
      <c r="E630" s="35" t="s">
        <v>2935</v>
      </c>
      <c r="F630" s="35" t="s">
        <v>878</v>
      </c>
      <c r="G630" s="34"/>
      <c r="H630" s="35" t="s">
        <v>879</v>
      </c>
      <c r="I630" s="35" t="s">
        <v>965</v>
      </c>
      <c r="J630" s="35" t="s">
        <v>1110</v>
      </c>
      <c r="K630" s="35" t="s">
        <v>888</v>
      </c>
      <c r="L630" s="35" t="s">
        <v>1150</v>
      </c>
      <c r="M630" s="35" t="s">
        <v>515</v>
      </c>
      <c r="N630" s="35" t="s">
        <v>977</v>
      </c>
      <c r="O630" s="36">
        <v>7</v>
      </c>
      <c r="P630" s="35" t="s">
        <v>382</v>
      </c>
      <c r="Q630" s="35"/>
      <c r="R630" s="35" t="s">
        <v>2936</v>
      </c>
    </row>
    <row r="631" spans="1:18">
      <c r="A631" s="32">
        <v>1014</v>
      </c>
      <c r="B631" s="33">
        <v>45563</v>
      </c>
      <c r="C631" s="32">
        <v>2024</v>
      </c>
      <c r="D631" s="34" t="s">
        <v>2937</v>
      </c>
      <c r="E631" s="35" t="s">
        <v>2938</v>
      </c>
      <c r="F631" s="35" t="s">
        <v>878</v>
      </c>
      <c r="G631" s="34"/>
      <c r="H631" s="35" t="s">
        <v>879</v>
      </c>
      <c r="I631" s="35" t="s">
        <v>965</v>
      </c>
      <c r="J631" s="35" t="s">
        <v>1110</v>
      </c>
      <c r="K631" s="35" t="s">
        <v>888</v>
      </c>
      <c r="L631" s="35" t="s">
        <v>1150</v>
      </c>
      <c r="M631" s="35" t="s">
        <v>515</v>
      </c>
      <c r="N631" s="35" t="s">
        <v>977</v>
      </c>
      <c r="O631" s="36">
        <v>31</v>
      </c>
      <c r="P631" s="35" t="s">
        <v>382</v>
      </c>
      <c r="Q631" s="35"/>
      <c r="R631" s="35" t="s">
        <v>2939</v>
      </c>
    </row>
    <row r="632" spans="1:18">
      <c r="A632" s="32">
        <v>613</v>
      </c>
      <c r="B632" s="33">
        <v>45563</v>
      </c>
      <c r="C632" s="32">
        <v>2024</v>
      </c>
      <c r="D632" s="34" t="s">
        <v>2940</v>
      </c>
      <c r="E632" s="35" t="s">
        <v>2941</v>
      </c>
      <c r="F632" s="35"/>
      <c r="G632" s="34"/>
      <c r="H632" s="35"/>
      <c r="I632" s="35" t="s">
        <v>1038</v>
      </c>
      <c r="J632" s="35" t="s">
        <v>1006</v>
      </c>
      <c r="K632" s="35" t="s">
        <v>1007</v>
      </c>
      <c r="L632" s="35" t="s">
        <v>1150</v>
      </c>
      <c r="M632" s="35" t="s">
        <v>515</v>
      </c>
      <c r="N632" s="35" t="s">
        <v>968</v>
      </c>
      <c r="O632" s="36">
        <v>21</v>
      </c>
      <c r="P632" s="35" t="s">
        <v>37</v>
      </c>
      <c r="Q632" s="35"/>
      <c r="R632" s="35" t="s">
        <v>2942</v>
      </c>
    </row>
    <row r="633" spans="1:18">
      <c r="A633" s="32">
        <v>612</v>
      </c>
      <c r="B633" s="33">
        <v>45562</v>
      </c>
      <c r="C633" s="32">
        <v>2024</v>
      </c>
      <c r="D633" s="34" t="s">
        <v>2943</v>
      </c>
      <c r="E633" s="35" t="s">
        <v>2944</v>
      </c>
      <c r="F633" s="35" t="s">
        <v>891</v>
      </c>
      <c r="G633" s="34"/>
      <c r="H633" s="35" t="s">
        <v>883</v>
      </c>
      <c r="I633" s="35" t="s">
        <v>965</v>
      </c>
      <c r="J633" s="35" t="s">
        <v>1291</v>
      </c>
      <c r="K633" s="35" t="s">
        <v>897</v>
      </c>
      <c r="L633" s="35" t="s">
        <v>1119</v>
      </c>
      <c r="M633" s="35" t="s">
        <v>519</v>
      </c>
      <c r="N633" s="35" t="s">
        <v>968</v>
      </c>
      <c r="O633" s="36">
        <v>16</v>
      </c>
      <c r="P633" s="35" t="s">
        <v>37</v>
      </c>
      <c r="Q633" s="35"/>
      <c r="R633" s="35" t="s">
        <v>2945</v>
      </c>
    </row>
    <row r="634" spans="1:18">
      <c r="A634" s="32">
        <v>611</v>
      </c>
      <c r="B634" s="33">
        <v>45561</v>
      </c>
      <c r="C634" s="32">
        <v>2024</v>
      </c>
      <c r="D634" s="34" t="s">
        <v>2946</v>
      </c>
      <c r="E634" s="35" t="s">
        <v>2947</v>
      </c>
      <c r="F634" s="35" t="s">
        <v>882</v>
      </c>
      <c r="G634" s="34"/>
      <c r="H634" s="35" t="s">
        <v>883</v>
      </c>
      <c r="I634" s="35" t="s">
        <v>965</v>
      </c>
      <c r="J634" s="35" t="s">
        <v>1110</v>
      </c>
      <c r="K634" s="35" t="s">
        <v>888</v>
      </c>
      <c r="L634" s="35" t="s">
        <v>1086</v>
      </c>
      <c r="M634" s="35" t="s">
        <v>512</v>
      </c>
      <c r="N634" s="35" t="s">
        <v>977</v>
      </c>
      <c r="O634" s="36">
        <v>14</v>
      </c>
      <c r="P634" s="35" t="s">
        <v>37</v>
      </c>
      <c r="Q634" s="35"/>
      <c r="R634" s="35" t="s">
        <v>2948</v>
      </c>
    </row>
    <row r="635" spans="1:18" ht="24">
      <c r="A635" s="32">
        <v>610</v>
      </c>
      <c r="B635" s="33">
        <v>45561</v>
      </c>
      <c r="C635" s="32">
        <v>2024</v>
      </c>
      <c r="D635" s="34" t="s">
        <v>2949</v>
      </c>
      <c r="E635" s="35" t="s">
        <v>2950</v>
      </c>
      <c r="F635" s="35"/>
      <c r="G635" s="34"/>
      <c r="H635" s="35" t="s">
        <v>883</v>
      </c>
      <c r="I635" s="35" t="s">
        <v>1134</v>
      </c>
      <c r="J635" s="35" t="s">
        <v>1135</v>
      </c>
      <c r="K635" s="35" t="s">
        <v>888</v>
      </c>
      <c r="L635" s="35" t="s">
        <v>972</v>
      </c>
      <c r="M635" s="35" t="s">
        <v>512</v>
      </c>
      <c r="N635" s="35" t="s">
        <v>977</v>
      </c>
      <c r="O635" s="36">
        <v>16</v>
      </c>
      <c r="P635" s="35" t="s">
        <v>37</v>
      </c>
      <c r="Q635" s="35"/>
      <c r="R635" s="35" t="s">
        <v>2951</v>
      </c>
    </row>
    <row r="636" spans="1:18" ht="24">
      <c r="A636" s="32">
        <v>602</v>
      </c>
      <c r="B636" s="33">
        <v>45560</v>
      </c>
      <c r="C636" s="32">
        <v>2024</v>
      </c>
      <c r="D636" s="34" t="s">
        <v>2952</v>
      </c>
      <c r="E636" s="35" t="s">
        <v>2953</v>
      </c>
      <c r="F636" s="35" t="s">
        <v>891</v>
      </c>
      <c r="G636" s="34"/>
      <c r="H636" s="35" t="s">
        <v>883</v>
      </c>
      <c r="I636" s="35" t="s">
        <v>965</v>
      </c>
      <c r="J636" s="35" t="s">
        <v>1291</v>
      </c>
      <c r="K636" s="35" t="s">
        <v>897</v>
      </c>
      <c r="L636" s="35" t="s">
        <v>972</v>
      </c>
      <c r="M636" s="35" t="s">
        <v>512</v>
      </c>
      <c r="N636" s="35" t="s">
        <v>977</v>
      </c>
      <c r="O636" s="36">
        <v>8</v>
      </c>
      <c r="P636" s="35" t="s">
        <v>37</v>
      </c>
      <c r="Q636" s="35"/>
      <c r="R636" s="35" t="s">
        <v>2954</v>
      </c>
    </row>
    <row r="637" spans="1:18" ht="24">
      <c r="A637" s="32">
        <v>609</v>
      </c>
      <c r="B637" s="33">
        <v>45560</v>
      </c>
      <c r="C637" s="32">
        <v>2024</v>
      </c>
      <c r="D637" s="34" t="s">
        <v>2955</v>
      </c>
      <c r="E637" s="35" t="s">
        <v>2956</v>
      </c>
      <c r="F637" s="35" t="s">
        <v>896</v>
      </c>
      <c r="G637" s="34"/>
      <c r="H637" s="35" t="s">
        <v>883</v>
      </c>
      <c r="I637" s="35" t="s">
        <v>965</v>
      </c>
      <c r="J637" s="35" t="s">
        <v>1110</v>
      </c>
      <c r="K637" s="35" t="s">
        <v>888</v>
      </c>
      <c r="L637" s="35" t="s">
        <v>972</v>
      </c>
      <c r="M637" s="35" t="s">
        <v>512</v>
      </c>
      <c r="N637" s="35" t="s">
        <v>977</v>
      </c>
      <c r="O637" s="36">
        <v>9</v>
      </c>
      <c r="P637" s="35" t="s">
        <v>37</v>
      </c>
      <c r="Q637" s="35"/>
      <c r="R637" s="35" t="s">
        <v>2957</v>
      </c>
    </row>
    <row r="638" spans="1:18" ht="24">
      <c r="A638" s="32">
        <v>608</v>
      </c>
      <c r="B638" s="33">
        <v>45560</v>
      </c>
      <c r="C638" s="32">
        <v>2024</v>
      </c>
      <c r="D638" s="34" t="s">
        <v>2958</v>
      </c>
      <c r="E638" s="35" t="s">
        <v>2959</v>
      </c>
      <c r="F638" s="35" t="s">
        <v>884</v>
      </c>
      <c r="G638" s="34"/>
      <c r="H638" s="35" t="s">
        <v>883</v>
      </c>
      <c r="I638" s="35" t="s">
        <v>965</v>
      </c>
      <c r="J638" s="35" t="s">
        <v>1110</v>
      </c>
      <c r="K638" s="35" t="s">
        <v>888</v>
      </c>
      <c r="L638" s="35" t="s">
        <v>972</v>
      </c>
      <c r="M638" s="35" t="s">
        <v>530</v>
      </c>
      <c r="N638" s="35" t="s">
        <v>977</v>
      </c>
      <c r="O638" s="36">
        <v>1</v>
      </c>
      <c r="P638" s="35" t="s">
        <v>37</v>
      </c>
      <c r="Q638" s="35"/>
      <c r="R638" s="35" t="s">
        <v>2960</v>
      </c>
    </row>
    <row r="639" spans="1:18">
      <c r="A639" s="32">
        <v>607</v>
      </c>
      <c r="B639" s="33">
        <v>45560</v>
      </c>
      <c r="C639" s="32">
        <v>2024</v>
      </c>
      <c r="D639" s="34" t="s">
        <v>2961</v>
      </c>
      <c r="E639" s="35" t="s">
        <v>2962</v>
      </c>
      <c r="F639" s="35" t="s">
        <v>884</v>
      </c>
      <c r="G639" s="34"/>
      <c r="H639" s="35" t="s">
        <v>883</v>
      </c>
      <c r="I639" s="35" t="s">
        <v>965</v>
      </c>
      <c r="J639" s="35" t="s">
        <v>1110</v>
      </c>
      <c r="K639" s="35" t="s">
        <v>888</v>
      </c>
      <c r="L639" s="35" t="s">
        <v>1008</v>
      </c>
      <c r="M639" s="35" t="s">
        <v>526</v>
      </c>
      <c r="N639" s="35" t="s">
        <v>977</v>
      </c>
      <c r="O639" s="36">
        <v>8</v>
      </c>
      <c r="P639" s="35" t="s">
        <v>37</v>
      </c>
      <c r="Q639" s="35"/>
      <c r="R639" s="35" t="s">
        <v>2963</v>
      </c>
    </row>
    <row r="640" spans="1:18" ht="24">
      <c r="A640" s="32">
        <v>606</v>
      </c>
      <c r="B640" s="33">
        <v>45560</v>
      </c>
      <c r="C640" s="32">
        <v>2024</v>
      </c>
      <c r="D640" s="34" t="s">
        <v>2964</v>
      </c>
      <c r="E640" s="35" t="s">
        <v>2965</v>
      </c>
      <c r="F640" s="35"/>
      <c r="G640" s="34"/>
      <c r="H640" s="35"/>
      <c r="I640" s="35" t="s">
        <v>1005</v>
      </c>
      <c r="J640" s="35" t="s">
        <v>1021</v>
      </c>
      <c r="K640" s="35" t="s">
        <v>888</v>
      </c>
      <c r="L640" s="35" t="s">
        <v>1840</v>
      </c>
      <c r="M640" s="35" t="s">
        <v>512</v>
      </c>
      <c r="N640" s="35" t="s">
        <v>977</v>
      </c>
      <c r="O640" s="36">
        <v>4</v>
      </c>
      <c r="P640" s="35" t="s">
        <v>37</v>
      </c>
      <c r="Q640" s="35"/>
      <c r="R640" s="35" t="s">
        <v>2966</v>
      </c>
    </row>
    <row r="641" spans="1:18">
      <c r="A641" s="32">
        <v>604</v>
      </c>
      <c r="B641" s="33">
        <v>45559</v>
      </c>
      <c r="C641" s="32">
        <v>2024</v>
      </c>
      <c r="D641" s="34" t="s">
        <v>2967</v>
      </c>
      <c r="E641" s="35" t="s">
        <v>2968</v>
      </c>
      <c r="F641" s="35"/>
      <c r="G641" s="34"/>
      <c r="H641" s="35"/>
      <c r="I641" s="35" t="s">
        <v>1038</v>
      </c>
      <c r="J641" s="35" t="s">
        <v>1006</v>
      </c>
      <c r="K641" s="35" t="s">
        <v>1007</v>
      </c>
      <c r="L641" s="35" t="s">
        <v>1342</v>
      </c>
      <c r="M641" s="35" t="s">
        <v>515</v>
      </c>
      <c r="N641" s="35" t="s">
        <v>968</v>
      </c>
      <c r="O641" s="36">
        <v>8</v>
      </c>
      <c r="P641" s="35" t="s">
        <v>37</v>
      </c>
      <c r="Q641" s="35"/>
      <c r="R641" s="35" t="s">
        <v>2969</v>
      </c>
    </row>
    <row r="642" spans="1:18">
      <c r="A642" s="32">
        <v>601</v>
      </c>
      <c r="B642" s="33">
        <v>45559</v>
      </c>
      <c r="C642" s="32">
        <v>2024</v>
      </c>
      <c r="D642" s="34" t="s">
        <v>2970</v>
      </c>
      <c r="E642" s="35" t="s">
        <v>2971</v>
      </c>
      <c r="F642" s="35"/>
      <c r="G642" s="34"/>
      <c r="H642" s="35"/>
      <c r="I642" s="35" t="s">
        <v>1005</v>
      </c>
      <c r="J642" s="35" t="s">
        <v>1021</v>
      </c>
      <c r="K642" s="35" t="s">
        <v>888</v>
      </c>
      <c r="L642" s="35" t="s">
        <v>2729</v>
      </c>
      <c r="M642" s="35" t="s">
        <v>533</v>
      </c>
      <c r="N642" s="35" t="s">
        <v>968</v>
      </c>
      <c r="O642" s="36">
        <v>29</v>
      </c>
      <c r="P642" s="35" t="s">
        <v>37</v>
      </c>
      <c r="Q642" s="35"/>
      <c r="R642" s="35" t="s">
        <v>2972</v>
      </c>
    </row>
    <row r="643" spans="1:18">
      <c r="A643" s="32">
        <v>600</v>
      </c>
      <c r="B643" s="33">
        <v>45557</v>
      </c>
      <c r="C643" s="32">
        <v>2024</v>
      </c>
      <c r="D643" s="34" t="s">
        <v>2973</v>
      </c>
      <c r="E643" s="35" t="s">
        <v>2974</v>
      </c>
      <c r="F643" s="35" t="s">
        <v>893</v>
      </c>
      <c r="G643" s="34"/>
      <c r="H643" s="35" t="s">
        <v>879</v>
      </c>
      <c r="I643" s="35" t="s">
        <v>965</v>
      </c>
      <c r="J643" s="35" t="s">
        <v>1291</v>
      </c>
      <c r="K643" s="35" t="s">
        <v>897</v>
      </c>
      <c r="L643" s="35" t="s">
        <v>2388</v>
      </c>
      <c r="M643" s="35" t="s">
        <v>515</v>
      </c>
      <c r="N643" s="35" t="s">
        <v>977</v>
      </c>
      <c r="O643" s="36">
        <v>18</v>
      </c>
      <c r="P643" s="35" t="s">
        <v>37</v>
      </c>
      <c r="Q643" s="35"/>
      <c r="R643" s="35" t="s">
        <v>2975</v>
      </c>
    </row>
    <row r="644" spans="1:18" ht="24">
      <c r="A644" s="32">
        <v>599</v>
      </c>
      <c r="B644" s="33">
        <v>45557</v>
      </c>
      <c r="C644" s="32">
        <v>2024</v>
      </c>
      <c r="D644" s="34" t="s">
        <v>2976</v>
      </c>
      <c r="E644" s="35" t="s">
        <v>2977</v>
      </c>
      <c r="F644" s="35" t="s">
        <v>878</v>
      </c>
      <c r="G644" s="34"/>
      <c r="H644" s="35" t="s">
        <v>879</v>
      </c>
      <c r="I644" s="35" t="s">
        <v>965</v>
      </c>
      <c r="J644" s="35" t="s">
        <v>1110</v>
      </c>
      <c r="K644" s="35" t="s">
        <v>888</v>
      </c>
      <c r="L644" s="35" t="s">
        <v>2388</v>
      </c>
      <c r="M644" s="35" t="s">
        <v>515</v>
      </c>
      <c r="N644" s="35" t="s">
        <v>968</v>
      </c>
      <c r="O644" s="36">
        <v>32</v>
      </c>
      <c r="P644" s="35" t="s">
        <v>37</v>
      </c>
      <c r="Q644" s="35"/>
      <c r="R644" s="35" t="s">
        <v>2978</v>
      </c>
    </row>
    <row r="645" spans="1:18" ht="24">
      <c r="A645" s="32">
        <v>598</v>
      </c>
      <c r="B645" s="33">
        <v>45557</v>
      </c>
      <c r="C645" s="32">
        <v>2024</v>
      </c>
      <c r="D645" s="34" t="s">
        <v>2979</v>
      </c>
      <c r="E645" s="35" t="s">
        <v>2980</v>
      </c>
      <c r="F645" s="35"/>
      <c r="G645" s="34"/>
      <c r="H645" s="35" t="s">
        <v>879</v>
      </c>
      <c r="I645" s="35" t="s">
        <v>1134</v>
      </c>
      <c r="J645" s="35" t="s">
        <v>1135</v>
      </c>
      <c r="K645" s="35" t="s">
        <v>888</v>
      </c>
      <c r="L645" s="35" t="s">
        <v>2388</v>
      </c>
      <c r="M645" s="35" t="s">
        <v>515</v>
      </c>
      <c r="N645" s="35" t="s">
        <v>977</v>
      </c>
      <c r="O645" s="36">
        <v>15</v>
      </c>
      <c r="P645" s="35" t="s">
        <v>37</v>
      </c>
      <c r="Q645" s="35"/>
      <c r="R645" s="35" t="s">
        <v>2981</v>
      </c>
    </row>
    <row r="646" spans="1:18" ht="48">
      <c r="A646" s="32">
        <v>597</v>
      </c>
      <c r="B646" s="33">
        <v>45557</v>
      </c>
      <c r="C646" s="32">
        <v>2024</v>
      </c>
      <c r="D646" s="34" t="s">
        <v>2982</v>
      </c>
      <c r="E646" s="35" t="s">
        <v>2983</v>
      </c>
      <c r="F646" s="35"/>
      <c r="G646" s="34"/>
      <c r="H646" s="35" t="s">
        <v>879</v>
      </c>
      <c r="I646" s="35" t="s">
        <v>1134</v>
      </c>
      <c r="J646" s="35" t="s">
        <v>1135</v>
      </c>
      <c r="K646" s="35" t="s">
        <v>888</v>
      </c>
      <c r="L646" s="35" t="s">
        <v>972</v>
      </c>
      <c r="M646" s="35" t="s">
        <v>512</v>
      </c>
      <c r="N646" s="35" t="s">
        <v>977</v>
      </c>
      <c r="O646" s="36">
        <v>16</v>
      </c>
      <c r="P646" s="35" t="s">
        <v>37</v>
      </c>
      <c r="Q646" s="35"/>
      <c r="R646" s="35" t="s">
        <v>2984</v>
      </c>
    </row>
    <row r="647" spans="1:18" ht="36">
      <c r="A647" s="32">
        <v>1013</v>
      </c>
      <c r="B647" s="33">
        <v>45557</v>
      </c>
      <c r="C647" s="32">
        <v>2024</v>
      </c>
      <c r="D647" s="34" t="s">
        <v>2985</v>
      </c>
      <c r="E647" s="35" t="s">
        <v>2986</v>
      </c>
      <c r="F647" s="35" t="s">
        <v>878</v>
      </c>
      <c r="G647" s="34"/>
      <c r="H647" s="35" t="s">
        <v>879</v>
      </c>
      <c r="I647" s="35" t="s">
        <v>965</v>
      </c>
      <c r="J647" s="35" t="s">
        <v>1110</v>
      </c>
      <c r="K647" s="35" t="s">
        <v>888</v>
      </c>
      <c r="L647" s="35" t="s">
        <v>2388</v>
      </c>
      <c r="M647" s="35" t="s">
        <v>515</v>
      </c>
      <c r="N647" s="35" t="s">
        <v>977</v>
      </c>
      <c r="O647" s="36">
        <v>4</v>
      </c>
      <c r="P647" s="35" t="s">
        <v>382</v>
      </c>
      <c r="Q647" s="35"/>
      <c r="R647" s="35" t="s">
        <v>2987</v>
      </c>
    </row>
    <row r="648" spans="1:18">
      <c r="A648" s="32">
        <v>596</v>
      </c>
      <c r="B648" s="33">
        <v>45557</v>
      </c>
      <c r="C648" s="32">
        <v>2024</v>
      </c>
      <c r="D648" s="34" t="s">
        <v>2988</v>
      </c>
      <c r="E648" s="35" t="s">
        <v>2989</v>
      </c>
      <c r="F648" s="35"/>
      <c r="G648" s="34"/>
      <c r="H648" s="35"/>
      <c r="I648" s="35" t="s">
        <v>1038</v>
      </c>
      <c r="J648" s="35" t="s">
        <v>1006</v>
      </c>
      <c r="K648" s="35" t="s">
        <v>1007</v>
      </c>
      <c r="L648" s="35" t="s">
        <v>2388</v>
      </c>
      <c r="M648" s="35" t="s">
        <v>515</v>
      </c>
      <c r="N648" s="35" t="s">
        <v>968</v>
      </c>
      <c r="O648" s="36">
        <v>36</v>
      </c>
      <c r="P648" s="35" t="s">
        <v>37</v>
      </c>
      <c r="Q648" s="35"/>
      <c r="R648" s="35" t="s">
        <v>2990</v>
      </c>
    </row>
    <row r="649" spans="1:18" ht="24">
      <c r="A649" s="32">
        <v>594</v>
      </c>
      <c r="B649" s="33">
        <v>45557</v>
      </c>
      <c r="C649" s="32">
        <v>2024</v>
      </c>
      <c r="D649" s="34" t="s">
        <v>2991</v>
      </c>
      <c r="E649" s="35" t="s">
        <v>2992</v>
      </c>
      <c r="F649" s="35" t="s">
        <v>878</v>
      </c>
      <c r="G649" s="34"/>
      <c r="H649" s="35" t="s">
        <v>879</v>
      </c>
      <c r="I649" s="35" t="s">
        <v>965</v>
      </c>
      <c r="J649" s="35" t="s">
        <v>1110</v>
      </c>
      <c r="K649" s="35" t="s">
        <v>888</v>
      </c>
      <c r="L649" s="35" t="s">
        <v>2388</v>
      </c>
      <c r="M649" s="35" t="s">
        <v>515</v>
      </c>
      <c r="N649" s="35" t="s">
        <v>977</v>
      </c>
      <c r="O649" s="36">
        <v>3</v>
      </c>
      <c r="P649" s="35" t="s">
        <v>37</v>
      </c>
      <c r="Q649" s="35"/>
      <c r="R649" s="35" t="s">
        <v>2993</v>
      </c>
    </row>
    <row r="650" spans="1:18" ht="24">
      <c r="A650" s="32">
        <v>605</v>
      </c>
      <c r="B650" s="33">
        <v>45553</v>
      </c>
      <c r="C650" s="32">
        <v>2024</v>
      </c>
      <c r="D650" s="34" t="s">
        <v>2994</v>
      </c>
      <c r="E650" s="35" t="s">
        <v>2995</v>
      </c>
      <c r="F650" s="35"/>
      <c r="G650" s="34"/>
      <c r="H650" s="35"/>
      <c r="I650" s="35" t="s">
        <v>1005</v>
      </c>
      <c r="J650" s="35" t="s">
        <v>1021</v>
      </c>
      <c r="K650" s="35" t="s">
        <v>888</v>
      </c>
      <c r="L650" s="35" t="s">
        <v>2388</v>
      </c>
      <c r="M650" s="35" t="s">
        <v>515</v>
      </c>
      <c r="N650" s="35" t="s">
        <v>968</v>
      </c>
      <c r="O650" s="36">
        <v>16</v>
      </c>
      <c r="P650" s="35" t="s">
        <v>37</v>
      </c>
      <c r="Q650" s="35"/>
      <c r="R650" s="35" t="s">
        <v>2996</v>
      </c>
    </row>
    <row r="651" spans="1:18" ht="24">
      <c r="A651" s="32">
        <v>593</v>
      </c>
      <c r="B651" s="33">
        <v>45542</v>
      </c>
      <c r="C651" s="32">
        <v>2024</v>
      </c>
      <c r="D651" s="34" t="s">
        <v>2997</v>
      </c>
      <c r="E651" s="35" t="s">
        <v>2998</v>
      </c>
      <c r="F651" s="35" t="s">
        <v>878</v>
      </c>
      <c r="G651" s="34"/>
      <c r="H651" s="35" t="s">
        <v>879</v>
      </c>
      <c r="I651" s="35" t="s">
        <v>965</v>
      </c>
      <c r="J651" s="35" t="s">
        <v>1110</v>
      </c>
      <c r="K651" s="35" t="s">
        <v>888</v>
      </c>
      <c r="L651" s="35" t="s">
        <v>976</v>
      </c>
      <c r="M651" s="35" t="s">
        <v>522</v>
      </c>
      <c r="N651" s="35" t="s">
        <v>968</v>
      </c>
      <c r="O651" s="36">
        <v>9</v>
      </c>
      <c r="P651" s="35" t="s">
        <v>37</v>
      </c>
      <c r="Q651" s="35"/>
      <c r="R651" s="35" t="s">
        <v>2999</v>
      </c>
    </row>
    <row r="652" spans="1:18" ht="24">
      <c r="A652" s="32">
        <v>591</v>
      </c>
      <c r="B652" s="33">
        <v>45540</v>
      </c>
      <c r="C652" s="32">
        <v>2024</v>
      </c>
      <c r="D652" s="34" t="s">
        <v>3000</v>
      </c>
      <c r="E652" s="35" t="s">
        <v>3001</v>
      </c>
      <c r="F652" s="35"/>
      <c r="G652" s="34"/>
      <c r="H652" s="35"/>
      <c r="I652" s="35" t="s">
        <v>1038</v>
      </c>
      <c r="J652" s="35" t="s">
        <v>1006</v>
      </c>
      <c r="K652" s="35" t="s">
        <v>1007</v>
      </c>
      <c r="L652" s="35" t="s">
        <v>1139</v>
      </c>
      <c r="M652" s="35" t="s">
        <v>519</v>
      </c>
      <c r="N652" s="35" t="s">
        <v>977</v>
      </c>
      <c r="O652" s="36">
        <v>14</v>
      </c>
      <c r="P652" s="35" t="s">
        <v>37</v>
      </c>
      <c r="Q652" s="35"/>
      <c r="R652" s="35" t="s">
        <v>3002</v>
      </c>
    </row>
    <row r="653" spans="1:18" ht="24">
      <c r="A653" s="32">
        <v>590</v>
      </c>
      <c r="B653" s="33">
        <v>45539</v>
      </c>
      <c r="C653" s="32">
        <v>2024</v>
      </c>
      <c r="D653" s="34" t="s">
        <v>3003</v>
      </c>
      <c r="E653" s="35" t="s">
        <v>3004</v>
      </c>
      <c r="F653" s="35" t="s">
        <v>902</v>
      </c>
      <c r="G653" s="34"/>
      <c r="H653" s="35" t="s">
        <v>886</v>
      </c>
      <c r="I653" s="35" t="s">
        <v>965</v>
      </c>
      <c r="J653" s="35" t="s">
        <v>1291</v>
      </c>
      <c r="K653" s="35" t="s">
        <v>897</v>
      </c>
      <c r="L653" s="35" t="s">
        <v>976</v>
      </c>
      <c r="M653" s="35" t="s">
        <v>522</v>
      </c>
      <c r="N653" s="35" t="s">
        <v>968</v>
      </c>
      <c r="O653" s="36">
        <v>9</v>
      </c>
      <c r="P653" s="35" t="s">
        <v>37</v>
      </c>
      <c r="Q653" s="35"/>
      <c r="R653" s="35" t="s">
        <v>3005</v>
      </c>
    </row>
    <row r="654" spans="1:18" ht="24">
      <c r="A654" s="32">
        <v>589</v>
      </c>
      <c r="B654" s="33">
        <v>45539</v>
      </c>
      <c r="C654" s="32">
        <v>2024</v>
      </c>
      <c r="D654" s="34" t="s">
        <v>3006</v>
      </c>
      <c r="E654" s="35" t="s">
        <v>3007</v>
      </c>
      <c r="F654" s="35"/>
      <c r="G654" s="34"/>
      <c r="H654" s="35"/>
      <c r="I654" s="35" t="s">
        <v>1005</v>
      </c>
      <c r="J654" s="35" t="s">
        <v>1021</v>
      </c>
      <c r="K654" s="35" t="s">
        <v>888</v>
      </c>
      <c r="L654" s="35" t="s">
        <v>972</v>
      </c>
      <c r="M654" s="35" t="s">
        <v>512</v>
      </c>
      <c r="N654" s="35" t="s">
        <v>968</v>
      </c>
      <c r="O654" s="36">
        <v>18</v>
      </c>
      <c r="P654" s="35" t="s">
        <v>37</v>
      </c>
      <c r="Q654" s="35"/>
      <c r="R654" s="35" t="s">
        <v>3008</v>
      </c>
    </row>
    <row r="655" spans="1:18" ht="24">
      <c r="A655" s="32">
        <v>587</v>
      </c>
      <c r="B655" s="33">
        <v>45536</v>
      </c>
      <c r="C655" s="32">
        <v>2024</v>
      </c>
      <c r="D655" s="34" t="s">
        <v>3009</v>
      </c>
      <c r="E655" s="35" t="s">
        <v>3010</v>
      </c>
      <c r="F655" s="35" t="s">
        <v>907</v>
      </c>
      <c r="G655" s="34" t="s">
        <v>882</v>
      </c>
      <c r="H655" s="35" t="s">
        <v>879</v>
      </c>
      <c r="I655" s="35" t="s">
        <v>1317</v>
      </c>
      <c r="J655" s="35" t="s">
        <v>1110</v>
      </c>
      <c r="K655" s="35" t="s">
        <v>888</v>
      </c>
      <c r="L655" s="35" t="s">
        <v>1139</v>
      </c>
      <c r="M655" s="35" t="s">
        <v>519</v>
      </c>
      <c r="N655" s="35" t="s">
        <v>977</v>
      </c>
      <c r="O655" s="36">
        <v>12</v>
      </c>
      <c r="P655" s="35" t="s">
        <v>37</v>
      </c>
      <c r="Q655" s="35"/>
      <c r="R655" s="35" t="s">
        <v>3011</v>
      </c>
    </row>
    <row r="656" spans="1:18" ht="24">
      <c r="A656" s="32">
        <v>586</v>
      </c>
      <c r="B656" s="33">
        <v>45536</v>
      </c>
      <c r="C656" s="32">
        <v>2024</v>
      </c>
      <c r="D656" s="34" t="s">
        <v>3012</v>
      </c>
      <c r="E656" s="35" t="s">
        <v>3013</v>
      </c>
      <c r="F656" s="35" t="s">
        <v>882</v>
      </c>
      <c r="G656" s="34"/>
      <c r="H656" s="35" t="s">
        <v>883</v>
      </c>
      <c r="I656" s="35" t="s">
        <v>965</v>
      </c>
      <c r="J656" s="35" t="s">
        <v>1110</v>
      </c>
      <c r="K656" s="35" t="s">
        <v>888</v>
      </c>
      <c r="L656" s="35" t="s">
        <v>972</v>
      </c>
      <c r="M656" s="35" t="s">
        <v>512</v>
      </c>
      <c r="N656" s="35" t="s">
        <v>977</v>
      </c>
      <c r="O656" s="36">
        <v>6</v>
      </c>
      <c r="P656" s="35" t="s">
        <v>37</v>
      </c>
      <c r="Q656" s="35"/>
      <c r="R656" s="35" t="s">
        <v>3014</v>
      </c>
    </row>
    <row r="657" spans="1:18">
      <c r="A657" s="32">
        <v>595</v>
      </c>
      <c r="B657" s="33">
        <v>45534</v>
      </c>
      <c r="C657" s="32">
        <v>2024</v>
      </c>
      <c r="D657" s="34" t="s">
        <v>3015</v>
      </c>
      <c r="E657" s="35" t="s">
        <v>3016</v>
      </c>
      <c r="F657" s="35" t="s">
        <v>893</v>
      </c>
      <c r="G657" s="34"/>
      <c r="H657" s="35" t="s">
        <v>879</v>
      </c>
      <c r="I657" s="35" t="s">
        <v>965</v>
      </c>
      <c r="J657" s="35" t="s">
        <v>1291</v>
      </c>
      <c r="K657" s="35" t="s">
        <v>897</v>
      </c>
      <c r="L657" s="35" t="s">
        <v>2388</v>
      </c>
      <c r="M657" s="35" t="s">
        <v>515</v>
      </c>
      <c r="N657" s="35" t="s">
        <v>977</v>
      </c>
      <c r="O657" s="36">
        <v>20</v>
      </c>
      <c r="P657" s="35" t="s">
        <v>37</v>
      </c>
      <c r="Q657" s="35"/>
      <c r="R657" s="35" t="s">
        <v>3017</v>
      </c>
    </row>
    <row r="658" spans="1:18">
      <c r="A658" s="32">
        <v>585</v>
      </c>
      <c r="B658" s="33">
        <v>45533</v>
      </c>
      <c r="C658" s="32">
        <v>2024</v>
      </c>
      <c r="D658" s="34" t="s">
        <v>3018</v>
      </c>
      <c r="E658" s="35" t="s">
        <v>3019</v>
      </c>
      <c r="F658" s="35" t="s">
        <v>894</v>
      </c>
      <c r="G658" s="34"/>
      <c r="H658" s="35" t="s">
        <v>895</v>
      </c>
      <c r="I658" s="35" t="s">
        <v>965</v>
      </c>
      <c r="J658" s="35" t="s">
        <v>1291</v>
      </c>
      <c r="K658" s="35" t="s">
        <v>897</v>
      </c>
      <c r="L658" s="35" t="s">
        <v>972</v>
      </c>
      <c r="M658" s="35" t="s">
        <v>512</v>
      </c>
      <c r="N658" s="35" t="s">
        <v>977</v>
      </c>
      <c r="O658" s="36">
        <v>17</v>
      </c>
      <c r="P658" s="35" t="s">
        <v>37</v>
      </c>
      <c r="Q658" s="35"/>
      <c r="R658" s="35" t="s">
        <v>3020</v>
      </c>
    </row>
    <row r="659" spans="1:18" ht="24">
      <c r="A659" s="32">
        <v>584</v>
      </c>
      <c r="B659" s="33">
        <v>45527</v>
      </c>
      <c r="C659" s="32">
        <v>2024</v>
      </c>
      <c r="D659" s="34" t="s">
        <v>3021</v>
      </c>
      <c r="E659" s="35" t="s">
        <v>3022</v>
      </c>
      <c r="F659" s="35" t="s">
        <v>878</v>
      </c>
      <c r="G659" s="34"/>
      <c r="H659" s="35" t="s">
        <v>879</v>
      </c>
      <c r="I659" s="35" t="s">
        <v>965</v>
      </c>
      <c r="J659" s="35" t="s">
        <v>1110</v>
      </c>
      <c r="K659" s="35" t="s">
        <v>888</v>
      </c>
      <c r="L659" s="35" t="s">
        <v>1008</v>
      </c>
      <c r="M659" s="35" t="s">
        <v>526</v>
      </c>
      <c r="N659" s="35" t="s">
        <v>977</v>
      </c>
      <c r="O659" s="36">
        <v>19</v>
      </c>
      <c r="P659" s="35" t="s">
        <v>37</v>
      </c>
      <c r="Q659" s="35"/>
      <c r="R659" s="35" t="s">
        <v>3023</v>
      </c>
    </row>
    <row r="660" spans="1:18" ht="24">
      <c r="A660" s="32">
        <v>583</v>
      </c>
      <c r="B660" s="33">
        <v>45522</v>
      </c>
      <c r="C660" s="32">
        <v>2024</v>
      </c>
      <c r="D660" s="34" t="s">
        <v>3024</v>
      </c>
      <c r="E660" s="35" t="s">
        <v>3025</v>
      </c>
      <c r="F660" s="35" t="s">
        <v>884</v>
      </c>
      <c r="G660" s="34"/>
      <c r="H660" s="35" t="s">
        <v>883</v>
      </c>
      <c r="I660" s="35" t="s">
        <v>965</v>
      </c>
      <c r="J660" s="35" t="s">
        <v>1110</v>
      </c>
      <c r="K660" s="35" t="s">
        <v>888</v>
      </c>
      <c r="L660" s="35" t="s">
        <v>972</v>
      </c>
      <c r="M660" s="35" t="s">
        <v>530</v>
      </c>
      <c r="N660" s="35" t="s">
        <v>977</v>
      </c>
      <c r="O660" s="36">
        <v>41</v>
      </c>
      <c r="P660" s="35" t="s">
        <v>37</v>
      </c>
      <c r="Q660" s="35"/>
      <c r="R660" s="35" t="s">
        <v>3026</v>
      </c>
    </row>
    <row r="661" spans="1:18">
      <c r="A661" s="32">
        <v>582</v>
      </c>
      <c r="B661" s="33">
        <v>45521</v>
      </c>
      <c r="C661" s="32">
        <v>2024</v>
      </c>
      <c r="D661" s="34" t="s">
        <v>3027</v>
      </c>
      <c r="E661" s="35" t="s">
        <v>3028</v>
      </c>
      <c r="F661" s="35" t="s">
        <v>906</v>
      </c>
      <c r="G661" s="34"/>
      <c r="H661" s="35" t="s">
        <v>895</v>
      </c>
      <c r="I661" s="35" t="s">
        <v>965</v>
      </c>
      <c r="J661" s="35" t="s">
        <v>1291</v>
      </c>
      <c r="K661" s="35" t="s">
        <v>897</v>
      </c>
      <c r="L661" s="35" t="s">
        <v>1150</v>
      </c>
      <c r="M661" s="35" t="s">
        <v>515</v>
      </c>
      <c r="N661" s="35" t="s">
        <v>977</v>
      </c>
      <c r="O661" s="36">
        <v>37</v>
      </c>
      <c r="P661" s="35" t="s">
        <v>37</v>
      </c>
      <c r="Q661" s="35"/>
      <c r="R661" s="35" t="s">
        <v>3029</v>
      </c>
    </row>
    <row r="662" spans="1:18" ht="24">
      <c r="A662" s="32">
        <v>580</v>
      </c>
      <c r="B662" s="33">
        <v>45519</v>
      </c>
      <c r="C662" s="32">
        <v>2024</v>
      </c>
      <c r="D662" s="34" t="s">
        <v>3030</v>
      </c>
      <c r="E662" s="35" t="s">
        <v>3031</v>
      </c>
      <c r="F662" s="35"/>
      <c r="G662" s="34"/>
      <c r="H662" s="35"/>
      <c r="I662" s="35" t="s">
        <v>1038</v>
      </c>
      <c r="J662" s="35" t="s">
        <v>1006</v>
      </c>
      <c r="K662" s="35" t="s">
        <v>1007</v>
      </c>
      <c r="L662" s="35" t="s">
        <v>1034</v>
      </c>
      <c r="M662" s="35" t="s">
        <v>515</v>
      </c>
      <c r="N662" s="35" t="s">
        <v>968</v>
      </c>
      <c r="O662" s="36">
        <v>28</v>
      </c>
      <c r="P662" s="35" t="s">
        <v>37</v>
      </c>
      <c r="Q662" s="35"/>
      <c r="R662" s="35" t="s">
        <v>3032</v>
      </c>
    </row>
    <row r="663" spans="1:18" ht="36">
      <c r="A663" s="32">
        <v>579</v>
      </c>
      <c r="B663" s="33">
        <v>45519</v>
      </c>
      <c r="C663" s="32">
        <v>2024</v>
      </c>
      <c r="D663" s="34" t="s">
        <v>3033</v>
      </c>
      <c r="E663" s="35" t="s">
        <v>3034</v>
      </c>
      <c r="F663" s="35" t="s">
        <v>893</v>
      </c>
      <c r="G663" s="34"/>
      <c r="H663" s="35" t="s">
        <v>879</v>
      </c>
      <c r="I663" s="35" t="s">
        <v>965</v>
      </c>
      <c r="J663" s="35" t="s">
        <v>1291</v>
      </c>
      <c r="K663" s="35" t="s">
        <v>897</v>
      </c>
      <c r="L663" s="35" t="s">
        <v>972</v>
      </c>
      <c r="M663" s="35" t="s">
        <v>512</v>
      </c>
      <c r="N663" s="35" t="s">
        <v>968</v>
      </c>
      <c r="O663" s="36">
        <v>9</v>
      </c>
      <c r="P663" s="35" t="s">
        <v>37</v>
      </c>
      <c r="Q663" s="35"/>
      <c r="R663" s="35" t="s">
        <v>3035</v>
      </c>
    </row>
    <row r="664" spans="1:18" ht="24">
      <c r="A664" s="32">
        <v>577</v>
      </c>
      <c r="B664" s="33">
        <v>45518</v>
      </c>
      <c r="C664" s="32">
        <v>2024</v>
      </c>
      <c r="D664" s="34" t="s">
        <v>3036</v>
      </c>
      <c r="E664" s="35" t="s">
        <v>3037</v>
      </c>
      <c r="F664" s="35"/>
      <c r="G664" s="34"/>
      <c r="H664" s="35"/>
      <c r="I664" s="35" t="s">
        <v>1038</v>
      </c>
      <c r="J664" s="35" t="s">
        <v>1006</v>
      </c>
      <c r="K664" s="35" t="s">
        <v>1007</v>
      </c>
      <c r="L664" s="35" t="s">
        <v>1408</v>
      </c>
      <c r="M664" s="35" t="s">
        <v>515</v>
      </c>
      <c r="N664" s="35" t="s">
        <v>968</v>
      </c>
      <c r="O664" s="36">
        <v>10</v>
      </c>
      <c r="P664" s="35" t="s">
        <v>37</v>
      </c>
      <c r="Q664" s="35"/>
      <c r="R664" s="35" t="s">
        <v>3038</v>
      </c>
    </row>
    <row r="665" spans="1:18">
      <c r="A665" s="32">
        <v>576</v>
      </c>
      <c r="B665" s="33">
        <v>45518</v>
      </c>
      <c r="C665" s="32">
        <v>2024</v>
      </c>
      <c r="D665" s="34" t="s">
        <v>3039</v>
      </c>
      <c r="E665" s="35" t="s">
        <v>3040</v>
      </c>
      <c r="F665" s="35"/>
      <c r="G665" s="34"/>
      <c r="H665" s="35"/>
      <c r="I665" s="35" t="s">
        <v>1038</v>
      </c>
      <c r="J665" s="35" t="s">
        <v>1006</v>
      </c>
      <c r="K665" s="35" t="s">
        <v>1007</v>
      </c>
      <c r="L665" s="35" t="s">
        <v>972</v>
      </c>
      <c r="M665" s="35" t="s">
        <v>512</v>
      </c>
      <c r="N665" s="35" t="s">
        <v>968</v>
      </c>
      <c r="O665" s="36">
        <v>5</v>
      </c>
      <c r="P665" s="35" t="s">
        <v>37</v>
      </c>
      <c r="Q665" s="35"/>
      <c r="R665" s="35" t="s">
        <v>3041</v>
      </c>
    </row>
    <row r="666" spans="1:18" ht="24">
      <c r="A666" s="32">
        <v>575</v>
      </c>
      <c r="B666" s="33">
        <v>45518</v>
      </c>
      <c r="C666" s="32">
        <v>2024</v>
      </c>
      <c r="D666" s="34" t="s">
        <v>3042</v>
      </c>
      <c r="E666" s="35" t="s">
        <v>3043</v>
      </c>
      <c r="F666" s="35" t="s">
        <v>905</v>
      </c>
      <c r="G666" s="34"/>
      <c r="H666" s="35" t="s">
        <v>895</v>
      </c>
      <c r="I666" s="35" t="s">
        <v>965</v>
      </c>
      <c r="J666" s="35" t="s">
        <v>1291</v>
      </c>
      <c r="K666" s="35" t="s">
        <v>897</v>
      </c>
      <c r="L666" s="35" t="s">
        <v>972</v>
      </c>
      <c r="M666" s="35" t="s">
        <v>512</v>
      </c>
      <c r="N666" s="35" t="s">
        <v>977</v>
      </c>
      <c r="O666" s="36">
        <v>11</v>
      </c>
      <c r="P666" s="35" t="s">
        <v>37</v>
      </c>
      <c r="Q666" s="35"/>
      <c r="R666" s="35" t="s">
        <v>3044</v>
      </c>
    </row>
    <row r="667" spans="1:18">
      <c r="A667" s="32">
        <v>574</v>
      </c>
      <c r="B667" s="33">
        <v>45517</v>
      </c>
      <c r="C667" s="32">
        <v>2024</v>
      </c>
      <c r="D667" s="34" t="s">
        <v>3045</v>
      </c>
      <c r="E667" s="35" t="s">
        <v>3046</v>
      </c>
      <c r="F667" s="35"/>
      <c r="G667" s="34"/>
      <c r="H667" s="35"/>
      <c r="I667" s="35" t="s">
        <v>1005</v>
      </c>
      <c r="J667" s="35" t="s">
        <v>1021</v>
      </c>
      <c r="K667" s="35" t="s">
        <v>888</v>
      </c>
      <c r="L667" s="35" t="s">
        <v>2388</v>
      </c>
      <c r="M667" s="35" t="s">
        <v>515</v>
      </c>
      <c r="N667" s="35" t="s">
        <v>968</v>
      </c>
      <c r="O667" s="36">
        <v>12</v>
      </c>
      <c r="P667" s="35" t="s">
        <v>37</v>
      </c>
      <c r="Q667" s="35"/>
      <c r="R667" s="35" t="s">
        <v>3047</v>
      </c>
    </row>
    <row r="668" spans="1:18" ht="24">
      <c r="A668" s="32">
        <v>570</v>
      </c>
      <c r="B668" s="33">
        <v>45515</v>
      </c>
      <c r="C668" s="32">
        <v>2024</v>
      </c>
      <c r="D668" s="34" t="s">
        <v>3048</v>
      </c>
      <c r="E668" s="35" t="s">
        <v>3049</v>
      </c>
      <c r="F668" s="35"/>
      <c r="G668" s="34"/>
      <c r="H668" s="35"/>
      <c r="I668" s="35" t="s">
        <v>1484</v>
      </c>
      <c r="J668" s="35" t="s">
        <v>1485</v>
      </c>
      <c r="K668" s="35" t="s">
        <v>888</v>
      </c>
      <c r="L668" s="35" t="s">
        <v>1139</v>
      </c>
      <c r="M668" s="35" t="s">
        <v>519</v>
      </c>
      <c r="N668" s="35" t="s">
        <v>977</v>
      </c>
      <c r="O668" s="36">
        <v>33</v>
      </c>
      <c r="P668" s="35" t="s">
        <v>37</v>
      </c>
      <c r="Q668" s="35"/>
      <c r="R668" s="35" t="s">
        <v>3050</v>
      </c>
    </row>
    <row r="669" spans="1:18" ht="24">
      <c r="A669" s="32">
        <v>569</v>
      </c>
      <c r="B669" s="33">
        <v>45515</v>
      </c>
      <c r="C669" s="32">
        <v>2024</v>
      </c>
      <c r="D669" s="34" t="s">
        <v>3051</v>
      </c>
      <c r="E669" s="35" t="s">
        <v>3052</v>
      </c>
      <c r="F669" s="35" t="s">
        <v>892</v>
      </c>
      <c r="G669" s="34"/>
      <c r="H669" s="35" t="s">
        <v>879</v>
      </c>
      <c r="I669" s="35" t="s">
        <v>965</v>
      </c>
      <c r="J669" s="35" t="s">
        <v>1110</v>
      </c>
      <c r="K669" s="35" t="s">
        <v>888</v>
      </c>
      <c r="L669" s="35" t="s">
        <v>972</v>
      </c>
      <c r="M669" s="35" t="s">
        <v>512</v>
      </c>
      <c r="N669" s="35" t="s">
        <v>977</v>
      </c>
      <c r="O669" s="36">
        <v>6</v>
      </c>
      <c r="P669" s="35" t="s">
        <v>37</v>
      </c>
      <c r="Q669" s="35"/>
      <c r="R669" s="35" t="s">
        <v>3053</v>
      </c>
    </row>
    <row r="670" spans="1:18" ht="36">
      <c r="A670" s="32">
        <v>568</v>
      </c>
      <c r="B670" s="33">
        <v>45509</v>
      </c>
      <c r="C670" s="32">
        <v>2024</v>
      </c>
      <c r="D670" s="34" t="s">
        <v>3054</v>
      </c>
      <c r="E670" s="35" t="s">
        <v>3055</v>
      </c>
      <c r="F670" s="35" t="s">
        <v>884</v>
      </c>
      <c r="G670" s="34"/>
      <c r="H670" s="35" t="s">
        <v>883</v>
      </c>
      <c r="I670" s="35" t="s">
        <v>965</v>
      </c>
      <c r="J670" s="35" t="s">
        <v>1291</v>
      </c>
      <c r="K670" s="35" t="s">
        <v>897</v>
      </c>
      <c r="L670" s="35" t="s">
        <v>972</v>
      </c>
      <c r="M670" s="35" t="s">
        <v>512</v>
      </c>
      <c r="N670" s="35" t="s">
        <v>977</v>
      </c>
      <c r="O670" s="36">
        <v>6</v>
      </c>
      <c r="P670" s="35" t="s">
        <v>37</v>
      </c>
      <c r="Q670" s="35"/>
      <c r="R670" s="35" t="s">
        <v>3056</v>
      </c>
    </row>
    <row r="671" spans="1:18">
      <c r="A671" s="32">
        <v>567</v>
      </c>
      <c r="B671" s="33">
        <v>45501</v>
      </c>
      <c r="C671" s="32">
        <v>2024</v>
      </c>
      <c r="D671" s="34" t="s">
        <v>3057</v>
      </c>
      <c r="E671" s="35" t="s">
        <v>3058</v>
      </c>
      <c r="F671" s="35" t="s">
        <v>912</v>
      </c>
      <c r="G671" s="34"/>
      <c r="H671" s="35" t="s">
        <v>883</v>
      </c>
      <c r="I671" s="35" t="s">
        <v>965</v>
      </c>
      <c r="J671" s="35" t="s">
        <v>1110</v>
      </c>
      <c r="K671" s="35" t="s">
        <v>888</v>
      </c>
      <c r="L671" s="35" t="s">
        <v>972</v>
      </c>
      <c r="M671" s="35" t="s">
        <v>512</v>
      </c>
      <c r="N671" s="35" t="s">
        <v>968</v>
      </c>
      <c r="O671" s="36">
        <v>5</v>
      </c>
      <c r="P671" s="35" t="s">
        <v>37</v>
      </c>
      <c r="Q671" s="35"/>
      <c r="R671" s="35" t="s">
        <v>3059</v>
      </c>
    </row>
    <row r="672" spans="1:18">
      <c r="A672" s="32">
        <v>566</v>
      </c>
      <c r="B672" s="33">
        <v>45497</v>
      </c>
      <c r="C672" s="32">
        <v>2024</v>
      </c>
      <c r="D672" s="34" t="s">
        <v>3060</v>
      </c>
      <c r="E672" s="35" t="s">
        <v>3061</v>
      </c>
      <c r="F672" s="35"/>
      <c r="G672" s="34"/>
      <c r="H672" s="35"/>
      <c r="I672" s="35" t="s">
        <v>1038</v>
      </c>
      <c r="J672" s="35" t="s">
        <v>1006</v>
      </c>
      <c r="K672" s="35" t="s">
        <v>1007</v>
      </c>
      <c r="L672" s="35" t="s">
        <v>1086</v>
      </c>
      <c r="M672" s="35" t="s">
        <v>512</v>
      </c>
      <c r="N672" s="35" t="s">
        <v>977</v>
      </c>
      <c r="O672" s="36">
        <v>3</v>
      </c>
      <c r="P672" s="35" t="s">
        <v>37</v>
      </c>
      <c r="Q672" s="35"/>
      <c r="R672" s="35" t="s">
        <v>3062</v>
      </c>
    </row>
    <row r="673" spans="1:18" ht="24">
      <c r="A673" s="32">
        <v>565</v>
      </c>
      <c r="B673" s="33">
        <v>45496</v>
      </c>
      <c r="C673" s="32">
        <v>2024</v>
      </c>
      <c r="D673" s="34" t="s">
        <v>3063</v>
      </c>
      <c r="E673" s="35" t="s">
        <v>3064</v>
      </c>
      <c r="F673" s="35" t="s">
        <v>884</v>
      </c>
      <c r="G673" s="34"/>
      <c r="H673" s="35" t="s">
        <v>883</v>
      </c>
      <c r="I673" s="35" t="s">
        <v>965</v>
      </c>
      <c r="J673" s="35" t="s">
        <v>1110</v>
      </c>
      <c r="K673" s="35" t="s">
        <v>888</v>
      </c>
      <c r="L673" s="35" t="s">
        <v>1086</v>
      </c>
      <c r="M673" s="35" t="s">
        <v>512</v>
      </c>
      <c r="N673" s="35" t="s">
        <v>977</v>
      </c>
      <c r="O673" s="36">
        <v>5</v>
      </c>
      <c r="P673" s="35" t="s">
        <v>37</v>
      </c>
      <c r="Q673" s="35"/>
      <c r="R673" s="35" t="s">
        <v>3065</v>
      </c>
    </row>
    <row r="674" spans="1:18" ht="24">
      <c r="A674" s="32">
        <v>563</v>
      </c>
      <c r="B674" s="33">
        <v>45495</v>
      </c>
      <c r="C674" s="32">
        <v>2024</v>
      </c>
      <c r="D674" s="34" t="s">
        <v>3066</v>
      </c>
      <c r="E674" s="35" t="s">
        <v>3067</v>
      </c>
      <c r="F674" s="35"/>
      <c r="G674" s="34"/>
      <c r="H674" s="35"/>
      <c r="I674" s="35" t="s">
        <v>1038</v>
      </c>
      <c r="J674" s="35" t="s">
        <v>1006</v>
      </c>
      <c r="K674" s="35" t="s">
        <v>1007</v>
      </c>
      <c r="L674" s="35" t="s">
        <v>1008</v>
      </c>
      <c r="M674" s="35" t="s">
        <v>526</v>
      </c>
      <c r="N674" s="35" t="s">
        <v>968</v>
      </c>
      <c r="O674" s="36">
        <v>14</v>
      </c>
      <c r="P674" s="35" t="s">
        <v>37</v>
      </c>
      <c r="Q674" s="35"/>
      <c r="R674" s="35" t="s">
        <v>3068</v>
      </c>
    </row>
    <row r="675" spans="1:18" ht="24">
      <c r="A675" s="32">
        <v>562</v>
      </c>
      <c r="B675" s="33">
        <v>45495</v>
      </c>
      <c r="C675" s="32">
        <v>2024</v>
      </c>
      <c r="D675" s="34" t="s">
        <v>3069</v>
      </c>
      <c r="E675" s="35" t="s">
        <v>3070</v>
      </c>
      <c r="F675" s="35"/>
      <c r="G675" s="34"/>
      <c r="H675" s="35"/>
      <c r="I675" s="35" t="s">
        <v>1005</v>
      </c>
      <c r="J675" s="35" t="s">
        <v>1021</v>
      </c>
      <c r="K675" s="35" t="s">
        <v>888</v>
      </c>
      <c r="L675" s="35" t="s">
        <v>976</v>
      </c>
      <c r="M675" s="35" t="s">
        <v>522</v>
      </c>
      <c r="N675" s="35" t="s">
        <v>968</v>
      </c>
      <c r="O675" s="36">
        <v>15</v>
      </c>
      <c r="P675" s="35" t="s">
        <v>37</v>
      </c>
      <c r="Q675" s="35"/>
      <c r="R675" s="35" t="s">
        <v>3071</v>
      </c>
    </row>
    <row r="676" spans="1:18" ht="24">
      <c r="A676" s="32">
        <v>561</v>
      </c>
      <c r="B676" s="33">
        <v>45495</v>
      </c>
      <c r="C676" s="32">
        <v>2024</v>
      </c>
      <c r="D676" s="34" t="s">
        <v>3072</v>
      </c>
      <c r="E676" s="35" t="s">
        <v>3073</v>
      </c>
      <c r="F676" s="35" t="s">
        <v>885</v>
      </c>
      <c r="G676" s="34"/>
      <c r="H676" s="35" t="s">
        <v>886</v>
      </c>
      <c r="I676" s="35" t="s">
        <v>965</v>
      </c>
      <c r="J676" s="35" t="s">
        <v>1291</v>
      </c>
      <c r="K676" s="35" t="s">
        <v>897</v>
      </c>
      <c r="L676" s="35" t="s">
        <v>1086</v>
      </c>
      <c r="M676" s="35" t="s">
        <v>512</v>
      </c>
      <c r="N676" s="35" t="s">
        <v>968</v>
      </c>
      <c r="O676" s="36">
        <v>20</v>
      </c>
      <c r="P676" s="35" t="s">
        <v>37</v>
      </c>
      <c r="Q676" s="35"/>
      <c r="R676" s="35" t="s">
        <v>3074</v>
      </c>
    </row>
    <row r="677" spans="1:18" ht="24">
      <c r="A677" s="32">
        <v>555</v>
      </c>
      <c r="B677" s="33">
        <v>45495</v>
      </c>
      <c r="C677" s="32">
        <v>2024</v>
      </c>
      <c r="D677" s="34" t="s">
        <v>3075</v>
      </c>
      <c r="E677" s="35" t="s">
        <v>3076</v>
      </c>
      <c r="F677" s="35"/>
      <c r="G677" s="34"/>
      <c r="H677" s="35"/>
      <c r="I677" s="35" t="s">
        <v>1005</v>
      </c>
      <c r="J677" s="35" t="s">
        <v>1021</v>
      </c>
      <c r="K677" s="35" t="s">
        <v>888</v>
      </c>
      <c r="L677" s="35" t="s">
        <v>1119</v>
      </c>
      <c r="M677" s="35" t="s">
        <v>519</v>
      </c>
      <c r="N677" s="35" t="s">
        <v>968</v>
      </c>
      <c r="O677" s="36">
        <v>18</v>
      </c>
      <c r="P677" s="35" t="s">
        <v>37</v>
      </c>
      <c r="Q677" s="35"/>
      <c r="R677" s="35" t="s">
        <v>3077</v>
      </c>
    </row>
    <row r="678" spans="1:18">
      <c r="A678" s="32">
        <v>571</v>
      </c>
      <c r="B678" s="33">
        <v>45484</v>
      </c>
      <c r="C678" s="32">
        <v>2024</v>
      </c>
      <c r="D678" s="34" t="s">
        <v>3078</v>
      </c>
      <c r="E678" s="35" t="s">
        <v>3079</v>
      </c>
      <c r="F678" s="35"/>
      <c r="G678" s="34"/>
      <c r="H678" s="35"/>
      <c r="I678" s="35" t="s">
        <v>1038</v>
      </c>
      <c r="J678" s="35" t="s">
        <v>1006</v>
      </c>
      <c r="K678" s="35" t="s">
        <v>1007</v>
      </c>
      <c r="L678" s="35" t="s">
        <v>1101</v>
      </c>
      <c r="M678" s="35" t="s">
        <v>530</v>
      </c>
      <c r="N678" s="35" t="s">
        <v>977</v>
      </c>
      <c r="O678" s="36">
        <v>4</v>
      </c>
      <c r="P678" s="35" t="s">
        <v>37</v>
      </c>
      <c r="Q678" s="35"/>
      <c r="R678" s="35" t="s">
        <v>3080</v>
      </c>
    </row>
    <row r="679" spans="1:18" ht="36">
      <c r="A679" s="32">
        <v>554</v>
      </c>
      <c r="B679" s="33">
        <v>45479</v>
      </c>
      <c r="C679" s="32">
        <v>2024</v>
      </c>
      <c r="D679" s="34" t="s">
        <v>3081</v>
      </c>
      <c r="E679" s="35" t="s">
        <v>3082</v>
      </c>
      <c r="F679" s="35"/>
      <c r="G679" s="34"/>
      <c r="H679" s="35"/>
      <c r="I679" s="35" t="s">
        <v>1038</v>
      </c>
      <c r="J679" s="35" t="s">
        <v>1006</v>
      </c>
      <c r="K679" s="35" t="s">
        <v>1007</v>
      </c>
      <c r="L679" s="35" t="s">
        <v>1158</v>
      </c>
      <c r="M679" s="35" t="s">
        <v>515</v>
      </c>
      <c r="N679" s="35" t="s">
        <v>977</v>
      </c>
      <c r="O679" s="36">
        <v>3</v>
      </c>
      <c r="P679" s="35" t="s">
        <v>37</v>
      </c>
      <c r="Q679" s="35"/>
      <c r="R679" s="35" t="s">
        <v>3083</v>
      </c>
    </row>
    <row r="680" spans="1:18" ht="24">
      <c r="A680" s="32">
        <v>550</v>
      </c>
      <c r="B680" s="33">
        <v>45473</v>
      </c>
      <c r="C680" s="32">
        <v>2024</v>
      </c>
      <c r="D680" s="34" t="s">
        <v>3084</v>
      </c>
      <c r="E680" s="35" t="s">
        <v>3085</v>
      </c>
      <c r="F680" s="35"/>
      <c r="G680" s="34"/>
      <c r="H680" s="35"/>
      <c r="I680" s="35" t="s">
        <v>1005</v>
      </c>
      <c r="J680" s="35" t="s">
        <v>1021</v>
      </c>
      <c r="K680" s="35" t="s">
        <v>888</v>
      </c>
      <c r="L680" s="35" t="s">
        <v>1086</v>
      </c>
      <c r="M680" s="35" t="s">
        <v>512</v>
      </c>
      <c r="N680" s="35" t="s">
        <v>968</v>
      </c>
      <c r="O680" s="36">
        <v>10</v>
      </c>
      <c r="P680" s="35" t="s">
        <v>37</v>
      </c>
      <c r="Q680" s="35"/>
      <c r="R680" s="35" t="s">
        <v>3086</v>
      </c>
    </row>
    <row r="681" spans="1:18" ht="36">
      <c r="A681" s="32">
        <v>630</v>
      </c>
      <c r="B681" s="33">
        <v>45473</v>
      </c>
      <c r="C681" s="32">
        <v>2024</v>
      </c>
      <c r="D681" s="34" t="s">
        <v>3087</v>
      </c>
      <c r="E681" s="35" t="s">
        <v>3088</v>
      </c>
      <c r="F681" s="35"/>
      <c r="G681" s="34"/>
      <c r="H681" s="35" t="s">
        <v>883</v>
      </c>
      <c r="I681" s="35" t="s">
        <v>1134</v>
      </c>
      <c r="J681" s="35" t="s">
        <v>1135</v>
      </c>
      <c r="K681" s="35" t="s">
        <v>888</v>
      </c>
      <c r="L681" s="35" t="s">
        <v>972</v>
      </c>
      <c r="M681" s="35" t="s">
        <v>512</v>
      </c>
      <c r="N681" s="35" t="s">
        <v>977</v>
      </c>
      <c r="O681" s="36">
        <v>4</v>
      </c>
      <c r="P681" s="35" t="s">
        <v>37</v>
      </c>
      <c r="Q681" s="35"/>
      <c r="R681" s="35" t="s">
        <v>3089</v>
      </c>
    </row>
    <row r="682" spans="1:18" ht="24">
      <c r="A682" s="32">
        <v>549</v>
      </c>
      <c r="B682" s="33">
        <v>45470</v>
      </c>
      <c r="C682" s="32">
        <v>2024</v>
      </c>
      <c r="D682" s="34" t="s">
        <v>3090</v>
      </c>
      <c r="E682" s="35" t="s">
        <v>3091</v>
      </c>
      <c r="F682" s="35" t="s">
        <v>878</v>
      </c>
      <c r="G682" s="34"/>
      <c r="H682" s="35" t="s">
        <v>879</v>
      </c>
      <c r="I682" s="35" t="s">
        <v>965</v>
      </c>
      <c r="J682" s="35" t="s">
        <v>1291</v>
      </c>
      <c r="K682" s="35" t="s">
        <v>897</v>
      </c>
      <c r="L682" s="35" t="s">
        <v>1158</v>
      </c>
      <c r="M682" s="35" t="s">
        <v>515</v>
      </c>
      <c r="N682" s="35" t="s">
        <v>977</v>
      </c>
      <c r="O682" s="36">
        <v>3</v>
      </c>
      <c r="P682" s="35" t="s">
        <v>37</v>
      </c>
      <c r="Q682" s="35"/>
      <c r="R682" s="35" t="s">
        <v>3092</v>
      </c>
    </row>
    <row r="683" spans="1:18">
      <c r="A683" s="32">
        <v>547</v>
      </c>
      <c r="B683" s="33">
        <v>45469</v>
      </c>
      <c r="C683" s="32">
        <v>2024</v>
      </c>
      <c r="D683" s="34" t="s">
        <v>3093</v>
      </c>
      <c r="E683" s="35" t="s">
        <v>3094</v>
      </c>
      <c r="F683" s="35" t="s">
        <v>930</v>
      </c>
      <c r="G683" s="34"/>
      <c r="H683" s="35" t="s">
        <v>890</v>
      </c>
      <c r="I683" s="35" t="s">
        <v>965</v>
      </c>
      <c r="J683" s="35" t="s">
        <v>1110</v>
      </c>
      <c r="K683" s="35" t="s">
        <v>888</v>
      </c>
      <c r="L683" s="35" t="s">
        <v>1008</v>
      </c>
      <c r="M683" s="35" t="s">
        <v>526</v>
      </c>
      <c r="N683" s="35" t="s">
        <v>968</v>
      </c>
      <c r="O683" s="36">
        <v>17</v>
      </c>
      <c r="P683" s="35" t="s">
        <v>37</v>
      </c>
      <c r="Q683" s="35"/>
      <c r="R683" s="35" t="s">
        <v>3095</v>
      </c>
    </row>
    <row r="684" spans="1:18">
      <c r="A684" s="32">
        <v>545</v>
      </c>
      <c r="B684" s="33">
        <v>45466</v>
      </c>
      <c r="C684" s="32">
        <v>2024</v>
      </c>
      <c r="D684" s="34" t="s">
        <v>3096</v>
      </c>
      <c r="E684" s="35" t="s">
        <v>3097</v>
      </c>
      <c r="F684" s="35"/>
      <c r="G684" s="34"/>
      <c r="H684" s="35"/>
      <c r="I684" s="35" t="s">
        <v>1038</v>
      </c>
      <c r="J684" s="35" t="s">
        <v>1006</v>
      </c>
      <c r="K684" s="35" t="s">
        <v>1007</v>
      </c>
      <c r="L684" s="35" t="s">
        <v>972</v>
      </c>
      <c r="M684" s="35" t="s">
        <v>512</v>
      </c>
      <c r="N684" s="35" t="s">
        <v>968</v>
      </c>
      <c r="O684" s="36">
        <v>11</v>
      </c>
      <c r="P684" s="35" t="s">
        <v>37</v>
      </c>
      <c r="Q684" s="35"/>
      <c r="R684" s="35" t="s">
        <v>3098</v>
      </c>
    </row>
    <row r="685" spans="1:18" ht="24">
      <c r="A685" s="32">
        <v>548</v>
      </c>
      <c r="B685" s="33">
        <v>45465</v>
      </c>
      <c r="C685" s="32">
        <v>2024</v>
      </c>
      <c r="D685" s="34" t="s">
        <v>3099</v>
      </c>
      <c r="E685" s="35" t="s">
        <v>3100</v>
      </c>
      <c r="F685" s="35"/>
      <c r="G685" s="34"/>
      <c r="H685" s="35" t="s">
        <v>890</v>
      </c>
      <c r="I685" s="35" t="s">
        <v>1134</v>
      </c>
      <c r="J685" s="35" t="s">
        <v>1135</v>
      </c>
      <c r="K685" s="35" t="s">
        <v>888</v>
      </c>
      <c r="L685" s="35" t="s">
        <v>1008</v>
      </c>
      <c r="M685" s="35" t="s">
        <v>526</v>
      </c>
      <c r="N685" s="35" t="s">
        <v>968</v>
      </c>
      <c r="O685" s="36">
        <v>13</v>
      </c>
      <c r="P685" s="35" t="s">
        <v>37</v>
      </c>
      <c r="Q685" s="35"/>
      <c r="R685" s="35" t="s">
        <v>3101</v>
      </c>
    </row>
    <row r="686" spans="1:18" ht="24">
      <c r="A686" s="32">
        <v>543</v>
      </c>
      <c r="B686" s="33">
        <v>45465</v>
      </c>
      <c r="C686" s="32">
        <v>2024</v>
      </c>
      <c r="D686" s="34" t="s">
        <v>3102</v>
      </c>
      <c r="E686" s="35" t="s">
        <v>3103</v>
      </c>
      <c r="F686" s="35"/>
      <c r="G686" s="34"/>
      <c r="H686" s="35"/>
      <c r="I686" s="35" t="s">
        <v>1005</v>
      </c>
      <c r="J686" s="35" t="s">
        <v>1021</v>
      </c>
      <c r="K686" s="35" t="s">
        <v>888</v>
      </c>
      <c r="L686" s="35" t="s">
        <v>1127</v>
      </c>
      <c r="M686" s="35" t="s">
        <v>515</v>
      </c>
      <c r="N686" s="35" t="s">
        <v>968</v>
      </c>
      <c r="O686" s="36">
        <v>2</v>
      </c>
      <c r="P686" s="35" t="s">
        <v>37</v>
      </c>
      <c r="Q686" s="35"/>
      <c r="R686" s="35" t="s">
        <v>3104</v>
      </c>
    </row>
    <row r="687" spans="1:18" ht="48">
      <c r="A687" s="32">
        <v>542</v>
      </c>
      <c r="B687" s="33">
        <v>45463</v>
      </c>
      <c r="C687" s="32">
        <v>2024</v>
      </c>
      <c r="D687" s="34" t="s">
        <v>3105</v>
      </c>
      <c r="E687" s="35" t="s">
        <v>3106</v>
      </c>
      <c r="F687" s="35"/>
      <c r="G687" s="34"/>
      <c r="H687" s="35" t="s">
        <v>879</v>
      </c>
      <c r="I687" s="35" t="s">
        <v>1134</v>
      </c>
      <c r="J687" s="35" t="s">
        <v>1135</v>
      </c>
      <c r="K687" s="35" t="s">
        <v>888</v>
      </c>
      <c r="L687" s="35" t="s">
        <v>1034</v>
      </c>
      <c r="M687" s="35" t="s">
        <v>515</v>
      </c>
      <c r="N687" s="35" t="s">
        <v>977</v>
      </c>
      <c r="O687" s="36">
        <v>7</v>
      </c>
      <c r="P687" s="35" t="s">
        <v>37</v>
      </c>
      <c r="Q687" s="35"/>
      <c r="R687" s="35" t="s">
        <v>3107</v>
      </c>
    </row>
    <row r="688" spans="1:18">
      <c r="A688" s="32">
        <v>541</v>
      </c>
      <c r="B688" s="33">
        <v>45459</v>
      </c>
      <c r="C688" s="32">
        <v>2024</v>
      </c>
      <c r="D688" s="34" t="s">
        <v>3108</v>
      </c>
      <c r="E688" s="35" t="s">
        <v>3109</v>
      </c>
      <c r="F688" s="35"/>
      <c r="G688" s="34"/>
      <c r="H688" s="35"/>
      <c r="I688" s="35" t="s">
        <v>1038</v>
      </c>
      <c r="J688" s="35" t="s">
        <v>1006</v>
      </c>
      <c r="K688" s="35" t="s">
        <v>1007</v>
      </c>
      <c r="L688" s="35" t="s">
        <v>1127</v>
      </c>
      <c r="M688" s="35" t="s">
        <v>515</v>
      </c>
      <c r="N688" s="35" t="s">
        <v>977</v>
      </c>
      <c r="O688" s="36">
        <v>2</v>
      </c>
      <c r="P688" s="35" t="s">
        <v>37</v>
      </c>
      <c r="Q688" s="35"/>
      <c r="R688" s="35" t="s">
        <v>3110</v>
      </c>
    </row>
    <row r="689" spans="1:18" ht="24">
      <c r="A689" s="32">
        <v>538</v>
      </c>
      <c r="B689" s="33">
        <v>45458</v>
      </c>
      <c r="C689" s="32">
        <v>2024</v>
      </c>
      <c r="D689" s="34" t="s">
        <v>3111</v>
      </c>
      <c r="E689" s="35" t="s">
        <v>3112</v>
      </c>
      <c r="F689" s="35"/>
      <c r="G689" s="34"/>
      <c r="H689" s="35"/>
      <c r="I689" s="35" t="s">
        <v>1005</v>
      </c>
      <c r="J689" s="35" t="s">
        <v>1021</v>
      </c>
      <c r="K689" s="35" t="s">
        <v>888</v>
      </c>
      <c r="L689" s="35" t="s">
        <v>972</v>
      </c>
      <c r="M689" s="35" t="s">
        <v>512</v>
      </c>
      <c r="N689" s="35" t="s">
        <v>968</v>
      </c>
      <c r="O689" s="36">
        <v>15</v>
      </c>
      <c r="P689" s="35" t="s">
        <v>37</v>
      </c>
      <c r="Q689" s="35"/>
      <c r="R689" s="35" t="s">
        <v>3113</v>
      </c>
    </row>
    <row r="690" spans="1:18" ht="24">
      <c r="A690" s="32">
        <v>536</v>
      </c>
      <c r="B690" s="33">
        <v>45458</v>
      </c>
      <c r="C690" s="32">
        <v>2024</v>
      </c>
      <c r="D690" s="34" t="s">
        <v>3114</v>
      </c>
      <c r="E690" s="35" t="s">
        <v>3115</v>
      </c>
      <c r="F690" s="35"/>
      <c r="G690" s="34"/>
      <c r="H690" s="35"/>
      <c r="I690" s="35" t="s">
        <v>1038</v>
      </c>
      <c r="J690" s="35" t="s">
        <v>1006</v>
      </c>
      <c r="K690" s="35" t="s">
        <v>1007</v>
      </c>
      <c r="L690" s="35" t="s">
        <v>1139</v>
      </c>
      <c r="M690" s="35" t="s">
        <v>519</v>
      </c>
      <c r="N690" s="35" t="s">
        <v>977</v>
      </c>
      <c r="O690" s="36">
        <v>11</v>
      </c>
      <c r="P690" s="35" t="s">
        <v>37</v>
      </c>
      <c r="Q690" s="35"/>
      <c r="R690" s="35" t="s">
        <v>3116</v>
      </c>
    </row>
    <row r="691" spans="1:18">
      <c r="A691" s="32">
        <v>534</v>
      </c>
      <c r="B691" s="33">
        <v>45458</v>
      </c>
      <c r="C691" s="32">
        <v>2024</v>
      </c>
      <c r="D691" s="34" t="s">
        <v>3117</v>
      </c>
      <c r="E691" s="35" t="s">
        <v>3118</v>
      </c>
      <c r="F691" s="35" t="s">
        <v>889</v>
      </c>
      <c r="G691" s="34"/>
      <c r="H691" s="35" t="s">
        <v>890</v>
      </c>
      <c r="I691" s="35" t="s">
        <v>965</v>
      </c>
      <c r="J691" s="35" t="s">
        <v>1110</v>
      </c>
      <c r="K691" s="35" t="s">
        <v>888</v>
      </c>
      <c r="L691" s="35" t="s">
        <v>2388</v>
      </c>
      <c r="M691" s="35" t="s">
        <v>515</v>
      </c>
      <c r="N691" s="35" t="s">
        <v>968</v>
      </c>
      <c r="O691" s="36">
        <v>13</v>
      </c>
      <c r="P691" s="35" t="s">
        <v>37</v>
      </c>
      <c r="Q691" s="35"/>
      <c r="R691" s="35" t="s">
        <v>3119</v>
      </c>
    </row>
    <row r="692" spans="1:18" ht="24">
      <c r="A692" s="32">
        <v>533</v>
      </c>
      <c r="B692" s="33">
        <v>45458</v>
      </c>
      <c r="C692" s="32">
        <v>2024</v>
      </c>
      <c r="D692" s="34" t="s">
        <v>3120</v>
      </c>
      <c r="E692" s="35" t="s">
        <v>3121</v>
      </c>
      <c r="F692" s="35" t="s">
        <v>906</v>
      </c>
      <c r="G692" s="34"/>
      <c r="H692" s="35" t="s">
        <v>895</v>
      </c>
      <c r="I692" s="35" t="s">
        <v>965</v>
      </c>
      <c r="J692" s="35" t="s">
        <v>1291</v>
      </c>
      <c r="K692" s="35" t="s">
        <v>897</v>
      </c>
      <c r="L692" s="35" t="s">
        <v>972</v>
      </c>
      <c r="M692" s="35" t="s">
        <v>530</v>
      </c>
      <c r="N692" s="35" t="s">
        <v>968</v>
      </c>
      <c r="O692" s="36">
        <v>23</v>
      </c>
      <c r="P692" s="35" t="s">
        <v>37</v>
      </c>
      <c r="Q692" s="35"/>
      <c r="R692" s="35" t="s">
        <v>3122</v>
      </c>
    </row>
    <row r="693" spans="1:18" ht="24">
      <c r="A693" s="32">
        <v>532</v>
      </c>
      <c r="B693" s="33">
        <v>45458</v>
      </c>
      <c r="C693" s="32">
        <v>2024</v>
      </c>
      <c r="D693" s="34" t="s">
        <v>3123</v>
      </c>
      <c r="E693" s="35" t="s">
        <v>3124</v>
      </c>
      <c r="F693" s="35"/>
      <c r="G693" s="34"/>
      <c r="H693" s="35"/>
      <c r="I693" s="35" t="s">
        <v>1005</v>
      </c>
      <c r="J693" s="35" t="s">
        <v>1021</v>
      </c>
      <c r="K693" s="35" t="s">
        <v>888</v>
      </c>
      <c r="L693" s="35" t="s">
        <v>972</v>
      </c>
      <c r="M693" s="35" t="s">
        <v>512</v>
      </c>
      <c r="N693" s="35" t="s">
        <v>968</v>
      </c>
      <c r="O693" s="36">
        <v>5</v>
      </c>
      <c r="P693" s="35" t="s">
        <v>37</v>
      </c>
      <c r="Q693" s="35"/>
      <c r="R693" s="35" t="s">
        <v>3125</v>
      </c>
    </row>
    <row r="694" spans="1:18" ht="24">
      <c r="A694" s="32">
        <v>531</v>
      </c>
      <c r="B694" s="33">
        <v>45457</v>
      </c>
      <c r="C694" s="32">
        <v>2024</v>
      </c>
      <c r="D694" s="34" t="s">
        <v>3126</v>
      </c>
      <c r="E694" s="35" t="s">
        <v>3127</v>
      </c>
      <c r="F694" s="35" t="s">
        <v>937</v>
      </c>
      <c r="G694" s="34"/>
      <c r="H694" s="35" t="s">
        <v>883</v>
      </c>
      <c r="I694" s="35" t="s">
        <v>965</v>
      </c>
      <c r="J694" s="35" t="s">
        <v>1110</v>
      </c>
      <c r="K694" s="35" t="s">
        <v>888</v>
      </c>
      <c r="L694" s="35" t="s">
        <v>1008</v>
      </c>
      <c r="M694" s="35" t="s">
        <v>526</v>
      </c>
      <c r="N694" s="35" t="s">
        <v>968</v>
      </c>
      <c r="O694" s="36">
        <v>2</v>
      </c>
      <c r="P694" s="35" t="s">
        <v>37</v>
      </c>
      <c r="Q694" s="35"/>
      <c r="R694" s="35" t="s">
        <v>3128</v>
      </c>
    </row>
    <row r="695" spans="1:18" ht="24">
      <c r="A695" s="32">
        <v>535</v>
      </c>
      <c r="B695" s="33">
        <v>45453</v>
      </c>
      <c r="C695" s="32">
        <v>2024</v>
      </c>
      <c r="D695" s="34" t="s">
        <v>3129</v>
      </c>
      <c r="E695" s="35" t="s">
        <v>3130</v>
      </c>
      <c r="F695" s="35"/>
      <c r="G695" s="34"/>
      <c r="H695" s="35"/>
      <c r="I695" s="35" t="s">
        <v>1005</v>
      </c>
      <c r="J695" s="35" t="s">
        <v>1021</v>
      </c>
      <c r="K695" s="35" t="s">
        <v>888</v>
      </c>
      <c r="L695" s="35" t="s">
        <v>1086</v>
      </c>
      <c r="M695" s="35" t="s">
        <v>512</v>
      </c>
      <c r="N695" s="35" t="s">
        <v>977</v>
      </c>
      <c r="O695" s="36">
        <v>8</v>
      </c>
      <c r="P695" s="35" t="s">
        <v>37</v>
      </c>
      <c r="Q695" s="35"/>
      <c r="R695" s="35" t="s">
        <v>3131</v>
      </c>
    </row>
    <row r="696" spans="1:18">
      <c r="A696" s="32">
        <v>530</v>
      </c>
      <c r="B696" s="33">
        <v>45452</v>
      </c>
      <c r="C696" s="32">
        <v>2024</v>
      </c>
      <c r="D696" s="34" t="s">
        <v>3132</v>
      </c>
      <c r="E696" s="35" t="s">
        <v>3133</v>
      </c>
      <c r="F696" s="35"/>
      <c r="G696" s="34"/>
      <c r="H696" s="35"/>
      <c r="I696" s="35" t="s">
        <v>1038</v>
      </c>
      <c r="J696" s="35" t="s">
        <v>1006</v>
      </c>
      <c r="K696" s="35" t="s">
        <v>1007</v>
      </c>
      <c r="L696" s="35" t="s">
        <v>972</v>
      </c>
      <c r="M696" s="35" t="s">
        <v>512</v>
      </c>
      <c r="N696" s="35" t="s">
        <v>968</v>
      </c>
      <c r="O696" s="36">
        <v>32</v>
      </c>
      <c r="P696" s="35" t="s">
        <v>37</v>
      </c>
      <c r="Q696" s="35"/>
      <c r="R696" s="35" t="s">
        <v>3134</v>
      </c>
    </row>
    <row r="697" spans="1:18">
      <c r="A697" s="32">
        <v>537</v>
      </c>
      <c r="B697" s="33">
        <v>45450</v>
      </c>
      <c r="C697" s="32">
        <v>2024</v>
      </c>
      <c r="D697" s="34" t="s">
        <v>3135</v>
      </c>
      <c r="E697" s="35" t="s">
        <v>3136</v>
      </c>
      <c r="F697" s="35"/>
      <c r="G697" s="34"/>
      <c r="H697" s="35"/>
      <c r="I697" s="35" t="s">
        <v>1005</v>
      </c>
      <c r="J697" s="35" t="s">
        <v>1021</v>
      </c>
      <c r="K697" s="35" t="s">
        <v>888</v>
      </c>
      <c r="L697" s="35" t="s">
        <v>1127</v>
      </c>
      <c r="M697" s="35" t="s">
        <v>515</v>
      </c>
      <c r="N697" s="35" t="s">
        <v>968</v>
      </c>
      <c r="O697" s="36">
        <v>33</v>
      </c>
      <c r="P697" s="35" t="s">
        <v>37</v>
      </c>
      <c r="Q697" s="35"/>
      <c r="R697" s="35" t="s">
        <v>3137</v>
      </c>
    </row>
    <row r="698" spans="1:18" ht="24">
      <c r="A698" s="32">
        <v>529</v>
      </c>
      <c r="B698" s="33">
        <v>45448</v>
      </c>
      <c r="C698" s="32">
        <v>2024</v>
      </c>
      <c r="D698" s="34" t="s">
        <v>3138</v>
      </c>
      <c r="E698" s="35" t="s">
        <v>3139</v>
      </c>
      <c r="F698" s="35" t="s">
        <v>878</v>
      </c>
      <c r="G698" s="34"/>
      <c r="H698" s="35" t="s">
        <v>879</v>
      </c>
      <c r="I698" s="35" t="s">
        <v>965</v>
      </c>
      <c r="J698" s="35" t="s">
        <v>1110</v>
      </c>
      <c r="K698" s="35" t="s">
        <v>888</v>
      </c>
      <c r="L698" s="35" t="s">
        <v>1008</v>
      </c>
      <c r="M698" s="35" t="s">
        <v>526</v>
      </c>
      <c r="N698" s="35" t="s">
        <v>977</v>
      </c>
      <c r="O698" s="36">
        <v>20</v>
      </c>
      <c r="P698" s="35" t="s">
        <v>37</v>
      </c>
      <c r="Q698" s="35"/>
      <c r="R698" s="35" t="s">
        <v>3140</v>
      </c>
    </row>
    <row r="699" spans="1:18" ht="24">
      <c r="A699" s="32">
        <v>539</v>
      </c>
      <c r="B699" s="33">
        <v>45446</v>
      </c>
      <c r="C699" s="32">
        <v>2024</v>
      </c>
      <c r="D699" s="34" t="s">
        <v>3141</v>
      </c>
      <c r="E699" s="35" t="s">
        <v>3142</v>
      </c>
      <c r="F699" s="35"/>
      <c r="G699" s="34"/>
      <c r="H699" s="35"/>
      <c r="I699" s="35" t="s">
        <v>1005</v>
      </c>
      <c r="J699" s="35" t="s">
        <v>1021</v>
      </c>
      <c r="K699" s="35" t="s">
        <v>888</v>
      </c>
      <c r="L699" s="35" t="s">
        <v>1408</v>
      </c>
      <c r="M699" s="35" t="s">
        <v>515</v>
      </c>
      <c r="N699" s="35" t="s">
        <v>968</v>
      </c>
      <c r="O699" s="36">
        <v>26</v>
      </c>
      <c r="P699" s="35" t="s">
        <v>37</v>
      </c>
      <c r="Q699" s="35"/>
      <c r="R699" s="35" t="s">
        <v>3143</v>
      </c>
    </row>
    <row r="700" spans="1:18" ht="24">
      <c r="A700" s="32">
        <v>528</v>
      </c>
      <c r="B700" s="33">
        <v>45442</v>
      </c>
      <c r="C700" s="32">
        <v>2024</v>
      </c>
      <c r="D700" s="34" t="s">
        <v>3144</v>
      </c>
      <c r="E700" s="35" t="s">
        <v>3145</v>
      </c>
      <c r="F700" s="35"/>
      <c r="G700" s="34"/>
      <c r="H700" s="35"/>
      <c r="I700" s="35" t="s">
        <v>1038</v>
      </c>
      <c r="J700" s="35" t="s">
        <v>1006</v>
      </c>
      <c r="K700" s="35" t="s">
        <v>1007</v>
      </c>
      <c r="L700" s="35" t="s">
        <v>1127</v>
      </c>
      <c r="M700" s="35" t="s">
        <v>515</v>
      </c>
      <c r="N700" s="35" t="s">
        <v>968</v>
      </c>
      <c r="O700" s="36">
        <v>30</v>
      </c>
      <c r="P700" s="35" t="s">
        <v>37</v>
      </c>
      <c r="Q700" s="35"/>
      <c r="R700" s="35" t="s">
        <v>3146</v>
      </c>
    </row>
    <row r="701" spans="1:18">
      <c r="A701" s="32">
        <v>527</v>
      </c>
      <c r="B701" s="33">
        <v>45438</v>
      </c>
      <c r="C701" s="32">
        <v>2024</v>
      </c>
      <c r="D701" s="34" t="s">
        <v>3147</v>
      </c>
      <c r="E701" s="35" t="s">
        <v>3148</v>
      </c>
      <c r="F701" s="35"/>
      <c r="G701" s="34"/>
      <c r="H701" s="35"/>
      <c r="I701" s="35" t="s">
        <v>1038</v>
      </c>
      <c r="J701" s="35" t="s">
        <v>1006</v>
      </c>
      <c r="K701" s="35" t="s">
        <v>1007</v>
      </c>
      <c r="L701" s="35" t="s">
        <v>972</v>
      </c>
      <c r="M701" s="35" t="s">
        <v>512</v>
      </c>
      <c r="N701" s="35" t="s">
        <v>968</v>
      </c>
      <c r="O701" s="36">
        <v>6</v>
      </c>
      <c r="P701" s="35" t="s">
        <v>37</v>
      </c>
      <c r="Q701" s="35"/>
      <c r="R701" s="35" t="s">
        <v>3149</v>
      </c>
    </row>
    <row r="702" spans="1:18">
      <c r="A702" s="32">
        <v>526</v>
      </c>
      <c r="B702" s="33">
        <v>45438</v>
      </c>
      <c r="C702" s="32">
        <v>2024</v>
      </c>
      <c r="D702" s="34" t="s">
        <v>3150</v>
      </c>
      <c r="E702" s="35" t="s">
        <v>3151</v>
      </c>
      <c r="F702" s="35" t="s">
        <v>903</v>
      </c>
      <c r="G702" s="34"/>
      <c r="H702" s="35" t="s">
        <v>886</v>
      </c>
      <c r="I702" s="35" t="s">
        <v>965</v>
      </c>
      <c r="J702" s="35" t="s">
        <v>1291</v>
      </c>
      <c r="K702" s="35" t="s">
        <v>897</v>
      </c>
      <c r="L702" s="35" t="s">
        <v>1086</v>
      </c>
      <c r="M702" s="35" t="s">
        <v>512</v>
      </c>
      <c r="N702" s="35" t="s">
        <v>977</v>
      </c>
      <c r="O702" s="36">
        <v>1</v>
      </c>
      <c r="P702" s="35" t="s">
        <v>37</v>
      </c>
      <c r="Q702" s="35"/>
      <c r="R702" s="35" t="s">
        <v>3152</v>
      </c>
    </row>
    <row r="703" spans="1:18">
      <c r="A703" s="32">
        <v>525</v>
      </c>
      <c r="B703" s="33">
        <v>45438</v>
      </c>
      <c r="C703" s="32">
        <v>2024</v>
      </c>
      <c r="D703" s="34" t="s">
        <v>3153</v>
      </c>
      <c r="E703" s="35" t="s">
        <v>3154</v>
      </c>
      <c r="F703" s="35"/>
      <c r="G703" s="34"/>
      <c r="H703" s="35"/>
      <c r="I703" s="35" t="s">
        <v>1038</v>
      </c>
      <c r="J703" s="35" t="s">
        <v>1006</v>
      </c>
      <c r="K703" s="35" t="s">
        <v>1007</v>
      </c>
      <c r="L703" s="35" t="s">
        <v>972</v>
      </c>
      <c r="M703" s="35" t="s">
        <v>512</v>
      </c>
      <c r="N703" s="35" t="s">
        <v>977</v>
      </c>
      <c r="O703" s="36">
        <v>12</v>
      </c>
      <c r="P703" s="35" t="s">
        <v>37</v>
      </c>
      <c r="Q703" s="35"/>
      <c r="R703" s="35" t="s">
        <v>3155</v>
      </c>
    </row>
    <row r="704" spans="1:18" ht="24">
      <c r="A704" s="32">
        <v>546</v>
      </c>
      <c r="B704" s="33">
        <v>45437</v>
      </c>
      <c r="C704" s="32">
        <v>2024</v>
      </c>
      <c r="D704" s="34" t="s">
        <v>3156</v>
      </c>
      <c r="E704" s="35" t="s">
        <v>3157</v>
      </c>
      <c r="F704" s="35"/>
      <c r="G704" s="34"/>
      <c r="H704" s="35"/>
      <c r="I704" s="35" t="s">
        <v>1038</v>
      </c>
      <c r="J704" s="35" t="s">
        <v>1006</v>
      </c>
      <c r="K704" s="35" t="s">
        <v>1007</v>
      </c>
      <c r="L704" s="35" t="s">
        <v>972</v>
      </c>
      <c r="M704" s="35" t="s">
        <v>512</v>
      </c>
      <c r="N704" s="35" t="s">
        <v>968</v>
      </c>
      <c r="O704" s="36">
        <v>7</v>
      </c>
      <c r="P704" s="35" t="s">
        <v>37</v>
      </c>
      <c r="Q704" s="35"/>
      <c r="R704" s="35" t="s">
        <v>3158</v>
      </c>
    </row>
    <row r="705" spans="1:18">
      <c r="A705" s="32">
        <v>658</v>
      </c>
      <c r="B705" s="33">
        <v>45431</v>
      </c>
      <c r="C705" s="32">
        <v>2024</v>
      </c>
      <c r="D705" s="34" t="s">
        <v>3159</v>
      </c>
      <c r="E705" s="35" t="s">
        <v>3160</v>
      </c>
      <c r="F705" s="35"/>
      <c r="G705" s="34"/>
      <c r="H705" s="35"/>
      <c r="I705" s="35" t="s">
        <v>1484</v>
      </c>
      <c r="J705" s="35" t="s">
        <v>1485</v>
      </c>
      <c r="K705" s="35" t="s">
        <v>888</v>
      </c>
      <c r="L705" s="35" t="s">
        <v>972</v>
      </c>
      <c r="M705" s="35" t="s">
        <v>512</v>
      </c>
      <c r="N705" s="35" t="s">
        <v>968</v>
      </c>
      <c r="O705" s="36">
        <v>13</v>
      </c>
      <c r="P705" s="35" t="s">
        <v>37</v>
      </c>
      <c r="Q705" s="35"/>
      <c r="R705" s="35" t="s">
        <v>3161</v>
      </c>
    </row>
    <row r="706" spans="1:18" ht="24">
      <c r="A706" s="32">
        <v>523</v>
      </c>
      <c r="B706" s="33">
        <v>45429</v>
      </c>
      <c r="C706" s="32">
        <v>2024</v>
      </c>
      <c r="D706" s="34" t="s">
        <v>3162</v>
      </c>
      <c r="E706" s="35" t="s">
        <v>3163</v>
      </c>
      <c r="F706" s="35" t="s">
        <v>893</v>
      </c>
      <c r="G706" s="34" t="s">
        <v>909</v>
      </c>
      <c r="H706" s="35" t="s">
        <v>879</v>
      </c>
      <c r="I706" s="35" t="s">
        <v>1317</v>
      </c>
      <c r="J706" s="35" t="s">
        <v>1291</v>
      </c>
      <c r="K706" s="35" t="s">
        <v>897</v>
      </c>
      <c r="L706" s="35" t="s">
        <v>1008</v>
      </c>
      <c r="M706" s="35" t="s">
        <v>526</v>
      </c>
      <c r="N706" s="35" t="s">
        <v>968</v>
      </c>
      <c r="O706" s="36">
        <v>20</v>
      </c>
      <c r="P706" s="35" t="s">
        <v>37</v>
      </c>
      <c r="Q706" s="35"/>
      <c r="R706" s="35" t="s">
        <v>3164</v>
      </c>
    </row>
    <row r="707" spans="1:18" ht="24">
      <c r="A707" s="32">
        <v>522</v>
      </c>
      <c r="B707" s="33">
        <v>45429</v>
      </c>
      <c r="C707" s="32">
        <v>2024</v>
      </c>
      <c r="D707" s="34" t="s">
        <v>3165</v>
      </c>
      <c r="E707" s="35" t="s">
        <v>3166</v>
      </c>
      <c r="F707" s="35"/>
      <c r="G707" s="34"/>
      <c r="H707" s="35"/>
      <c r="I707" s="35" t="s">
        <v>1005</v>
      </c>
      <c r="J707" s="35" t="s">
        <v>1021</v>
      </c>
      <c r="K707" s="35" t="s">
        <v>888</v>
      </c>
      <c r="L707" s="35" t="s">
        <v>972</v>
      </c>
      <c r="M707" s="35" t="s">
        <v>512</v>
      </c>
      <c r="N707" s="35" t="s">
        <v>968</v>
      </c>
      <c r="O707" s="36">
        <v>7</v>
      </c>
      <c r="P707" s="35" t="s">
        <v>37</v>
      </c>
      <c r="Q707" s="35"/>
      <c r="R707" s="35" t="s">
        <v>3167</v>
      </c>
    </row>
    <row r="708" spans="1:18" ht="24">
      <c r="A708" s="32">
        <v>521</v>
      </c>
      <c r="B708" s="33">
        <v>45429</v>
      </c>
      <c r="C708" s="32">
        <v>2024</v>
      </c>
      <c r="D708" s="34" t="s">
        <v>3168</v>
      </c>
      <c r="E708" s="35" t="s">
        <v>3169</v>
      </c>
      <c r="F708" s="35"/>
      <c r="G708" s="34"/>
      <c r="H708" s="35"/>
      <c r="I708" s="35" t="s">
        <v>1005</v>
      </c>
      <c r="J708" s="35" t="s">
        <v>1021</v>
      </c>
      <c r="K708" s="35" t="s">
        <v>888</v>
      </c>
      <c r="L708" s="35" t="s">
        <v>972</v>
      </c>
      <c r="M708" s="35" t="s">
        <v>512</v>
      </c>
      <c r="N708" s="35" t="s">
        <v>968</v>
      </c>
      <c r="O708" s="36">
        <v>12</v>
      </c>
      <c r="P708" s="35" t="s">
        <v>37</v>
      </c>
      <c r="Q708" s="35"/>
      <c r="R708" s="35" t="s">
        <v>3170</v>
      </c>
    </row>
    <row r="709" spans="1:18">
      <c r="A709" s="32">
        <v>722</v>
      </c>
      <c r="B709" s="33">
        <v>45426</v>
      </c>
      <c r="C709" s="32">
        <v>2024</v>
      </c>
      <c r="D709" s="34" t="s">
        <v>3171</v>
      </c>
      <c r="E709" s="35" t="s">
        <v>3172</v>
      </c>
      <c r="F709" s="35"/>
      <c r="G709" s="34"/>
      <c r="H709" s="35"/>
      <c r="I709" s="35" t="s">
        <v>1038</v>
      </c>
      <c r="J709" s="35" t="s">
        <v>1006</v>
      </c>
      <c r="K709" s="35" t="s">
        <v>1007</v>
      </c>
      <c r="L709" s="35" t="s">
        <v>1101</v>
      </c>
      <c r="M709" s="35" t="s">
        <v>530</v>
      </c>
      <c r="N709" s="35" t="s">
        <v>977</v>
      </c>
      <c r="O709" s="36">
        <v>30</v>
      </c>
      <c r="P709" s="35" t="s">
        <v>37</v>
      </c>
      <c r="Q709" s="35"/>
      <c r="R709" s="35" t="s">
        <v>3173</v>
      </c>
    </row>
    <row r="710" spans="1:18" ht="24">
      <c r="A710" s="32">
        <v>518</v>
      </c>
      <c r="B710" s="33">
        <v>45419</v>
      </c>
      <c r="C710" s="32">
        <v>2024</v>
      </c>
      <c r="D710" s="34" t="s">
        <v>3174</v>
      </c>
      <c r="E710" s="35" t="s">
        <v>3175</v>
      </c>
      <c r="F710" s="35"/>
      <c r="G710" s="34"/>
      <c r="H710" s="35"/>
      <c r="I710" s="35" t="s">
        <v>1005</v>
      </c>
      <c r="J710" s="35" t="s">
        <v>1021</v>
      </c>
      <c r="K710" s="35" t="s">
        <v>888</v>
      </c>
      <c r="L710" s="35" t="s">
        <v>1127</v>
      </c>
      <c r="M710" s="35" t="s">
        <v>515</v>
      </c>
      <c r="N710" s="35" t="s">
        <v>968</v>
      </c>
      <c r="O710" s="36">
        <v>9</v>
      </c>
      <c r="P710" s="35" t="s">
        <v>37</v>
      </c>
      <c r="Q710" s="35"/>
      <c r="R710" s="35" t="s">
        <v>3176</v>
      </c>
    </row>
    <row r="711" spans="1:18" ht="24">
      <c r="A711" s="32">
        <v>517</v>
      </c>
      <c r="B711" s="33">
        <v>45419</v>
      </c>
      <c r="C711" s="32">
        <v>2024</v>
      </c>
      <c r="D711" s="34" t="s">
        <v>3177</v>
      </c>
      <c r="E711" s="35" t="s">
        <v>3178</v>
      </c>
      <c r="F711" s="35" t="s">
        <v>929</v>
      </c>
      <c r="G711" s="34" t="s">
        <v>3179</v>
      </c>
      <c r="H711" s="35" t="s">
        <v>895</v>
      </c>
      <c r="I711" s="35" t="s">
        <v>1317</v>
      </c>
      <c r="J711" s="35" t="s">
        <v>1291</v>
      </c>
      <c r="K711" s="35" t="s">
        <v>897</v>
      </c>
      <c r="L711" s="35" t="s">
        <v>1139</v>
      </c>
      <c r="M711" s="35" t="s">
        <v>519</v>
      </c>
      <c r="N711" s="35" t="s">
        <v>968</v>
      </c>
      <c r="O711" s="36">
        <v>7</v>
      </c>
      <c r="P711" s="35" t="s">
        <v>37</v>
      </c>
      <c r="Q711" s="35"/>
      <c r="R711" s="35" t="s">
        <v>3180</v>
      </c>
    </row>
    <row r="712" spans="1:18" ht="24">
      <c r="A712" s="32">
        <v>516</v>
      </c>
      <c r="B712" s="33">
        <v>45419</v>
      </c>
      <c r="C712" s="32">
        <v>2024</v>
      </c>
      <c r="D712" s="34" t="s">
        <v>3181</v>
      </c>
      <c r="E712" s="35" t="s">
        <v>3182</v>
      </c>
      <c r="F712" s="35" t="s">
        <v>878</v>
      </c>
      <c r="G712" s="34"/>
      <c r="H712" s="35" t="s">
        <v>879</v>
      </c>
      <c r="I712" s="35" t="s">
        <v>965</v>
      </c>
      <c r="J712" s="35" t="s">
        <v>1110</v>
      </c>
      <c r="K712" s="35" t="s">
        <v>888</v>
      </c>
      <c r="L712" s="35" t="s">
        <v>972</v>
      </c>
      <c r="M712" s="35" t="s">
        <v>512</v>
      </c>
      <c r="N712" s="35" t="s">
        <v>977</v>
      </c>
      <c r="O712" s="36">
        <v>12</v>
      </c>
      <c r="P712" s="35" t="s">
        <v>37</v>
      </c>
      <c r="Q712" s="35"/>
      <c r="R712" s="35" t="s">
        <v>3183</v>
      </c>
    </row>
    <row r="713" spans="1:18" ht="24">
      <c r="A713" s="32">
        <v>515</v>
      </c>
      <c r="B713" s="33">
        <v>45419</v>
      </c>
      <c r="C713" s="32">
        <v>2024</v>
      </c>
      <c r="D713" s="34" t="s">
        <v>3184</v>
      </c>
      <c r="E713" s="35" t="s">
        <v>3185</v>
      </c>
      <c r="F713" s="35" t="s">
        <v>882</v>
      </c>
      <c r="G713" s="34"/>
      <c r="H713" s="35" t="s">
        <v>883</v>
      </c>
      <c r="I713" s="35" t="s">
        <v>965</v>
      </c>
      <c r="J713" s="35" t="s">
        <v>1110</v>
      </c>
      <c r="K713" s="35" t="s">
        <v>888</v>
      </c>
      <c r="L713" s="35" t="s">
        <v>1008</v>
      </c>
      <c r="M713" s="35" t="s">
        <v>526</v>
      </c>
      <c r="N713" s="35" t="s">
        <v>977</v>
      </c>
      <c r="O713" s="36">
        <v>5</v>
      </c>
      <c r="P713" s="35" t="s">
        <v>37</v>
      </c>
      <c r="Q713" s="35"/>
      <c r="R713" s="35" t="s">
        <v>3186</v>
      </c>
    </row>
    <row r="714" spans="1:18" ht="24">
      <c r="A714" s="32">
        <v>514</v>
      </c>
      <c r="B714" s="33">
        <v>45419</v>
      </c>
      <c r="C714" s="32">
        <v>2024</v>
      </c>
      <c r="D714" s="34" t="s">
        <v>3187</v>
      </c>
      <c r="E714" s="35" t="s">
        <v>3188</v>
      </c>
      <c r="F714" s="35"/>
      <c r="G714" s="34"/>
      <c r="H714" s="35"/>
      <c r="I714" s="35" t="s">
        <v>1005</v>
      </c>
      <c r="J714" s="35" t="s">
        <v>1021</v>
      </c>
      <c r="K714" s="35" t="s">
        <v>888</v>
      </c>
      <c r="L714" s="35" t="s">
        <v>1119</v>
      </c>
      <c r="M714" s="35" t="s">
        <v>519</v>
      </c>
      <c r="N714" s="35" t="s">
        <v>968</v>
      </c>
      <c r="O714" s="36">
        <v>19</v>
      </c>
      <c r="P714" s="35" t="s">
        <v>37</v>
      </c>
      <c r="Q714" s="35"/>
      <c r="R714" s="35" t="s">
        <v>3189</v>
      </c>
    </row>
    <row r="715" spans="1:18" ht="24">
      <c r="A715" s="32">
        <v>512</v>
      </c>
      <c r="B715" s="33">
        <v>45418</v>
      </c>
      <c r="C715" s="32">
        <v>2024</v>
      </c>
      <c r="D715" s="34" t="s">
        <v>3190</v>
      </c>
      <c r="E715" s="35" t="s">
        <v>3191</v>
      </c>
      <c r="F715" s="35"/>
      <c r="G715" s="34"/>
      <c r="H715" s="35"/>
      <c r="I715" s="35" t="s">
        <v>1038</v>
      </c>
      <c r="J715" s="35" t="s">
        <v>1006</v>
      </c>
      <c r="K715" s="35" t="s">
        <v>1007</v>
      </c>
      <c r="L715" s="35" t="s">
        <v>1127</v>
      </c>
      <c r="M715" s="35" t="s">
        <v>515</v>
      </c>
      <c r="N715" s="35" t="s">
        <v>968</v>
      </c>
      <c r="O715" s="36">
        <v>8</v>
      </c>
      <c r="P715" s="35" t="s">
        <v>37</v>
      </c>
      <c r="Q715" s="35"/>
      <c r="R715" s="35" t="s">
        <v>3192</v>
      </c>
    </row>
    <row r="716" spans="1:18" ht="24">
      <c r="A716" s="32">
        <v>510</v>
      </c>
      <c r="B716" s="33">
        <v>45413</v>
      </c>
      <c r="C716" s="32">
        <v>2024</v>
      </c>
      <c r="D716" s="34" t="s">
        <v>3193</v>
      </c>
      <c r="E716" s="35" t="s">
        <v>3194</v>
      </c>
      <c r="F716" s="35" t="s">
        <v>885</v>
      </c>
      <c r="G716" s="34"/>
      <c r="H716" s="35" t="s">
        <v>886</v>
      </c>
      <c r="I716" s="35" t="s">
        <v>965</v>
      </c>
      <c r="J716" s="35" t="s">
        <v>1110</v>
      </c>
      <c r="K716" s="35" t="s">
        <v>888</v>
      </c>
      <c r="L716" s="35" t="s">
        <v>976</v>
      </c>
      <c r="M716" s="35" t="s">
        <v>522</v>
      </c>
      <c r="N716" s="35" t="s">
        <v>977</v>
      </c>
      <c r="O716" s="36">
        <v>5</v>
      </c>
      <c r="P716" s="35" t="s">
        <v>37</v>
      </c>
      <c r="Q716" s="35"/>
      <c r="R716" s="35" t="s">
        <v>3195</v>
      </c>
    </row>
    <row r="717" spans="1:18">
      <c r="A717" s="32">
        <v>504</v>
      </c>
      <c r="B717" s="33">
        <v>45410</v>
      </c>
      <c r="C717" s="32">
        <v>2024</v>
      </c>
      <c r="D717" s="34" t="s">
        <v>3196</v>
      </c>
      <c r="E717" s="35" t="s">
        <v>3197</v>
      </c>
      <c r="F717" s="35" t="s">
        <v>904</v>
      </c>
      <c r="G717" s="34" t="s">
        <v>885</v>
      </c>
      <c r="H717" s="35" t="s">
        <v>886</v>
      </c>
      <c r="I717" s="35" t="s">
        <v>1317</v>
      </c>
      <c r="J717" s="35" t="s">
        <v>1291</v>
      </c>
      <c r="K717" s="35" t="s">
        <v>897</v>
      </c>
      <c r="L717" s="35" t="s">
        <v>972</v>
      </c>
      <c r="M717" s="35" t="s">
        <v>512</v>
      </c>
      <c r="N717" s="35" t="s">
        <v>968</v>
      </c>
      <c r="O717" s="36">
        <v>18</v>
      </c>
      <c r="P717" s="35" t="s">
        <v>37</v>
      </c>
      <c r="Q717" s="35"/>
      <c r="R717" s="35" t="s">
        <v>3198</v>
      </c>
    </row>
    <row r="718" spans="1:18" ht="24">
      <c r="A718" s="32">
        <v>503</v>
      </c>
      <c r="B718" s="33">
        <v>45410</v>
      </c>
      <c r="C718" s="32">
        <v>2024</v>
      </c>
      <c r="D718" s="34" t="s">
        <v>3199</v>
      </c>
      <c r="E718" s="35" t="s">
        <v>3200</v>
      </c>
      <c r="F718" s="35"/>
      <c r="G718" s="34"/>
      <c r="H718" s="35"/>
      <c r="I718" s="35" t="s">
        <v>1038</v>
      </c>
      <c r="J718" s="35" t="s">
        <v>1006</v>
      </c>
      <c r="K718" s="35" t="s">
        <v>1007</v>
      </c>
      <c r="L718" s="35" t="s">
        <v>2574</v>
      </c>
      <c r="M718" s="35" t="s">
        <v>533</v>
      </c>
      <c r="N718" s="35" t="s">
        <v>968</v>
      </c>
      <c r="O718" s="36">
        <v>20</v>
      </c>
      <c r="P718" s="35" t="s">
        <v>37</v>
      </c>
      <c r="Q718" s="35"/>
      <c r="R718" s="35" t="s">
        <v>3201</v>
      </c>
    </row>
    <row r="719" spans="1:18" ht="36">
      <c r="A719" s="32">
        <v>502</v>
      </c>
      <c r="B719" s="33">
        <v>45410</v>
      </c>
      <c r="C719" s="32">
        <v>2024</v>
      </c>
      <c r="D719" s="34" t="s">
        <v>3202</v>
      </c>
      <c r="E719" s="35" t="s">
        <v>3203</v>
      </c>
      <c r="F719" s="35"/>
      <c r="G719" s="34"/>
      <c r="H719" s="35"/>
      <c r="I719" s="35" t="s">
        <v>1038</v>
      </c>
      <c r="J719" s="35" t="s">
        <v>1006</v>
      </c>
      <c r="K719" s="35" t="s">
        <v>1007</v>
      </c>
      <c r="L719" s="35" t="s">
        <v>1127</v>
      </c>
      <c r="M719" s="35" t="s">
        <v>515</v>
      </c>
      <c r="N719" s="35" t="s">
        <v>977</v>
      </c>
      <c r="O719" s="36">
        <v>12</v>
      </c>
      <c r="P719" s="35" t="s">
        <v>37</v>
      </c>
      <c r="Q719" s="35"/>
      <c r="R719" s="35" t="s">
        <v>3204</v>
      </c>
    </row>
    <row r="720" spans="1:18">
      <c r="A720" s="32">
        <v>501</v>
      </c>
      <c r="B720" s="33">
        <v>45410</v>
      </c>
      <c r="C720" s="32">
        <v>2024</v>
      </c>
      <c r="D720" s="34" t="s">
        <v>3205</v>
      </c>
      <c r="E720" s="35" t="s">
        <v>3206</v>
      </c>
      <c r="F720" s="35"/>
      <c r="G720" s="34"/>
      <c r="H720" s="35"/>
      <c r="I720" s="35" t="s">
        <v>1038</v>
      </c>
      <c r="J720" s="35" t="s">
        <v>1006</v>
      </c>
      <c r="K720" s="35" t="s">
        <v>1007</v>
      </c>
      <c r="L720" s="35" t="s">
        <v>1342</v>
      </c>
      <c r="M720" s="35" t="s">
        <v>515</v>
      </c>
      <c r="N720" s="35" t="s">
        <v>977</v>
      </c>
      <c r="O720" s="36">
        <v>9</v>
      </c>
      <c r="P720" s="35" t="s">
        <v>37</v>
      </c>
      <c r="Q720" s="35"/>
      <c r="R720" s="35" t="s">
        <v>3207</v>
      </c>
    </row>
    <row r="721" spans="1:18">
      <c r="A721" s="32">
        <v>498</v>
      </c>
      <c r="B721" s="33">
        <v>45408</v>
      </c>
      <c r="C721" s="32">
        <v>2024</v>
      </c>
      <c r="D721" s="34" t="s">
        <v>3208</v>
      </c>
      <c r="E721" s="35" t="s">
        <v>3209</v>
      </c>
      <c r="F721" s="35"/>
      <c r="G721" s="34"/>
      <c r="H721" s="35"/>
      <c r="I721" s="35" t="s">
        <v>1038</v>
      </c>
      <c r="J721" s="35" t="s">
        <v>1006</v>
      </c>
      <c r="K721" s="35" t="s">
        <v>1007</v>
      </c>
      <c r="L721" s="35" t="s">
        <v>972</v>
      </c>
      <c r="M721" s="35" t="s">
        <v>530</v>
      </c>
      <c r="N721" s="35" t="s">
        <v>977</v>
      </c>
      <c r="O721" s="36">
        <v>9</v>
      </c>
      <c r="P721" s="35" t="s">
        <v>37</v>
      </c>
      <c r="Q721" s="35"/>
      <c r="R721" s="35" t="s">
        <v>3210</v>
      </c>
    </row>
    <row r="722" spans="1:18" ht="24">
      <c r="A722" s="32">
        <v>497</v>
      </c>
      <c r="B722" s="33">
        <v>45406</v>
      </c>
      <c r="C722" s="32">
        <v>2024</v>
      </c>
      <c r="D722" s="34" t="s">
        <v>3211</v>
      </c>
      <c r="E722" s="35" t="s">
        <v>3212</v>
      </c>
      <c r="F722" s="35" t="s">
        <v>885</v>
      </c>
      <c r="G722" s="34"/>
      <c r="H722" s="35" t="s">
        <v>886</v>
      </c>
      <c r="I722" s="35" t="s">
        <v>965</v>
      </c>
      <c r="J722" s="35" t="s">
        <v>1291</v>
      </c>
      <c r="K722" s="35" t="s">
        <v>897</v>
      </c>
      <c r="L722" s="35" t="s">
        <v>1008</v>
      </c>
      <c r="M722" s="35" t="s">
        <v>526</v>
      </c>
      <c r="N722" s="35" t="s">
        <v>968</v>
      </c>
      <c r="O722" s="36">
        <v>7</v>
      </c>
      <c r="P722" s="35" t="s">
        <v>37</v>
      </c>
      <c r="Q722" s="35"/>
      <c r="R722" s="35" t="s">
        <v>3213</v>
      </c>
    </row>
    <row r="723" spans="1:18">
      <c r="A723" s="32">
        <v>495</v>
      </c>
      <c r="B723" s="33">
        <v>45405</v>
      </c>
      <c r="C723" s="32">
        <v>2024</v>
      </c>
      <c r="D723" s="34" t="s">
        <v>3214</v>
      </c>
      <c r="E723" s="35" t="s">
        <v>3215</v>
      </c>
      <c r="F723" s="35" t="s">
        <v>905</v>
      </c>
      <c r="G723" s="34" t="s">
        <v>894</v>
      </c>
      <c r="H723" s="35" t="s">
        <v>895</v>
      </c>
      <c r="I723" s="35" t="s">
        <v>1317</v>
      </c>
      <c r="J723" s="35" t="s">
        <v>1291</v>
      </c>
      <c r="K723" s="35" t="s">
        <v>897</v>
      </c>
      <c r="L723" s="35" t="s">
        <v>1086</v>
      </c>
      <c r="M723" s="35" t="s">
        <v>512</v>
      </c>
      <c r="N723" s="35" t="s">
        <v>968</v>
      </c>
      <c r="O723" s="36">
        <v>8</v>
      </c>
      <c r="P723" s="35" t="s">
        <v>37</v>
      </c>
      <c r="Q723" s="35"/>
      <c r="R723" s="35" t="s">
        <v>3216</v>
      </c>
    </row>
    <row r="724" spans="1:18">
      <c r="A724" s="32">
        <v>493</v>
      </c>
      <c r="B724" s="33">
        <v>45402</v>
      </c>
      <c r="C724" s="32">
        <v>2024</v>
      </c>
      <c r="D724" s="34" t="s">
        <v>3217</v>
      </c>
      <c r="E724" s="35" t="s">
        <v>3218</v>
      </c>
      <c r="F724" s="35"/>
      <c r="G724" s="34"/>
      <c r="H724" s="35"/>
      <c r="I724" s="35" t="s">
        <v>1038</v>
      </c>
      <c r="J724" s="35" t="s">
        <v>1006</v>
      </c>
      <c r="K724" s="35" t="s">
        <v>1007</v>
      </c>
      <c r="L724" s="35" t="s">
        <v>2729</v>
      </c>
      <c r="M724" s="35" t="s">
        <v>533</v>
      </c>
      <c r="N724" s="35" t="s">
        <v>968</v>
      </c>
      <c r="O724" s="36">
        <v>19</v>
      </c>
      <c r="P724" s="35" t="s">
        <v>37</v>
      </c>
      <c r="Q724" s="35"/>
      <c r="R724" s="35" t="s">
        <v>3219</v>
      </c>
    </row>
    <row r="725" spans="1:18" ht="24">
      <c r="A725" s="32">
        <v>490</v>
      </c>
      <c r="B725" s="33">
        <v>45387</v>
      </c>
      <c r="C725" s="32">
        <v>2024</v>
      </c>
      <c r="D725" s="34" t="s">
        <v>3220</v>
      </c>
      <c r="E725" s="35" t="s">
        <v>3221</v>
      </c>
      <c r="F725" s="35"/>
      <c r="G725" s="34"/>
      <c r="H725" s="35"/>
      <c r="I725" s="35" t="s">
        <v>1038</v>
      </c>
      <c r="J725" s="35" t="s">
        <v>1006</v>
      </c>
      <c r="K725" s="35" t="s">
        <v>1007</v>
      </c>
      <c r="L725" s="35" t="s">
        <v>1086</v>
      </c>
      <c r="M725" s="35" t="s">
        <v>512</v>
      </c>
      <c r="N725" s="35" t="s">
        <v>968</v>
      </c>
      <c r="O725" s="36">
        <v>3</v>
      </c>
      <c r="P725" s="35" t="s">
        <v>37</v>
      </c>
      <c r="Q725" s="35"/>
      <c r="R725" s="35" t="s">
        <v>3222</v>
      </c>
    </row>
    <row r="726" spans="1:18" ht="24">
      <c r="A726" s="32">
        <v>489</v>
      </c>
      <c r="B726" s="33">
        <v>45386</v>
      </c>
      <c r="C726" s="32">
        <v>2024</v>
      </c>
      <c r="D726" s="34" t="s">
        <v>3223</v>
      </c>
      <c r="E726" s="35" t="s">
        <v>3224</v>
      </c>
      <c r="F726" s="35"/>
      <c r="G726" s="34"/>
      <c r="H726" s="35"/>
      <c r="I726" s="35" t="s">
        <v>1038</v>
      </c>
      <c r="J726" s="35" t="s">
        <v>1006</v>
      </c>
      <c r="K726" s="35" t="s">
        <v>1007</v>
      </c>
      <c r="L726" s="35" t="s">
        <v>3225</v>
      </c>
      <c r="M726" s="35" t="s">
        <v>515</v>
      </c>
      <c r="N726" s="35" t="s">
        <v>968</v>
      </c>
      <c r="O726" s="36">
        <v>5</v>
      </c>
      <c r="P726" s="35" t="s">
        <v>37</v>
      </c>
      <c r="Q726" s="35"/>
      <c r="R726" s="35" t="s">
        <v>3226</v>
      </c>
    </row>
    <row r="727" spans="1:18" ht="36">
      <c r="A727" s="32">
        <v>488</v>
      </c>
      <c r="B727" s="33">
        <v>45385</v>
      </c>
      <c r="C727" s="32">
        <v>2024</v>
      </c>
      <c r="D727" s="34" t="s">
        <v>3227</v>
      </c>
      <c r="E727" s="35" t="s">
        <v>3228</v>
      </c>
      <c r="F727" s="35" t="s">
        <v>892</v>
      </c>
      <c r="G727" s="34"/>
      <c r="H727" s="35" t="s">
        <v>879</v>
      </c>
      <c r="I727" s="35" t="s">
        <v>965</v>
      </c>
      <c r="J727" s="35" t="s">
        <v>1110</v>
      </c>
      <c r="K727" s="35" t="s">
        <v>888</v>
      </c>
      <c r="L727" s="35" t="s">
        <v>976</v>
      </c>
      <c r="M727" s="35" t="s">
        <v>522</v>
      </c>
      <c r="N727" s="35" t="s">
        <v>977</v>
      </c>
      <c r="O727" s="36">
        <v>6</v>
      </c>
      <c r="P727" s="35" t="s">
        <v>37</v>
      </c>
      <c r="Q727" s="35"/>
      <c r="R727" s="35" t="s">
        <v>3229</v>
      </c>
    </row>
    <row r="728" spans="1:18" ht="24">
      <c r="A728" s="32">
        <v>487</v>
      </c>
      <c r="B728" s="33">
        <v>45382</v>
      </c>
      <c r="C728" s="32">
        <v>2024</v>
      </c>
      <c r="D728" s="34" t="s">
        <v>3230</v>
      </c>
      <c r="E728" s="35" t="s">
        <v>3231</v>
      </c>
      <c r="F728" s="35" t="s">
        <v>909</v>
      </c>
      <c r="G728" s="34"/>
      <c r="H728" s="35" t="s">
        <v>883</v>
      </c>
      <c r="I728" s="35" t="s">
        <v>965</v>
      </c>
      <c r="J728" s="35" t="s">
        <v>1110</v>
      </c>
      <c r="K728" s="35" t="s">
        <v>888</v>
      </c>
      <c r="L728" s="35" t="s">
        <v>1008</v>
      </c>
      <c r="M728" s="35" t="s">
        <v>526</v>
      </c>
      <c r="N728" s="35" t="s">
        <v>977</v>
      </c>
      <c r="O728" s="36">
        <v>1</v>
      </c>
      <c r="P728" s="35" t="s">
        <v>37</v>
      </c>
      <c r="Q728" s="35"/>
      <c r="R728" s="35" t="s">
        <v>3232</v>
      </c>
    </row>
    <row r="729" spans="1:18">
      <c r="A729" s="32">
        <v>486</v>
      </c>
      <c r="B729" s="33">
        <v>45381</v>
      </c>
      <c r="C729" s="32">
        <v>2024</v>
      </c>
      <c r="D729" s="34" t="s">
        <v>3233</v>
      </c>
      <c r="E729" s="35" t="s">
        <v>3234</v>
      </c>
      <c r="F729" s="35"/>
      <c r="G729" s="34"/>
      <c r="H729" s="35"/>
      <c r="I729" s="35" t="s">
        <v>1038</v>
      </c>
      <c r="J729" s="35" t="s">
        <v>1006</v>
      </c>
      <c r="K729" s="35" t="s">
        <v>1007</v>
      </c>
      <c r="L729" s="35" t="s">
        <v>1119</v>
      </c>
      <c r="M729" s="35" t="s">
        <v>519</v>
      </c>
      <c r="N729" s="35" t="s">
        <v>968</v>
      </c>
      <c r="O729" s="36">
        <v>10</v>
      </c>
      <c r="P729" s="35" t="s">
        <v>37</v>
      </c>
      <c r="Q729" s="35"/>
      <c r="R729" s="35" t="s">
        <v>3235</v>
      </c>
    </row>
    <row r="730" spans="1:18" ht="24">
      <c r="A730" s="32">
        <v>485</v>
      </c>
      <c r="B730" s="33">
        <v>45380</v>
      </c>
      <c r="C730" s="32">
        <v>2024</v>
      </c>
      <c r="D730" s="34" t="s">
        <v>3236</v>
      </c>
      <c r="E730" s="35" t="s">
        <v>3237</v>
      </c>
      <c r="F730" s="35" t="s">
        <v>931</v>
      </c>
      <c r="G730" s="34"/>
      <c r="H730" s="35" t="s">
        <v>890</v>
      </c>
      <c r="I730" s="35" t="s">
        <v>965</v>
      </c>
      <c r="J730" s="35" t="s">
        <v>1110</v>
      </c>
      <c r="K730" s="35" t="s">
        <v>888</v>
      </c>
      <c r="L730" s="35" t="s">
        <v>1008</v>
      </c>
      <c r="M730" s="35" t="s">
        <v>526</v>
      </c>
      <c r="N730" s="35" t="s">
        <v>968</v>
      </c>
      <c r="O730" s="36">
        <v>12</v>
      </c>
      <c r="P730" s="35" t="s">
        <v>37</v>
      </c>
      <c r="Q730" s="35"/>
      <c r="R730" s="35" t="s">
        <v>3238</v>
      </c>
    </row>
    <row r="731" spans="1:18" ht="24">
      <c r="A731" s="32">
        <v>484</v>
      </c>
      <c r="B731" s="33">
        <v>45378</v>
      </c>
      <c r="C731" s="32">
        <v>2024</v>
      </c>
      <c r="D731" s="34" t="s">
        <v>3239</v>
      </c>
      <c r="E731" s="35" t="s">
        <v>3240</v>
      </c>
      <c r="F731" s="35"/>
      <c r="G731" s="34"/>
      <c r="H731" s="35"/>
      <c r="I731" s="35" t="s">
        <v>1484</v>
      </c>
      <c r="J731" s="35" t="s">
        <v>1485</v>
      </c>
      <c r="K731" s="35" t="s">
        <v>888</v>
      </c>
      <c r="L731" s="35" t="s">
        <v>972</v>
      </c>
      <c r="M731" s="35" t="s">
        <v>512</v>
      </c>
      <c r="N731" s="35" t="s">
        <v>977</v>
      </c>
      <c r="O731" s="36">
        <v>3</v>
      </c>
      <c r="P731" s="35" t="s">
        <v>37</v>
      </c>
      <c r="Q731" s="35"/>
      <c r="R731" s="35" t="s">
        <v>3241</v>
      </c>
    </row>
    <row r="732" spans="1:18" ht="24">
      <c r="A732" s="32">
        <v>483</v>
      </c>
      <c r="B732" s="33">
        <v>45378</v>
      </c>
      <c r="C732" s="32">
        <v>2024</v>
      </c>
      <c r="D732" s="34" t="s">
        <v>3242</v>
      </c>
      <c r="E732" s="35" t="s">
        <v>3243</v>
      </c>
      <c r="F732" s="35" t="s">
        <v>907</v>
      </c>
      <c r="G732" s="34"/>
      <c r="H732" s="35" t="s">
        <v>879</v>
      </c>
      <c r="I732" s="35" t="s">
        <v>965</v>
      </c>
      <c r="J732" s="35" t="s">
        <v>1110</v>
      </c>
      <c r="K732" s="35" t="s">
        <v>888</v>
      </c>
      <c r="L732" s="35" t="s">
        <v>1008</v>
      </c>
      <c r="M732" s="35" t="s">
        <v>526</v>
      </c>
      <c r="N732" s="35" t="s">
        <v>977</v>
      </c>
      <c r="O732" s="36">
        <v>25</v>
      </c>
      <c r="P732" s="35" t="s">
        <v>37</v>
      </c>
      <c r="Q732" s="35"/>
      <c r="R732" s="35" t="s">
        <v>3244</v>
      </c>
    </row>
    <row r="733" spans="1:18" ht="24">
      <c r="A733" s="32">
        <v>482</v>
      </c>
      <c r="B733" s="33">
        <v>45378</v>
      </c>
      <c r="C733" s="32">
        <v>2024</v>
      </c>
      <c r="D733" s="34" t="s">
        <v>3245</v>
      </c>
      <c r="E733" s="35" t="s">
        <v>3246</v>
      </c>
      <c r="F733" s="35" t="s">
        <v>884</v>
      </c>
      <c r="G733" s="34"/>
      <c r="H733" s="35" t="s">
        <v>883</v>
      </c>
      <c r="I733" s="35" t="s">
        <v>965</v>
      </c>
      <c r="J733" s="35" t="s">
        <v>1291</v>
      </c>
      <c r="K733" s="35" t="s">
        <v>897</v>
      </c>
      <c r="L733" s="35" t="s">
        <v>1139</v>
      </c>
      <c r="M733" s="35" t="s">
        <v>519</v>
      </c>
      <c r="N733" s="35" t="s">
        <v>977</v>
      </c>
      <c r="O733" s="36">
        <v>6</v>
      </c>
      <c r="P733" s="35" t="s">
        <v>37</v>
      </c>
      <c r="Q733" s="35"/>
      <c r="R733" s="35" t="s">
        <v>3247</v>
      </c>
    </row>
    <row r="734" spans="1:18" ht="24">
      <c r="A734" s="32">
        <v>481</v>
      </c>
      <c r="B734" s="33">
        <v>45377</v>
      </c>
      <c r="C734" s="32">
        <v>2024</v>
      </c>
      <c r="D734" s="34" t="s">
        <v>3248</v>
      </c>
      <c r="E734" s="35" t="s">
        <v>3249</v>
      </c>
      <c r="F734" s="35" t="s">
        <v>878</v>
      </c>
      <c r="G734" s="34"/>
      <c r="H734" s="35" t="s">
        <v>879</v>
      </c>
      <c r="I734" s="35" t="s">
        <v>965</v>
      </c>
      <c r="J734" s="35" t="s">
        <v>1110</v>
      </c>
      <c r="K734" s="35" t="s">
        <v>888</v>
      </c>
      <c r="L734" s="35" t="s">
        <v>2729</v>
      </c>
      <c r="M734" s="35" t="s">
        <v>533</v>
      </c>
      <c r="N734" s="35" t="s">
        <v>968</v>
      </c>
      <c r="O734" s="36">
        <v>8</v>
      </c>
      <c r="P734" s="35" t="s">
        <v>37</v>
      </c>
      <c r="Q734" s="35"/>
      <c r="R734" s="35" t="s">
        <v>3250</v>
      </c>
    </row>
    <row r="735" spans="1:18">
      <c r="A735" s="32">
        <v>480</v>
      </c>
      <c r="B735" s="33">
        <v>45377</v>
      </c>
      <c r="C735" s="32">
        <v>2024</v>
      </c>
      <c r="D735" s="34" t="s">
        <v>3251</v>
      </c>
      <c r="E735" s="35" t="s">
        <v>3252</v>
      </c>
      <c r="F735" s="35" t="s">
        <v>878</v>
      </c>
      <c r="G735" s="34"/>
      <c r="H735" s="35" t="s">
        <v>879</v>
      </c>
      <c r="I735" s="35" t="s">
        <v>965</v>
      </c>
      <c r="J735" s="35" t="s">
        <v>1110</v>
      </c>
      <c r="K735" s="35" t="s">
        <v>888</v>
      </c>
      <c r="L735" s="35" t="s">
        <v>2729</v>
      </c>
      <c r="M735" s="35" t="s">
        <v>533</v>
      </c>
      <c r="N735" s="35" t="s">
        <v>977</v>
      </c>
      <c r="O735" s="36">
        <v>12</v>
      </c>
      <c r="P735" s="35" t="s">
        <v>37</v>
      </c>
      <c r="Q735" s="35"/>
      <c r="R735" s="35" t="s">
        <v>3253</v>
      </c>
    </row>
    <row r="736" spans="1:18" ht="24">
      <c r="A736" s="32">
        <v>479</v>
      </c>
      <c r="B736" s="33">
        <v>45377</v>
      </c>
      <c r="C736" s="32">
        <v>2024</v>
      </c>
      <c r="D736" s="34" t="s">
        <v>3254</v>
      </c>
      <c r="E736" s="35" t="s">
        <v>3255</v>
      </c>
      <c r="F736" s="35" t="s">
        <v>878</v>
      </c>
      <c r="G736" s="34"/>
      <c r="H736" s="35" t="s">
        <v>879</v>
      </c>
      <c r="I736" s="35" t="s">
        <v>965</v>
      </c>
      <c r="J736" s="35" t="s">
        <v>1110</v>
      </c>
      <c r="K736" s="35" t="s">
        <v>888</v>
      </c>
      <c r="L736" s="35" t="s">
        <v>976</v>
      </c>
      <c r="M736" s="35" t="s">
        <v>522</v>
      </c>
      <c r="N736" s="35" t="s">
        <v>977</v>
      </c>
      <c r="O736" s="36">
        <v>17</v>
      </c>
      <c r="P736" s="35" t="s">
        <v>37</v>
      </c>
      <c r="Q736" s="35"/>
      <c r="R736" s="35" t="s">
        <v>3256</v>
      </c>
    </row>
    <row r="737" spans="1:18">
      <c r="A737" s="32">
        <v>477</v>
      </c>
      <c r="B737" s="33">
        <v>45375</v>
      </c>
      <c r="C737" s="32">
        <v>2024</v>
      </c>
      <c r="D737" s="34" t="s">
        <v>3257</v>
      </c>
      <c r="E737" s="35" t="s">
        <v>3258</v>
      </c>
      <c r="F737" s="35" t="s">
        <v>885</v>
      </c>
      <c r="G737" s="34"/>
      <c r="H737" s="35" t="s">
        <v>886</v>
      </c>
      <c r="I737" s="35" t="s">
        <v>965</v>
      </c>
      <c r="J737" s="35" t="s">
        <v>1291</v>
      </c>
      <c r="K737" s="35" t="s">
        <v>897</v>
      </c>
      <c r="L737" s="35" t="s">
        <v>1086</v>
      </c>
      <c r="M737" s="35" t="s">
        <v>530</v>
      </c>
      <c r="N737" s="35" t="s">
        <v>968</v>
      </c>
      <c r="O737" s="36">
        <v>19</v>
      </c>
      <c r="P737" s="35" t="s">
        <v>37</v>
      </c>
      <c r="Q737" s="35"/>
      <c r="R737" s="35" t="s">
        <v>3259</v>
      </c>
    </row>
    <row r="738" spans="1:18" ht="24">
      <c r="A738" s="32">
        <v>475</v>
      </c>
      <c r="B738" s="33">
        <v>45375</v>
      </c>
      <c r="C738" s="32">
        <v>2024</v>
      </c>
      <c r="D738" s="34" t="s">
        <v>3260</v>
      </c>
      <c r="E738" s="35" t="s">
        <v>3261</v>
      </c>
      <c r="F738" s="35"/>
      <c r="G738" s="34"/>
      <c r="H738" s="35"/>
      <c r="I738" s="35" t="s">
        <v>1038</v>
      </c>
      <c r="J738" s="35" t="s">
        <v>1006</v>
      </c>
      <c r="K738" s="35" t="s">
        <v>1007</v>
      </c>
      <c r="L738" s="35" t="s">
        <v>1119</v>
      </c>
      <c r="M738" s="35" t="s">
        <v>519</v>
      </c>
      <c r="N738" s="35" t="s">
        <v>968</v>
      </c>
      <c r="O738" s="36">
        <v>23</v>
      </c>
      <c r="P738" s="35" t="s">
        <v>37</v>
      </c>
      <c r="Q738" s="35"/>
      <c r="R738" s="35" t="s">
        <v>3262</v>
      </c>
    </row>
    <row r="739" spans="1:18" ht="24">
      <c r="A739" s="32">
        <v>476</v>
      </c>
      <c r="B739" s="33">
        <v>45374</v>
      </c>
      <c r="C739" s="32">
        <v>2024</v>
      </c>
      <c r="D739" s="34" t="s">
        <v>3263</v>
      </c>
      <c r="E739" s="35" t="s">
        <v>3264</v>
      </c>
      <c r="F739" s="35"/>
      <c r="G739" s="34"/>
      <c r="H739" s="35"/>
      <c r="I739" s="35" t="s">
        <v>1005</v>
      </c>
      <c r="J739" s="35" t="s">
        <v>1021</v>
      </c>
      <c r="K739" s="35" t="s">
        <v>888</v>
      </c>
      <c r="L739" s="35" t="s">
        <v>1008</v>
      </c>
      <c r="M739" s="35" t="s">
        <v>526</v>
      </c>
      <c r="N739" s="35" t="s">
        <v>977</v>
      </c>
      <c r="O739" s="36">
        <v>13</v>
      </c>
      <c r="P739" s="35" t="s">
        <v>37</v>
      </c>
      <c r="Q739" s="35"/>
      <c r="R739" s="35" t="s">
        <v>3265</v>
      </c>
    </row>
    <row r="740" spans="1:18" ht="24">
      <c r="A740" s="32">
        <v>473</v>
      </c>
      <c r="B740" s="33">
        <v>45374</v>
      </c>
      <c r="C740" s="32">
        <v>2024</v>
      </c>
      <c r="D740" s="34" t="s">
        <v>3266</v>
      </c>
      <c r="E740" s="35" t="s">
        <v>3267</v>
      </c>
      <c r="F740" s="35" t="s">
        <v>887</v>
      </c>
      <c r="G740" s="34"/>
      <c r="H740" s="35" t="s">
        <v>883</v>
      </c>
      <c r="I740" s="35" t="s">
        <v>965</v>
      </c>
      <c r="J740" s="35" t="s">
        <v>1110</v>
      </c>
      <c r="K740" s="35" t="s">
        <v>888</v>
      </c>
      <c r="L740" s="35" t="s">
        <v>1034</v>
      </c>
      <c r="M740" s="35" t="s">
        <v>515</v>
      </c>
      <c r="N740" s="35" t="s">
        <v>977</v>
      </c>
      <c r="O740" s="36">
        <v>4</v>
      </c>
      <c r="P740" s="35" t="s">
        <v>37</v>
      </c>
      <c r="Q740" s="35"/>
      <c r="R740" s="35" t="s">
        <v>3268</v>
      </c>
    </row>
    <row r="741" spans="1:18" ht="24">
      <c r="A741" s="32">
        <v>472</v>
      </c>
      <c r="B741" s="33">
        <v>45374</v>
      </c>
      <c r="C741" s="32">
        <v>2024</v>
      </c>
      <c r="D741" s="34" t="s">
        <v>3269</v>
      </c>
      <c r="E741" s="35" t="s">
        <v>3270</v>
      </c>
      <c r="F741" s="35" t="s">
        <v>928</v>
      </c>
      <c r="G741" s="34" t="s">
        <v>893</v>
      </c>
      <c r="H741" s="35" t="s">
        <v>879</v>
      </c>
      <c r="I741" s="35" t="s">
        <v>1317</v>
      </c>
      <c r="J741" s="35" t="s">
        <v>1110</v>
      </c>
      <c r="K741" s="35" t="s">
        <v>888</v>
      </c>
      <c r="L741" s="35" t="s">
        <v>2388</v>
      </c>
      <c r="M741" s="35" t="s">
        <v>515</v>
      </c>
      <c r="N741" s="35" t="s">
        <v>977</v>
      </c>
      <c r="O741" s="36">
        <v>15</v>
      </c>
      <c r="P741" s="35" t="s">
        <v>37</v>
      </c>
      <c r="Q741" s="35"/>
      <c r="R741" s="35" t="s">
        <v>3271</v>
      </c>
    </row>
    <row r="742" spans="1:18">
      <c r="A742" s="32">
        <v>471</v>
      </c>
      <c r="B742" s="33">
        <v>45374</v>
      </c>
      <c r="C742" s="32">
        <v>2024</v>
      </c>
      <c r="D742" s="34" t="s">
        <v>3272</v>
      </c>
      <c r="E742" s="35" t="s">
        <v>3273</v>
      </c>
      <c r="F742" s="35" t="s">
        <v>893</v>
      </c>
      <c r="G742" s="34"/>
      <c r="H742" s="35" t="s">
        <v>879</v>
      </c>
      <c r="I742" s="35" t="s">
        <v>965</v>
      </c>
      <c r="J742" s="35" t="s">
        <v>1110</v>
      </c>
      <c r="K742" s="35" t="s">
        <v>888</v>
      </c>
      <c r="L742" s="35" t="s">
        <v>1034</v>
      </c>
      <c r="M742" s="35" t="s">
        <v>515</v>
      </c>
      <c r="N742" s="35" t="s">
        <v>968</v>
      </c>
      <c r="O742" s="36">
        <v>11</v>
      </c>
      <c r="P742" s="35" t="s">
        <v>37</v>
      </c>
      <c r="Q742" s="35"/>
      <c r="R742" s="35" t="s">
        <v>3274</v>
      </c>
    </row>
    <row r="743" spans="1:18">
      <c r="A743" s="32">
        <v>511</v>
      </c>
      <c r="B743" s="33">
        <v>45371</v>
      </c>
      <c r="C743" s="32">
        <v>2024</v>
      </c>
      <c r="D743" s="34" t="s">
        <v>3275</v>
      </c>
      <c r="E743" s="35" t="s">
        <v>3276</v>
      </c>
      <c r="F743" s="35"/>
      <c r="G743" s="34"/>
      <c r="H743" s="35"/>
      <c r="I743" s="35" t="s">
        <v>1038</v>
      </c>
      <c r="J743" s="35" t="s">
        <v>1006</v>
      </c>
      <c r="K743" s="35" t="s">
        <v>1007</v>
      </c>
      <c r="L743" s="35" t="s">
        <v>972</v>
      </c>
      <c r="M743" s="35" t="s">
        <v>512</v>
      </c>
      <c r="N743" s="35" t="s">
        <v>968</v>
      </c>
      <c r="O743" s="36">
        <v>14</v>
      </c>
      <c r="P743" s="35" t="s">
        <v>37</v>
      </c>
      <c r="Q743" s="35"/>
      <c r="R743" s="35" t="s">
        <v>3277</v>
      </c>
    </row>
    <row r="744" spans="1:18">
      <c r="A744" s="32">
        <v>470</v>
      </c>
      <c r="B744" s="33">
        <v>45366</v>
      </c>
      <c r="C744" s="32">
        <v>2024</v>
      </c>
      <c r="D744" s="34" t="s">
        <v>3278</v>
      </c>
      <c r="E744" s="35" t="s">
        <v>3279</v>
      </c>
      <c r="F744" s="35"/>
      <c r="G744" s="34"/>
      <c r="H744" s="35"/>
      <c r="I744" s="35" t="s">
        <v>1038</v>
      </c>
      <c r="J744" s="35" t="s">
        <v>1006</v>
      </c>
      <c r="K744" s="35" t="s">
        <v>1007</v>
      </c>
      <c r="L744" s="35" t="s">
        <v>1034</v>
      </c>
      <c r="M744" s="35" t="s">
        <v>515</v>
      </c>
      <c r="N744" s="35" t="s">
        <v>977</v>
      </c>
      <c r="O744" s="36">
        <v>12</v>
      </c>
      <c r="P744" s="35" t="s">
        <v>37</v>
      </c>
      <c r="Q744" s="35"/>
      <c r="R744" s="35" t="s">
        <v>3280</v>
      </c>
    </row>
    <row r="745" spans="1:18" ht="24">
      <c r="A745" s="32">
        <v>467</v>
      </c>
      <c r="B745" s="33">
        <v>45365</v>
      </c>
      <c r="C745" s="32">
        <v>2024</v>
      </c>
      <c r="D745" s="34" t="s">
        <v>3281</v>
      </c>
      <c r="E745" s="35" t="s">
        <v>3282</v>
      </c>
      <c r="F745" s="35" t="s">
        <v>882</v>
      </c>
      <c r="G745" s="34"/>
      <c r="H745" s="35" t="s">
        <v>883</v>
      </c>
      <c r="I745" s="35" t="s">
        <v>965</v>
      </c>
      <c r="J745" s="35" t="s">
        <v>1110</v>
      </c>
      <c r="K745" s="35" t="s">
        <v>888</v>
      </c>
      <c r="L745" s="35" t="s">
        <v>1101</v>
      </c>
      <c r="M745" s="35" t="s">
        <v>530</v>
      </c>
      <c r="N745" s="35" t="s">
        <v>977</v>
      </c>
      <c r="O745" s="36">
        <v>26</v>
      </c>
      <c r="P745" s="35" t="s">
        <v>37</v>
      </c>
      <c r="Q745" s="35"/>
      <c r="R745" s="35" t="s">
        <v>3283</v>
      </c>
    </row>
    <row r="746" spans="1:18" ht="24">
      <c r="A746" s="32">
        <v>464</v>
      </c>
      <c r="B746" s="33">
        <v>45361</v>
      </c>
      <c r="C746" s="32">
        <v>2024</v>
      </c>
      <c r="D746" s="34" t="s">
        <v>3284</v>
      </c>
      <c r="E746" s="35" t="s">
        <v>3285</v>
      </c>
      <c r="F746" s="35" t="s">
        <v>882</v>
      </c>
      <c r="G746" s="34"/>
      <c r="H746" s="35" t="s">
        <v>883</v>
      </c>
      <c r="I746" s="35" t="s">
        <v>965</v>
      </c>
      <c r="J746" s="35" t="s">
        <v>1110</v>
      </c>
      <c r="K746" s="35" t="s">
        <v>888</v>
      </c>
      <c r="L746" s="35" t="s">
        <v>972</v>
      </c>
      <c r="M746" s="35" t="s">
        <v>530</v>
      </c>
      <c r="N746" s="35" t="s">
        <v>968</v>
      </c>
      <c r="O746" s="36">
        <v>8</v>
      </c>
      <c r="P746" s="35" t="s">
        <v>37</v>
      </c>
      <c r="Q746" s="35"/>
      <c r="R746" s="35" t="s">
        <v>3286</v>
      </c>
    </row>
    <row r="747" spans="1:18" ht="24">
      <c r="A747" s="32">
        <v>463</v>
      </c>
      <c r="B747" s="33">
        <v>45361</v>
      </c>
      <c r="C747" s="32">
        <v>2024</v>
      </c>
      <c r="D747" s="34" t="s">
        <v>3287</v>
      </c>
      <c r="E747" s="35" t="s">
        <v>3288</v>
      </c>
      <c r="F747" s="35" t="s">
        <v>882</v>
      </c>
      <c r="G747" s="34"/>
      <c r="H747" s="35" t="s">
        <v>883</v>
      </c>
      <c r="I747" s="35" t="s">
        <v>965</v>
      </c>
      <c r="J747" s="35" t="s">
        <v>1110</v>
      </c>
      <c r="K747" s="35" t="s">
        <v>888</v>
      </c>
      <c r="L747" s="35" t="s">
        <v>972</v>
      </c>
      <c r="M747" s="35" t="s">
        <v>512</v>
      </c>
      <c r="N747" s="35" t="s">
        <v>977</v>
      </c>
      <c r="O747" s="36">
        <v>10</v>
      </c>
      <c r="P747" s="35" t="s">
        <v>37</v>
      </c>
      <c r="Q747" s="35"/>
      <c r="R747" s="35" t="s">
        <v>3289</v>
      </c>
    </row>
    <row r="748" spans="1:18" ht="24">
      <c r="A748" s="32">
        <v>461</v>
      </c>
      <c r="B748" s="33">
        <v>45357</v>
      </c>
      <c r="C748" s="32">
        <v>2024</v>
      </c>
      <c r="D748" s="34" t="s">
        <v>3290</v>
      </c>
      <c r="E748" s="35" t="s">
        <v>3291</v>
      </c>
      <c r="F748" s="35" t="s">
        <v>878</v>
      </c>
      <c r="G748" s="34"/>
      <c r="H748" s="35" t="s">
        <v>879</v>
      </c>
      <c r="I748" s="35" t="s">
        <v>965</v>
      </c>
      <c r="J748" s="35" t="s">
        <v>1110</v>
      </c>
      <c r="K748" s="35" t="s">
        <v>888</v>
      </c>
      <c r="L748" s="35" t="s">
        <v>1008</v>
      </c>
      <c r="M748" s="35" t="s">
        <v>526</v>
      </c>
      <c r="N748" s="35" t="s">
        <v>977</v>
      </c>
      <c r="O748" s="36">
        <v>25</v>
      </c>
      <c r="P748" s="35" t="s">
        <v>37</v>
      </c>
      <c r="Q748" s="35"/>
      <c r="R748" s="35" t="s">
        <v>3292</v>
      </c>
    </row>
    <row r="749" spans="1:18">
      <c r="A749" s="32">
        <v>460</v>
      </c>
      <c r="B749" s="33">
        <v>45357</v>
      </c>
      <c r="C749" s="32">
        <v>2024</v>
      </c>
      <c r="D749" s="34" t="s">
        <v>3293</v>
      </c>
      <c r="E749" s="35" t="s">
        <v>3294</v>
      </c>
      <c r="F749" s="35" t="s">
        <v>887</v>
      </c>
      <c r="G749" s="34"/>
      <c r="H749" s="35" t="s">
        <v>883</v>
      </c>
      <c r="I749" s="35" t="s">
        <v>965</v>
      </c>
      <c r="J749" s="35" t="s">
        <v>1110</v>
      </c>
      <c r="K749" s="35" t="s">
        <v>888</v>
      </c>
      <c r="L749" s="35" t="s">
        <v>1139</v>
      </c>
      <c r="M749" s="35" t="s">
        <v>519</v>
      </c>
      <c r="N749" s="35" t="s">
        <v>977</v>
      </c>
      <c r="O749" s="36">
        <v>9</v>
      </c>
      <c r="P749" s="35" t="s">
        <v>37</v>
      </c>
      <c r="Q749" s="35"/>
      <c r="R749" s="35" t="s">
        <v>3295</v>
      </c>
    </row>
    <row r="750" spans="1:18">
      <c r="A750" s="32">
        <v>457</v>
      </c>
      <c r="B750" s="33">
        <v>45356</v>
      </c>
      <c r="C750" s="32">
        <v>2024</v>
      </c>
      <c r="D750" s="34" t="s">
        <v>3296</v>
      </c>
      <c r="E750" s="35" t="s">
        <v>3297</v>
      </c>
      <c r="F750" s="35"/>
      <c r="G750" s="34"/>
      <c r="H750" s="35"/>
      <c r="I750" s="35" t="s">
        <v>1038</v>
      </c>
      <c r="J750" s="35" t="s">
        <v>1006</v>
      </c>
      <c r="K750" s="35" t="s">
        <v>1007</v>
      </c>
      <c r="L750" s="35" t="s">
        <v>972</v>
      </c>
      <c r="M750" s="35" t="s">
        <v>512</v>
      </c>
      <c r="N750" s="35" t="s">
        <v>977</v>
      </c>
      <c r="O750" s="36">
        <v>11</v>
      </c>
      <c r="P750" s="35" t="s">
        <v>37</v>
      </c>
      <c r="Q750" s="35"/>
      <c r="R750" s="35" t="s">
        <v>3298</v>
      </c>
    </row>
    <row r="751" spans="1:18">
      <c r="A751" s="32">
        <v>453</v>
      </c>
      <c r="B751" s="33">
        <v>45354</v>
      </c>
      <c r="C751" s="32">
        <v>2024</v>
      </c>
      <c r="D751" s="34" t="s">
        <v>3299</v>
      </c>
      <c r="E751" s="35" t="s">
        <v>3300</v>
      </c>
      <c r="F751" s="35"/>
      <c r="G751" s="34"/>
      <c r="H751" s="35"/>
      <c r="I751" s="35" t="s">
        <v>1038</v>
      </c>
      <c r="J751" s="35" t="s">
        <v>1006</v>
      </c>
      <c r="K751" s="35" t="s">
        <v>1007</v>
      </c>
      <c r="L751" s="35" t="s">
        <v>1101</v>
      </c>
      <c r="M751" s="35" t="s">
        <v>530</v>
      </c>
      <c r="N751" s="35" t="s">
        <v>968</v>
      </c>
      <c r="O751" s="36">
        <v>14</v>
      </c>
      <c r="P751" s="35" t="s">
        <v>37</v>
      </c>
      <c r="Q751" s="35"/>
      <c r="R751" s="35" t="s">
        <v>3301</v>
      </c>
    </row>
    <row r="752" spans="1:18" ht="24">
      <c r="A752" s="32">
        <v>452</v>
      </c>
      <c r="B752" s="33">
        <v>45354</v>
      </c>
      <c r="C752" s="32">
        <v>2024</v>
      </c>
      <c r="D752" s="34" t="s">
        <v>3302</v>
      </c>
      <c r="E752" s="35" t="s">
        <v>3303</v>
      </c>
      <c r="F752" s="35"/>
      <c r="G752" s="34"/>
      <c r="H752" s="35"/>
      <c r="I752" s="35" t="s">
        <v>1038</v>
      </c>
      <c r="J752" s="35" t="s">
        <v>1006</v>
      </c>
      <c r="K752" s="35" t="s">
        <v>1007</v>
      </c>
      <c r="L752" s="35" t="s">
        <v>1101</v>
      </c>
      <c r="M752" s="35" t="s">
        <v>530</v>
      </c>
      <c r="N752" s="35" t="s">
        <v>968</v>
      </c>
      <c r="O752" s="36">
        <v>25</v>
      </c>
      <c r="P752" s="35" t="s">
        <v>37</v>
      </c>
      <c r="Q752" s="35"/>
      <c r="R752" s="35" t="s">
        <v>3304</v>
      </c>
    </row>
    <row r="753" spans="1:18" ht="24">
      <c r="A753" s="32">
        <v>450</v>
      </c>
      <c r="B753" s="33">
        <v>45350</v>
      </c>
      <c r="C753" s="32">
        <v>2024</v>
      </c>
      <c r="D753" s="34" t="s">
        <v>3305</v>
      </c>
      <c r="E753" s="35" t="s">
        <v>3306</v>
      </c>
      <c r="F753" s="35"/>
      <c r="G753" s="34"/>
      <c r="H753" s="35"/>
      <c r="I753" s="35" t="s">
        <v>1005</v>
      </c>
      <c r="J753" s="35" t="s">
        <v>1021</v>
      </c>
      <c r="K753" s="35" t="s">
        <v>888</v>
      </c>
      <c r="L753" s="35" t="s">
        <v>1034</v>
      </c>
      <c r="M753" s="35" t="s">
        <v>515</v>
      </c>
      <c r="N753" s="35" t="s">
        <v>968</v>
      </c>
      <c r="O753" s="36">
        <v>7</v>
      </c>
      <c r="P753" s="35" t="s">
        <v>37</v>
      </c>
      <c r="Q753" s="35"/>
      <c r="R753" s="35" t="s">
        <v>3307</v>
      </c>
    </row>
    <row r="754" spans="1:18" ht="24">
      <c r="A754" s="32">
        <v>449</v>
      </c>
      <c r="B754" s="33">
        <v>45347</v>
      </c>
      <c r="C754" s="32">
        <v>2024</v>
      </c>
      <c r="D754" s="34" t="s">
        <v>3308</v>
      </c>
      <c r="E754" s="35" t="s">
        <v>3309</v>
      </c>
      <c r="F754" s="35"/>
      <c r="G754" s="34"/>
      <c r="H754" s="35"/>
      <c r="I754" s="35" t="s">
        <v>1038</v>
      </c>
      <c r="J754" s="35" t="s">
        <v>1006</v>
      </c>
      <c r="K754" s="35" t="s">
        <v>1007</v>
      </c>
      <c r="L754" s="35" t="s">
        <v>972</v>
      </c>
      <c r="M754" s="35" t="s">
        <v>512</v>
      </c>
      <c r="N754" s="35" t="s">
        <v>968</v>
      </c>
      <c r="O754" s="36">
        <v>47</v>
      </c>
      <c r="P754" s="35" t="s">
        <v>37</v>
      </c>
      <c r="Q754" s="35"/>
      <c r="R754" s="35" t="s">
        <v>3310</v>
      </c>
    </row>
    <row r="755" spans="1:18" ht="36">
      <c r="A755" s="32">
        <v>448</v>
      </c>
      <c r="B755" s="33">
        <v>45347</v>
      </c>
      <c r="C755" s="32">
        <v>2024</v>
      </c>
      <c r="D755" s="34" t="s">
        <v>3311</v>
      </c>
      <c r="E755" s="35" t="s">
        <v>3312</v>
      </c>
      <c r="F755" s="35" t="s">
        <v>887</v>
      </c>
      <c r="G755" s="34" t="s">
        <v>3313</v>
      </c>
      <c r="H755" s="35" t="s">
        <v>883</v>
      </c>
      <c r="I755" s="35" t="s">
        <v>1317</v>
      </c>
      <c r="J755" s="35" t="s">
        <v>1291</v>
      </c>
      <c r="K755" s="35" t="s">
        <v>897</v>
      </c>
      <c r="L755" s="35" t="s">
        <v>1139</v>
      </c>
      <c r="M755" s="35" t="s">
        <v>519</v>
      </c>
      <c r="N755" s="35" t="s">
        <v>977</v>
      </c>
      <c r="O755" s="36">
        <v>7</v>
      </c>
      <c r="P755" s="35" t="s">
        <v>37</v>
      </c>
      <c r="Q755" s="35"/>
      <c r="R755" s="35" t="s">
        <v>3314</v>
      </c>
    </row>
    <row r="756" spans="1:18">
      <c r="A756" s="32">
        <v>446</v>
      </c>
      <c r="B756" s="33">
        <v>45344</v>
      </c>
      <c r="C756" s="32">
        <v>2024</v>
      </c>
      <c r="D756" s="34" t="s">
        <v>3315</v>
      </c>
      <c r="E756" s="35" t="s">
        <v>3316</v>
      </c>
      <c r="F756" s="35" t="s">
        <v>878</v>
      </c>
      <c r="G756" s="34" t="s">
        <v>882</v>
      </c>
      <c r="H756" s="35" t="s">
        <v>879</v>
      </c>
      <c r="I756" s="35" t="s">
        <v>1317</v>
      </c>
      <c r="J756" s="35" t="s">
        <v>1110</v>
      </c>
      <c r="K756" s="35" t="s">
        <v>888</v>
      </c>
      <c r="L756" s="35" t="s">
        <v>1101</v>
      </c>
      <c r="M756" s="35" t="s">
        <v>530</v>
      </c>
      <c r="N756" s="35" t="s">
        <v>977</v>
      </c>
      <c r="O756" s="36">
        <v>14</v>
      </c>
      <c r="P756" s="35" t="s">
        <v>37</v>
      </c>
      <c r="Q756" s="35"/>
      <c r="R756" s="35" t="s">
        <v>3317</v>
      </c>
    </row>
    <row r="757" spans="1:18" ht="24">
      <c r="A757" s="32">
        <v>445</v>
      </c>
      <c r="B757" s="33">
        <v>45341</v>
      </c>
      <c r="C757" s="32">
        <v>2024</v>
      </c>
      <c r="D757" s="34" t="s">
        <v>3318</v>
      </c>
      <c r="E757" s="35" t="s">
        <v>3319</v>
      </c>
      <c r="F757" s="35" t="s">
        <v>882</v>
      </c>
      <c r="G757" s="34"/>
      <c r="H757" s="35" t="s">
        <v>883</v>
      </c>
      <c r="I757" s="35" t="s">
        <v>965</v>
      </c>
      <c r="J757" s="35" t="s">
        <v>1110</v>
      </c>
      <c r="K757" s="35" t="s">
        <v>888</v>
      </c>
      <c r="L757" s="35" t="s">
        <v>1101</v>
      </c>
      <c r="M757" s="35" t="s">
        <v>530</v>
      </c>
      <c r="N757" s="35" t="s">
        <v>968</v>
      </c>
      <c r="O757" s="36">
        <v>11</v>
      </c>
      <c r="P757" s="35" t="s">
        <v>37</v>
      </c>
      <c r="Q757" s="35"/>
      <c r="R757" s="35" t="s">
        <v>3320</v>
      </c>
    </row>
    <row r="758" spans="1:18" ht="24">
      <c r="A758" s="32">
        <v>442</v>
      </c>
      <c r="B758" s="33">
        <v>45340</v>
      </c>
      <c r="C758" s="32">
        <v>2024</v>
      </c>
      <c r="D758" s="34" t="s">
        <v>3321</v>
      </c>
      <c r="E758" s="35" t="s">
        <v>3322</v>
      </c>
      <c r="F758" s="35"/>
      <c r="G758" s="34"/>
      <c r="H758" s="35"/>
      <c r="I758" s="35" t="s">
        <v>1038</v>
      </c>
      <c r="J758" s="35" t="s">
        <v>1006</v>
      </c>
      <c r="K758" s="35" t="s">
        <v>1007</v>
      </c>
      <c r="L758" s="35" t="s">
        <v>972</v>
      </c>
      <c r="M758" s="35" t="s">
        <v>512</v>
      </c>
      <c r="N758" s="35" t="s">
        <v>977</v>
      </c>
      <c r="O758" s="36">
        <v>3</v>
      </c>
      <c r="P758" s="35" t="s">
        <v>37</v>
      </c>
      <c r="Q758" s="35"/>
      <c r="R758" s="35" t="s">
        <v>3323</v>
      </c>
    </row>
    <row r="759" spans="1:18">
      <c r="A759" s="32">
        <v>441</v>
      </c>
      <c r="B759" s="33">
        <v>45340</v>
      </c>
      <c r="C759" s="32">
        <v>2024</v>
      </c>
      <c r="D759" s="34" t="s">
        <v>3324</v>
      </c>
      <c r="E759" s="35" t="s">
        <v>3325</v>
      </c>
      <c r="F759" s="35" t="s">
        <v>882</v>
      </c>
      <c r="G759" s="34"/>
      <c r="H759" s="35" t="s">
        <v>883</v>
      </c>
      <c r="I759" s="35" t="s">
        <v>965</v>
      </c>
      <c r="J759" s="35" t="s">
        <v>1110</v>
      </c>
      <c r="K759" s="35" t="s">
        <v>888</v>
      </c>
      <c r="L759" s="35" t="s">
        <v>1101</v>
      </c>
      <c r="M759" s="35" t="s">
        <v>530</v>
      </c>
      <c r="N759" s="35" t="s">
        <v>977</v>
      </c>
      <c r="O759" s="36">
        <v>4</v>
      </c>
      <c r="P759" s="35" t="s">
        <v>37</v>
      </c>
      <c r="Q759" s="35"/>
      <c r="R759" s="35" t="s">
        <v>3326</v>
      </c>
    </row>
    <row r="760" spans="1:18">
      <c r="A760" s="32">
        <v>439</v>
      </c>
      <c r="B760" s="33">
        <v>45339</v>
      </c>
      <c r="C760" s="32">
        <v>2024</v>
      </c>
      <c r="D760" s="34" t="s">
        <v>3327</v>
      </c>
      <c r="E760" s="35" t="s">
        <v>3328</v>
      </c>
      <c r="F760" s="35" t="s">
        <v>882</v>
      </c>
      <c r="G760" s="34"/>
      <c r="H760" s="35" t="s">
        <v>883</v>
      </c>
      <c r="I760" s="35" t="s">
        <v>965</v>
      </c>
      <c r="J760" s="35" t="s">
        <v>1110</v>
      </c>
      <c r="K760" s="35" t="s">
        <v>888</v>
      </c>
      <c r="L760" s="35" t="s">
        <v>1101</v>
      </c>
      <c r="M760" s="35" t="s">
        <v>530</v>
      </c>
      <c r="N760" s="35" t="s">
        <v>977</v>
      </c>
      <c r="O760" s="36">
        <v>17</v>
      </c>
      <c r="P760" s="35" t="s">
        <v>37</v>
      </c>
      <c r="Q760" s="35"/>
      <c r="R760" s="35" t="s">
        <v>3329</v>
      </c>
    </row>
    <row r="761" spans="1:18">
      <c r="A761" s="32">
        <v>438</v>
      </c>
      <c r="B761" s="33">
        <v>45339</v>
      </c>
      <c r="C761" s="32">
        <v>2024</v>
      </c>
      <c r="D761" s="34" t="s">
        <v>3330</v>
      </c>
      <c r="E761" s="35" t="s">
        <v>3331</v>
      </c>
      <c r="F761" s="35"/>
      <c r="G761" s="34"/>
      <c r="H761" s="35"/>
      <c r="I761" s="35" t="s">
        <v>1038</v>
      </c>
      <c r="J761" s="35" t="s">
        <v>1006</v>
      </c>
      <c r="K761" s="35" t="s">
        <v>1007</v>
      </c>
      <c r="L761" s="35" t="s">
        <v>976</v>
      </c>
      <c r="M761" s="35" t="s">
        <v>522</v>
      </c>
      <c r="N761" s="35" t="s">
        <v>977</v>
      </c>
      <c r="O761" s="36">
        <v>18</v>
      </c>
      <c r="P761" s="35" t="s">
        <v>37</v>
      </c>
      <c r="Q761" s="35"/>
      <c r="R761" s="35" t="s">
        <v>3332</v>
      </c>
    </row>
    <row r="762" spans="1:18" ht="36">
      <c r="A762" s="32">
        <v>436</v>
      </c>
      <c r="B762" s="33">
        <v>45339</v>
      </c>
      <c r="C762" s="32">
        <v>2024</v>
      </c>
      <c r="D762" s="34" t="s">
        <v>3333</v>
      </c>
      <c r="E762" s="35" t="s">
        <v>3334</v>
      </c>
      <c r="F762" s="35" t="s">
        <v>909</v>
      </c>
      <c r="G762" s="34"/>
      <c r="H762" s="35" t="s">
        <v>883</v>
      </c>
      <c r="I762" s="35" t="s">
        <v>965</v>
      </c>
      <c r="J762" s="35" t="s">
        <v>1291</v>
      </c>
      <c r="K762" s="35" t="s">
        <v>897</v>
      </c>
      <c r="L762" s="35" t="s">
        <v>1086</v>
      </c>
      <c r="M762" s="35" t="s">
        <v>530</v>
      </c>
      <c r="N762" s="35" t="s">
        <v>977</v>
      </c>
      <c r="O762" s="36">
        <v>14</v>
      </c>
      <c r="P762" s="35" t="s">
        <v>37</v>
      </c>
      <c r="Q762" s="35"/>
      <c r="R762" s="35" t="s">
        <v>3335</v>
      </c>
    </row>
    <row r="763" spans="1:18" ht="24">
      <c r="A763" s="32">
        <v>434</v>
      </c>
      <c r="B763" s="33">
        <v>45336</v>
      </c>
      <c r="C763" s="32">
        <v>2024</v>
      </c>
      <c r="D763" s="34" t="s">
        <v>3336</v>
      </c>
      <c r="E763" s="35" t="s">
        <v>3337</v>
      </c>
      <c r="F763" s="35" t="s">
        <v>878</v>
      </c>
      <c r="G763" s="34"/>
      <c r="H763" s="35" t="s">
        <v>879</v>
      </c>
      <c r="I763" s="35" t="s">
        <v>965</v>
      </c>
      <c r="J763" s="35" t="s">
        <v>1110</v>
      </c>
      <c r="K763" s="35" t="s">
        <v>888</v>
      </c>
      <c r="L763" s="35" t="s">
        <v>1008</v>
      </c>
      <c r="M763" s="35" t="s">
        <v>526</v>
      </c>
      <c r="N763" s="35" t="s">
        <v>977</v>
      </c>
      <c r="O763" s="36">
        <v>12</v>
      </c>
      <c r="P763" s="35" t="s">
        <v>37</v>
      </c>
      <c r="Q763" s="35"/>
      <c r="R763" s="35" t="s">
        <v>3338</v>
      </c>
    </row>
    <row r="764" spans="1:18" ht="24">
      <c r="A764" s="32">
        <v>430</v>
      </c>
      <c r="B764" s="33">
        <v>45333</v>
      </c>
      <c r="C764" s="32">
        <v>2024</v>
      </c>
      <c r="D764" s="34" t="s">
        <v>3339</v>
      </c>
      <c r="E764" s="35" t="s">
        <v>3340</v>
      </c>
      <c r="F764" s="35" t="s">
        <v>915</v>
      </c>
      <c r="G764" s="34"/>
      <c r="H764" s="35" t="s">
        <v>890</v>
      </c>
      <c r="I764" s="35" t="s">
        <v>965</v>
      </c>
      <c r="J764" s="35" t="s">
        <v>1110</v>
      </c>
      <c r="K764" s="35" t="s">
        <v>888</v>
      </c>
      <c r="L764" s="35" t="s">
        <v>1408</v>
      </c>
      <c r="M764" s="35" t="s">
        <v>515</v>
      </c>
      <c r="N764" s="35" t="s">
        <v>968</v>
      </c>
      <c r="O764" s="36">
        <v>8</v>
      </c>
      <c r="P764" s="35" t="s">
        <v>37</v>
      </c>
      <c r="Q764" s="35"/>
      <c r="R764" s="35" t="s">
        <v>3341</v>
      </c>
    </row>
    <row r="765" spans="1:18" ht="24">
      <c r="A765" s="32">
        <v>428</v>
      </c>
      <c r="B765" s="33">
        <v>45332</v>
      </c>
      <c r="C765" s="32">
        <v>2024</v>
      </c>
      <c r="D765" s="34" t="s">
        <v>3342</v>
      </c>
      <c r="E765" s="35" t="s">
        <v>3343</v>
      </c>
      <c r="F765" s="35"/>
      <c r="G765" s="34"/>
      <c r="H765" s="35"/>
      <c r="I765" s="35" t="s">
        <v>1005</v>
      </c>
      <c r="J765" s="35" t="s">
        <v>1021</v>
      </c>
      <c r="K765" s="35" t="s">
        <v>888</v>
      </c>
      <c r="L765" s="35" t="s">
        <v>1101</v>
      </c>
      <c r="M765" s="35" t="s">
        <v>530</v>
      </c>
      <c r="N765" s="35" t="s">
        <v>968</v>
      </c>
      <c r="O765" s="36">
        <v>14</v>
      </c>
      <c r="P765" s="35" t="s">
        <v>37</v>
      </c>
      <c r="Q765" s="35"/>
      <c r="R765" s="35" t="s">
        <v>3344</v>
      </c>
    </row>
    <row r="766" spans="1:18" ht="24">
      <c r="A766" s="32">
        <v>426</v>
      </c>
      <c r="B766" s="33">
        <v>45332</v>
      </c>
      <c r="C766" s="32">
        <v>2024</v>
      </c>
      <c r="D766" s="34" t="s">
        <v>3345</v>
      </c>
      <c r="E766" s="35" t="s">
        <v>3346</v>
      </c>
      <c r="F766" s="35" t="s">
        <v>885</v>
      </c>
      <c r="G766" s="34"/>
      <c r="H766" s="35" t="s">
        <v>886</v>
      </c>
      <c r="I766" s="35" t="s">
        <v>965</v>
      </c>
      <c r="J766" s="35" t="s">
        <v>1110</v>
      </c>
      <c r="K766" s="35" t="s">
        <v>888</v>
      </c>
      <c r="L766" s="35" t="s">
        <v>972</v>
      </c>
      <c r="M766" s="35" t="s">
        <v>512</v>
      </c>
      <c r="N766" s="35" t="s">
        <v>968</v>
      </c>
      <c r="O766" s="36">
        <v>15</v>
      </c>
      <c r="P766" s="35" t="s">
        <v>37</v>
      </c>
      <c r="Q766" s="35"/>
      <c r="R766" s="35" t="s">
        <v>3347</v>
      </c>
    </row>
    <row r="767" spans="1:18" ht="24">
      <c r="A767" s="32">
        <v>425</v>
      </c>
      <c r="B767" s="33">
        <v>45332</v>
      </c>
      <c r="C767" s="32">
        <v>2024</v>
      </c>
      <c r="D767" s="34" t="s">
        <v>3348</v>
      </c>
      <c r="E767" s="35" t="s">
        <v>3349</v>
      </c>
      <c r="F767" s="35"/>
      <c r="G767" s="34"/>
      <c r="H767" s="35"/>
      <c r="I767" s="35" t="s">
        <v>1005</v>
      </c>
      <c r="J767" s="35" t="s">
        <v>1021</v>
      </c>
      <c r="K767" s="35" t="s">
        <v>888</v>
      </c>
      <c r="L767" s="35" t="s">
        <v>1086</v>
      </c>
      <c r="M767" s="35" t="s">
        <v>512</v>
      </c>
      <c r="N767" s="35" t="s">
        <v>968</v>
      </c>
      <c r="O767" s="36">
        <v>6</v>
      </c>
      <c r="P767" s="35" t="s">
        <v>37</v>
      </c>
      <c r="Q767" s="35"/>
      <c r="R767" s="35" t="s">
        <v>3350</v>
      </c>
    </row>
    <row r="768" spans="1:18">
      <c r="A768" s="32">
        <v>423</v>
      </c>
      <c r="B768" s="33">
        <v>45332</v>
      </c>
      <c r="C768" s="32">
        <v>2024</v>
      </c>
      <c r="D768" s="34" t="s">
        <v>3351</v>
      </c>
      <c r="E768" s="35" t="s">
        <v>3352</v>
      </c>
      <c r="F768" s="35"/>
      <c r="G768" s="34"/>
      <c r="H768" s="35"/>
      <c r="I768" s="35" t="s">
        <v>1005</v>
      </c>
      <c r="J768" s="35" t="s">
        <v>1021</v>
      </c>
      <c r="K768" s="35" t="s">
        <v>888</v>
      </c>
      <c r="L768" s="35" t="s">
        <v>1840</v>
      </c>
      <c r="M768" s="35" t="s">
        <v>512</v>
      </c>
      <c r="N768" s="35" t="s">
        <v>968</v>
      </c>
      <c r="O768" s="36">
        <v>11</v>
      </c>
      <c r="P768" s="35" t="s">
        <v>37</v>
      </c>
      <c r="Q768" s="35"/>
      <c r="R768" s="35" t="s">
        <v>3353</v>
      </c>
    </row>
    <row r="769" spans="1:18">
      <c r="A769" s="32">
        <v>422</v>
      </c>
      <c r="B769" s="33">
        <v>45332</v>
      </c>
      <c r="C769" s="32">
        <v>2024</v>
      </c>
      <c r="D769" s="34" t="s">
        <v>3354</v>
      </c>
      <c r="E769" s="35" t="s">
        <v>3355</v>
      </c>
      <c r="F769" s="35"/>
      <c r="G769" s="34"/>
      <c r="H769" s="35" t="s">
        <v>883</v>
      </c>
      <c r="I769" s="35" t="s">
        <v>1134</v>
      </c>
      <c r="J769" s="35" t="s">
        <v>1135</v>
      </c>
      <c r="K769" s="35" t="s">
        <v>888</v>
      </c>
      <c r="L769" s="35" t="s">
        <v>1008</v>
      </c>
      <c r="M769" s="35" t="s">
        <v>526</v>
      </c>
      <c r="N769" s="35" t="s">
        <v>968</v>
      </c>
      <c r="O769" s="36">
        <v>6</v>
      </c>
      <c r="P769" s="35" t="s">
        <v>37</v>
      </c>
      <c r="Q769" s="35"/>
      <c r="R769" s="35" t="s">
        <v>3356</v>
      </c>
    </row>
    <row r="770" spans="1:18" ht="24">
      <c r="A770" s="32">
        <v>421</v>
      </c>
      <c r="B770" s="33">
        <v>45332</v>
      </c>
      <c r="C770" s="32">
        <v>2024</v>
      </c>
      <c r="D770" s="34" t="s">
        <v>3357</v>
      </c>
      <c r="E770" s="35" t="s">
        <v>3358</v>
      </c>
      <c r="F770" s="35" t="s">
        <v>878</v>
      </c>
      <c r="G770" s="34" t="s">
        <v>3359</v>
      </c>
      <c r="H770" s="35" t="s">
        <v>879</v>
      </c>
      <c r="I770" s="35" t="s">
        <v>1317</v>
      </c>
      <c r="J770" s="35" t="s">
        <v>1291</v>
      </c>
      <c r="K770" s="35" t="s">
        <v>897</v>
      </c>
      <c r="L770" s="35" t="s">
        <v>972</v>
      </c>
      <c r="M770" s="35" t="s">
        <v>512</v>
      </c>
      <c r="N770" s="35" t="s">
        <v>968</v>
      </c>
      <c r="O770" s="36">
        <v>19</v>
      </c>
      <c r="P770" s="35" t="s">
        <v>37</v>
      </c>
      <c r="Q770" s="35"/>
      <c r="R770" s="35" t="s">
        <v>3360</v>
      </c>
    </row>
    <row r="771" spans="1:18" ht="24">
      <c r="A771" s="32">
        <v>420</v>
      </c>
      <c r="B771" s="33">
        <v>45331</v>
      </c>
      <c r="C771" s="32">
        <v>2024</v>
      </c>
      <c r="D771" s="34" t="s">
        <v>3361</v>
      </c>
      <c r="E771" s="35" t="s">
        <v>3362</v>
      </c>
      <c r="F771" s="35" t="s">
        <v>878</v>
      </c>
      <c r="G771" s="34"/>
      <c r="H771" s="35" t="s">
        <v>879</v>
      </c>
      <c r="I771" s="35" t="s">
        <v>965</v>
      </c>
      <c r="J771" s="35" t="s">
        <v>1110</v>
      </c>
      <c r="K771" s="35" t="s">
        <v>888</v>
      </c>
      <c r="L771" s="35" t="s">
        <v>1034</v>
      </c>
      <c r="M771" s="35" t="s">
        <v>515</v>
      </c>
      <c r="N771" s="35" t="s">
        <v>977</v>
      </c>
      <c r="O771" s="36">
        <v>4</v>
      </c>
      <c r="P771" s="35" t="s">
        <v>37</v>
      </c>
      <c r="Q771" s="35"/>
      <c r="R771" s="35" t="s">
        <v>3363</v>
      </c>
    </row>
    <row r="772" spans="1:18" ht="24">
      <c r="A772" s="32">
        <v>415</v>
      </c>
      <c r="B772" s="33">
        <v>45328</v>
      </c>
      <c r="C772" s="32">
        <v>2024</v>
      </c>
      <c r="D772" s="34" t="s">
        <v>3364</v>
      </c>
      <c r="E772" s="35" t="s">
        <v>3365</v>
      </c>
      <c r="F772" s="35"/>
      <c r="G772" s="34"/>
      <c r="H772" s="35"/>
      <c r="I772" s="35" t="s">
        <v>1038</v>
      </c>
      <c r="J772" s="35" t="s">
        <v>1006</v>
      </c>
      <c r="K772" s="35" t="s">
        <v>1007</v>
      </c>
      <c r="L772" s="35" t="s">
        <v>972</v>
      </c>
      <c r="M772" s="35" t="s">
        <v>512</v>
      </c>
      <c r="N772" s="35" t="s">
        <v>977</v>
      </c>
      <c r="O772" s="36">
        <v>11</v>
      </c>
      <c r="P772" s="35" t="s">
        <v>37</v>
      </c>
      <c r="Q772" s="35"/>
      <c r="R772" s="35" t="s">
        <v>3366</v>
      </c>
    </row>
    <row r="773" spans="1:18">
      <c r="A773" s="32">
        <v>414</v>
      </c>
      <c r="B773" s="33">
        <v>45322</v>
      </c>
      <c r="C773" s="32">
        <v>2024</v>
      </c>
      <c r="D773" s="34" t="s">
        <v>3367</v>
      </c>
      <c r="E773" s="35" t="s">
        <v>3368</v>
      </c>
      <c r="F773" s="35" t="s">
        <v>882</v>
      </c>
      <c r="G773" s="34"/>
      <c r="H773" s="35" t="s">
        <v>883</v>
      </c>
      <c r="I773" s="35" t="s">
        <v>965</v>
      </c>
      <c r="J773" s="35" t="s">
        <v>1110</v>
      </c>
      <c r="K773" s="35" t="s">
        <v>888</v>
      </c>
      <c r="L773" s="35" t="s">
        <v>1840</v>
      </c>
      <c r="M773" s="35" t="s">
        <v>512</v>
      </c>
      <c r="N773" s="35" t="s">
        <v>977</v>
      </c>
      <c r="O773" s="36">
        <v>18</v>
      </c>
      <c r="P773" s="35" t="s">
        <v>37</v>
      </c>
      <c r="Q773" s="35"/>
      <c r="R773" s="35" t="s">
        <v>3369</v>
      </c>
    </row>
    <row r="774" spans="1:18" ht="24">
      <c r="A774" s="32">
        <v>413</v>
      </c>
      <c r="B774" s="33">
        <v>45322</v>
      </c>
      <c r="C774" s="32">
        <v>2024</v>
      </c>
      <c r="D774" s="34" t="s">
        <v>3370</v>
      </c>
      <c r="E774" s="35" t="s">
        <v>3371</v>
      </c>
      <c r="F774" s="35" t="s">
        <v>885</v>
      </c>
      <c r="G774" s="34"/>
      <c r="H774" s="35" t="s">
        <v>886</v>
      </c>
      <c r="I774" s="35" t="s">
        <v>965</v>
      </c>
      <c r="J774" s="35" t="s">
        <v>1110</v>
      </c>
      <c r="K774" s="35" t="s">
        <v>888</v>
      </c>
      <c r="L774" s="35" t="s">
        <v>976</v>
      </c>
      <c r="M774" s="35" t="s">
        <v>522</v>
      </c>
      <c r="N774" s="35" t="s">
        <v>968</v>
      </c>
      <c r="O774" s="36">
        <v>21</v>
      </c>
      <c r="P774" s="35" t="s">
        <v>37</v>
      </c>
      <c r="Q774" s="35"/>
      <c r="R774" s="35" t="s">
        <v>3372</v>
      </c>
    </row>
    <row r="775" spans="1:18" ht="36">
      <c r="A775" s="32">
        <v>411</v>
      </c>
      <c r="B775" s="33">
        <v>45322</v>
      </c>
      <c r="C775" s="32">
        <v>2024</v>
      </c>
      <c r="D775" s="34" t="s">
        <v>3373</v>
      </c>
      <c r="E775" s="35" t="s">
        <v>3374</v>
      </c>
      <c r="F775" s="35"/>
      <c r="G775" s="34"/>
      <c r="H775" s="35"/>
      <c r="I775" s="35" t="s">
        <v>1484</v>
      </c>
      <c r="J775" s="35" t="s">
        <v>1485</v>
      </c>
      <c r="K775" s="35" t="s">
        <v>888</v>
      </c>
      <c r="L775" s="35" t="s">
        <v>972</v>
      </c>
      <c r="M775" s="35" t="s">
        <v>530</v>
      </c>
      <c r="N775" s="35" t="s">
        <v>968</v>
      </c>
      <c r="O775" s="36">
        <v>4</v>
      </c>
      <c r="P775" s="35" t="s">
        <v>37</v>
      </c>
      <c r="Q775" s="35"/>
      <c r="R775" s="35" t="s">
        <v>3375</v>
      </c>
    </row>
    <row r="776" spans="1:18">
      <c r="A776" s="32">
        <v>500</v>
      </c>
      <c r="B776" s="33">
        <v>45319</v>
      </c>
      <c r="C776" s="32">
        <v>2024</v>
      </c>
      <c r="D776" s="34" t="s">
        <v>3376</v>
      </c>
      <c r="E776" s="35" t="s">
        <v>3377</v>
      </c>
      <c r="F776" s="35"/>
      <c r="G776" s="34"/>
      <c r="H776" s="35"/>
      <c r="I776" s="35" t="s">
        <v>1005</v>
      </c>
      <c r="J776" s="35" t="s">
        <v>1021</v>
      </c>
      <c r="K776" s="35" t="s">
        <v>888</v>
      </c>
      <c r="L776" s="35" t="s">
        <v>972</v>
      </c>
      <c r="M776" s="35" t="s">
        <v>512</v>
      </c>
      <c r="N776" s="35" t="s">
        <v>968</v>
      </c>
      <c r="O776" s="36">
        <v>9</v>
      </c>
      <c r="P776" s="35" t="s">
        <v>37</v>
      </c>
      <c r="Q776" s="35"/>
      <c r="R776" s="35" t="s">
        <v>3378</v>
      </c>
    </row>
    <row r="777" spans="1:18" ht="24">
      <c r="A777" s="32">
        <v>540</v>
      </c>
      <c r="B777" s="33">
        <v>45317</v>
      </c>
      <c r="C777" s="32">
        <v>2024</v>
      </c>
      <c r="D777" s="34" t="s">
        <v>3379</v>
      </c>
      <c r="E777" s="35" t="s">
        <v>3380</v>
      </c>
      <c r="F777" s="35" t="s">
        <v>896</v>
      </c>
      <c r="G777" s="34"/>
      <c r="H777" s="35" t="s">
        <v>883</v>
      </c>
      <c r="I777" s="35" t="s">
        <v>965</v>
      </c>
      <c r="J777" s="35" t="s">
        <v>1110</v>
      </c>
      <c r="K777" s="35" t="s">
        <v>888</v>
      </c>
      <c r="L777" s="35" t="s">
        <v>1008</v>
      </c>
      <c r="M777" s="35" t="s">
        <v>526</v>
      </c>
      <c r="N777" s="35" t="s">
        <v>977</v>
      </c>
      <c r="O777" s="36">
        <v>4</v>
      </c>
      <c r="P777" s="35" t="s">
        <v>37</v>
      </c>
      <c r="Q777" s="35"/>
      <c r="R777" s="35" t="s">
        <v>3381</v>
      </c>
    </row>
    <row r="778" spans="1:18" ht="24">
      <c r="A778" s="32">
        <v>405</v>
      </c>
      <c r="B778" s="33">
        <v>45317</v>
      </c>
      <c r="C778" s="32">
        <v>2024</v>
      </c>
      <c r="D778" s="34" t="s">
        <v>3382</v>
      </c>
      <c r="E778" s="35" t="s">
        <v>3383</v>
      </c>
      <c r="F778" s="35" t="s">
        <v>909</v>
      </c>
      <c r="G778" s="34"/>
      <c r="H778" s="35" t="s">
        <v>883</v>
      </c>
      <c r="I778" s="35" t="s">
        <v>965</v>
      </c>
      <c r="J778" s="35" t="s">
        <v>1110</v>
      </c>
      <c r="K778" s="35" t="s">
        <v>888</v>
      </c>
      <c r="L778" s="35" t="s">
        <v>1086</v>
      </c>
      <c r="M778" s="35" t="s">
        <v>512</v>
      </c>
      <c r="N778" s="35" t="s">
        <v>968</v>
      </c>
      <c r="O778" s="36">
        <v>11</v>
      </c>
      <c r="P778" s="35" t="s">
        <v>37</v>
      </c>
      <c r="Q778" s="35"/>
      <c r="R778" s="35" t="s">
        <v>3384</v>
      </c>
    </row>
    <row r="779" spans="1:18" ht="24">
      <c r="A779" s="32">
        <v>404</v>
      </c>
      <c r="B779" s="33">
        <v>45317</v>
      </c>
      <c r="C779" s="32">
        <v>2024</v>
      </c>
      <c r="D779" s="34" t="s">
        <v>3385</v>
      </c>
      <c r="E779" s="35" t="s">
        <v>3386</v>
      </c>
      <c r="F779" s="35"/>
      <c r="G779" s="34"/>
      <c r="H779" s="35"/>
      <c r="I779" s="35" t="s">
        <v>1038</v>
      </c>
      <c r="J779" s="35" t="s">
        <v>1006</v>
      </c>
      <c r="K779" s="35" t="s">
        <v>1007</v>
      </c>
      <c r="L779" s="35" t="s">
        <v>1139</v>
      </c>
      <c r="M779" s="35" t="s">
        <v>519</v>
      </c>
      <c r="N779" s="35" t="s">
        <v>977</v>
      </c>
      <c r="O779" s="36">
        <v>12</v>
      </c>
      <c r="P779" s="35" t="s">
        <v>37</v>
      </c>
      <c r="Q779" s="35"/>
      <c r="R779" s="35" t="s">
        <v>3387</v>
      </c>
    </row>
    <row r="780" spans="1:18" ht="24">
      <c r="A780" s="32">
        <v>401</v>
      </c>
      <c r="B780" s="33">
        <v>45314</v>
      </c>
      <c r="C780" s="32">
        <v>2024</v>
      </c>
      <c r="D780" s="34" t="s">
        <v>3388</v>
      </c>
      <c r="E780" s="35" t="s">
        <v>3389</v>
      </c>
      <c r="F780" s="35"/>
      <c r="G780" s="34"/>
      <c r="H780" s="35"/>
      <c r="I780" s="35" t="s">
        <v>1038</v>
      </c>
      <c r="J780" s="35" t="s">
        <v>1006</v>
      </c>
      <c r="K780" s="35" t="s">
        <v>1007</v>
      </c>
      <c r="L780" s="35" t="s">
        <v>2574</v>
      </c>
      <c r="M780" s="35" t="s">
        <v>533</v>
      </c>
      <c r="N780" s="35" t="s">
        <v>968</v>
      </c>
      <c r="O780" s="36">
        <v>29</v>
      </c>
      <c r="P780" s="35" t="s">
        <v>37</v>
      </c>
      <c r="Q780" s="35"/>
      <c r="R780" s="35" t="s">
        <v>3390</v>
      </c>
    </row>
    <row r="781" spans="1:18" ht="24">
      <c r="A781" s="32">
        <v>399</v>
      </c>
      <c r="B781" s="33">
        <v>45310</v>
      </c>
      <c r="C781" s="32">
        <v>2024</v>
      </c>
      <c r="D781" s="34" t="s">
        <v>3391</v>
      </c>
      <c r="E781" s="35" t="s">
        <v>3392</v>
      </c>
      <c r="F781" s="35" t="s">
        <v>885</v>
      </c>
      <c r="G781" s="34" t="s">
        <v>902</v>
      </c>
      <c r="H781" s="35" t="s">
        <v>886</v>
      </c>
      <c r="I781" s="35" t="s">
        <v>1317</v>
      </c>
      <c r="J781" s="35" t="s">
        <v>1291</v>
      </c>
      <c r="K781" s="35" t="s">
        <v>897</v>
      </c>
      <c r="L781" s="35" t="s">
        <v>1008</v>
      </c>
      <c r="M781" s="35" t="s">
        <v>526</v>
      </c>
      <c r="N781" s="35" t="s">
        <v>968</v>
      </c>
      <c r="O781" s="36">
        <v>9</v>
      </c>
      <c r="P781" s="35" t="s">
        <v>37</v>
      </c>
      <c r="Q781" s="35"/>
      <c r="R781" s="35" t="s">
        <v>3393</v>
      </c>
    </row>
    <row r="782" spans="1:18" ht="24">
      <c r="A782" s="32">
        <v>397</v>
      </c>
      <c r="B782" s="33">
        <v>45310</v>
      </c>
      <c r="C782" s="32">
        <v>2024</v>
      </c>
      <c r="D782" s="34" t="s">
        <v>3394</v>
      </c>
      <c r="E782" s="35" t="s">
        <v>3395</v>
      </c>
      <c r="F782" s="35" t="s">
        <v>878</v>
      </c>
      <c r="G782" s="34"/>
      <c r="H782" s="35" t="s">
        <v>879</v>
      </c>
      <c r="I782" s="35" t="s">
        <v>965</v>
      </c>
      <c r="J782" s="35" t="s">
        <v>1110</v>
      </c>
      <c r="K782" s="35" t="s">
        <v>888</v>
      </c>
      <c r="L782" s="35" t="s">
        <v>1008</v>
      </c>
      <c r="M782" s="35" t="s">
        <v>526</v>
      </c>
      <c r="N782" s="35" t="s">
        <v>968</v>
      </c>
      <c r="O782" s="36">
        <v>15</v>
      </c>
      <c r="P782" s="35" t="s">
        <v>37</v>
      </c>
      <c r="Q782" s="35"/>
      <c r="R782" s="35" t="s">
        <v>3396</v>
      </c>
    </row>
    <row r="783" spans="1:18" ht="24">
      <c r="A783" s="32">
        <v>396</v>
      </c>
      <c r="B783" s="33">
        <v>45310</v>
      </c>
      <c r="C783" s="32">
        <v>2024</v>
      </c>
      <c r="D783" s="34" t="s">
        <v>3397</v>
      </c>
      <c r="E783" s="35" t="s">
        <v>3398</v>
      </c>
      <c r="F783" s="35" t="s">
        <v>878</v>
      </c>
      <c r="G783" s="34"/>
      <c r="H783" s="35" t="s">
        <v>879</v>
      </c>
      <c r="I783" s="35" t="s">
        <v>965</v>
      </c>
      <c r="J783" s="35" t="s">
        <v>1110</v>
      </c>
      <c r="K783" s="35" t="s">
        <v>888</v>
      </c>
      <c r="L783" s="35" t="s">
        <v>1008</v>
      </c>
      <c r="M783" s="35" t="s">
        <v>526</v>
      </c>
      <c r="N783" s="35" t="s">
        <v>977</v>
      </c>
      <c r="O783" s="36">
        <v>16</v>
      </c>
      <c r="P783" s="35" t="s">
        <v>37</v>
      </c>
      <c r="Q783" s="35"/>
      <c r="R783" s="35" t="s">
        <v>3399</v>
      </c>
    </row>
    <row r="784" spans="1:18">
      <c r="A784" s="32">
        <v>392</v>
      </c>
      <c r="B784" s="33">
        <v>45309</v>
      </c>
      <c r="C784" s="32">
        <v>2024</v>
      </c>
      <c r="D784" s="34" t="s">
        <v>3400</v>
      </c>
      <c r="E784" s="35" t="s">
        <v>3401</v>
      </c>
      <c r="F784" s="35"/>
      <c r="G784" s="34"/>
      <c r="H784" s="35"/>
      <c r="I784" s="35" t="s">
        <v>1038</v>
      </c>
      <c r="J784" s="35" t="s">
        <v>1006</v>
      </c>
      <c r="K784" s="35" t="s">
        <v>1007</v>
      </c>
      <c r="L784" s="35" t="s">
        <v>1086</v>
      </c>
      <c r="M784" s="35" t="s">
        <v>512</v>
      </c>
      <c r="N784" s="35" t="s">
        <v>977</v>
      </c>
      <c r="O784" s="36">
        <v>8</v>
      </c>
      <c r="P784" s="35" t="s">
        <v>37</v>
      </c>
      <c r="Q784" s="35"/>
      <c r="R784" s="35" t="s">
        <v>3402</v>
      </c>
    </row>
    <row r="785" spans="1:18" ht="24">
      <c r="A785" s="32">
        <v>391</v>
      </c>
      <c r="B785" s="33">
        <v>45308</v>
      </c>
      <c r="C785" s="32">
        <v>2024</v>
      </c>
      <c r="D785" s="34" t="s">
        <v>3403</v>
      </c>
      <c r="E785" s="35" t="s">
        <v>3404</v>
      </c>
      <c r="F785" s="35" t="s">
        <v>884</v>
      </c>
      <c r="G785" s="34"/>
      <c r="H785" s="35" t="s">
        <v>883</v>
      </c>
      <c r="I785" s="35" t="s">
        <v>965</v>
      </c>
      <c r="J785" s="35" t="s">
        <v>1291</v>
      </c>
      <c r="K785" s="35" t="s">
        <v>897</v>
      </c>
      <c r="L785" s="35" t="s">
        <v>1086</v>
      </c>
      <c r="M785" s="35" t="s">
        <v>512</v>
      </c>
      <c r="N785" s="35" t="s">
        <v>977</v>
      </c>
      <c r="O785" s="36">
        <v>14</v>
      </c>
      <c r="P785" s="35" t="s">
        <v>37</v>
      </c>
      <c r="Q785" s="35"/>
      <c r="R785" s="35" t="s">
        <v>3405</v>
      </c>
    </row>
    <row r="786" spans="1:18" ht="36">
      <c r="A786" s="32">
        <v>390</v>
      </c>
      <c r="B786" s="33">
        <v>45308</v>
      </c>
      <c r="C786" s="32">
        <v>2024</v>
      </c>
      <c r="D786" s="34" t="s">
        <v>3406</v>
      </c>
      <c r="E786" s="35" t="s">
        <v>3407</v>
      </c>
      <c r="F786" s="35" t="s">
        <v>884</v>
      </c>
      <c r="G786" s="34"/>
      <c r="H786" s="35" t="s">
        <v>883</v>
      </c>
      <c r="I786" s="35" t="s">
        <v>965</v>
      </c>
      <c r="J786" s="35" t="s">
        <v>1110</v>
      </c>
      <c r="K786" s="35" t="s">
        <v>888</v>
      </c>
      <c r="L786" s="35" t="s">
        <v>1008</v>
      </c>
      <c r="M786" s="35" t="s">
        <v>526</v>
      </c>
      <c r="N786" s="35" t="s">
        <v>977</v>
      </c>
      <c r="O786" s="36">
        <v>13</v>
      </c>
      <c r="P786" s="35" t="s">
        <v>37</v>
      </c>
      <c r="Q786" s="35"/>
      <c r="R786" s="35" t="s">
        <v>3408</v>
      </c>
    </row>
    <row r="787" spans="1:18" ht="24">
      <c r="A787" s="32">
        <v>386</v>
      </c>
      <c r="B787" s="33">
        <v>45307</v>
      </c>
      <c r="C787" s="32">
        <v>2024</v>
      </c>
      <c r="D787" s="34" t="s">
        <v>3409</v>
      </c>
      <c r="E787" s="35" t="s">
        <v>3410</v>
      </c>
      <c r="F787" s="35" t="s">
        <v>904</v>
      </c>
      <c r="G787" s="34" t="s">
        <v>3411</v>
      </c>
      <c r="H787" s="35" t="s">
        <v>886</v>
      </c>
      <c r="I787" s="35" t="s">
        <v>1317</v>
      </c>
      <c r="J787" s="35" t="s">
        <v>1291</v>
      </c>
      <c r="K787" s="35" t="s">
        <v>897</v>
      </c>
      <c r="L787" s="35" t="s">
        <v>1086</v>
      </c>
      <c r="M787" s="35" t="s">
        <v>512</v>
      </c>
      <c r="N787" s="35" t="s">
        <v>968</v>
      </c>
      <c r="O787" s="36">
        <v>18</v>
      </c>
      <c r="P787" s="35" t="s">
        <v>37</v>
      </c>
      <c r="Q787" s="35"/>
      <c r="R787" s="35" t="s">
        <v>3412</v>
      </c>
    </row>
    <row r="788" spans="1:18" ht="24">
      <c r="A788" s="32">
        <v>385</v>
      </c>
      <c r="B788" s="33">
        <v>45307</v>
      </c>
      <c r="C788" s="32">
        <v>2024</v>
      </c>
      <c r="D788" s="34" t="s">
        <v>3413</v>
      </c>
      <c r="E788" s="35" t="s">
        <v>3414</v>
      </c>
      <c r="F788" s="35" t="s">
        <v>937</v>
      </c>
      <c r="G788" s="34" t="s">
        <v>3415</v>
      </c>
      <c r="H788" s="35" t="s">
        <v>883</v>
      </c>
      <c r="I788" s="35" t="s">
        <v>1317</v>
      </c>
      <c r="J788" s="35" t="s">
        <v>1291</v>
      </c>
      <c r="K788" s="35" t="s">
        <v>897</v>
      </c>
      <c r="L788" s="35" t="s">
        <v>1034</v>
      </c>
      <c r="M788" s="35" t="s">
        <v>515</v>
      </c>
      <c r="N788" s="35" t="s">
        <v>968</v>
      </c>
      <c r="O788" s="36">
        <v>9</v>
      </c>
      <c r="P788" s="35" t="s">
        <v>37</v>
      </c>
      <c r="Q788" s="35"/>
      <c r="R788" s="35" t="s">
        <v>3416</v>
      </c>
    </row>
    <row r="789" spans="1:18" ht="24">
      <c r="A789" s="32">
        <v>383</v>
      </c>
      <c r="B789" s="33">
        <v>45306</v>
      </c>
      <c r="C789" s="32">
        <v>2024</v>
      </c>
      <c r="D789" s="34" t="s">
        <v>3417</v>
      </c>
      <c r="E789" s="35" t="s">
        <v>3418</v>
      </c>
      <c r="F789" s="35" t="s">
        <v>882</v>
      </c>
      <c r="G789" s="34"/>
      <c r="H789" s="35" t="s">
        <v>883</v>
      </c>
      <c r="I789" s="35" t="s">
        <v>965</v>
      </c>
      <c r="J789" s="35" t="s">
        <v>1110</v>
      </c>
      <c r="K789" s="35" t="s">
        <v>888</v>
      </c>
      <c r="L789" s="35" t="s">
        <v>2314</v>
      </c>
      <c r="M789" s="35" t="s">
        <v>533</v>
      </c>
      <c r="N789" s="35" t="s">
        <v>977</v>
      </c>
      <c r="O789" s="36">
        <v>15</v>
      </c>
      <c r="P789" s="35" t="s">
        <v>37</v>
      </c>
      <c r="Q789" s="35"/>
      <c r="R789" s="35" t="s">
        <v>3419</v>
      </c>
    </row>
    <row r="790" spans="1:18" ht="24">
      <c r="A790" s="32">
        <v>382</v>
      </c>
      <c r="B790" s="33">
        <v>45306</v>
      </c>
      <c r="C790" s="32">
        <v>2024</v>
      </c>
      <c r="D790" s="34" t="s">
        <v>3420</v>
      </c>
      <c r="E790" s="35" t="s">
        <v>3421</v>
      </c>
      <c r="F790" s="35"/>
      <c r="G790" s="34"/>
      <c r="H790" s="35"/>
      <c r="I790" s="35" t="s">
        <v>1005</v>
      </c>
      <c r="J790" s="35" t="s">
        <v>1021</v>
      </c>
      <c r="K790" s="35" t="s">
        <v>888</v>
      </c>
      <c r="L790" s="35" t="s">
        <v>1086</v>
      </c>
      <c r="M790" s="35" t="s">
        <v>512</v>
      </c>
      <c r="N790" s="35" t="s">
        <v>968</v>
      </c>
      <c r="O790" s="36">
        <v>3</v>
      </c>
      <c r="P790" s="35" t="s">
        <v>37</v>
      </c>
      <c r="Q790" s="35"/>
      <c r="R790" s="35" t="s">
        <v>3422</v>
      </c>
    </row>
    <row r="791" spans="1:18" ht="24">
      <c r="A791" s="32">
        <v>381</v>
      </c>
      <c r="B791" s="33">
        <v>45306</v>
      </c>
      <c r="C791" s="32">
        <v>2024</v>
      </c>
      <c r="D791" s="34" t="s">
        <v>3423</v>
      </c>
      <c r="E791" s="35" t="s">
        <v>3424</v>
      </c>
      <c r="F791" s="35" t="s">
        <v>912</v>
      </c>
      <c r="G791" s="34"/>
      <c r="H791" s="35" t="s">
        <v>883</v>
      </c>
      <c r="I791" s="35" t="s">
        <v>965</v>
      </c>
      <c r="J791" s="35" t="s">
        <v>1110</v>
      </c>
      <c r="K791" s="35" t="s">
        <v>888</v>
      </c>
      <c r="L791" s="35" t="s">
        <v>1119</v>
      </c>
      <c r="M791" s="35" t="s">
        <v>519</v>
      </c>
      <c r="N791" s="35" t="s">
        <v>977</v>
      </c>
      <c r="O791" s="36">
        <v>23</v>
      </c>
      <c r="P791" s="35" t="s">
        <v>37</v>
      </c>
      <c r="Q791" s="35"/>
      <c r="R791" s="35" t="s">
        <v>3425</v>
      </c>
    </row>
    <row r="792" spans="1:18" ht="24">
      <c r="A792" s="32">
        <v>380</v>
      </c>
      <c r="B792" s="33">
        <v>45306</v>
      </c>
      <c r="C792" s="32">
        <v>2024</v>
      </c>
      <c r="D792" s="34" t="s">
        <v>3426</v>
      </c>
      <c r="E792" s="35" t="s">
        <v>3427</v>
      </c>
      <c r="F792" s="35" t="s">
        <v>892</v>
      </c>
      <c r="G792" s="34"/>
      <c r="H792" s="35" t="s">
        <v>879</v>
      </c>
      <c r="I792" s="35" t="s">
        <v>965</v>
      </c>
      <c r="J792" s="35" t="s">
        <v>1110</v>
      </c>
      <c r="K792" s="35" t="s">
        <v>888</v>
      </c>
      <c r="L792" s="35" t="s">
        <v>1158</v>
      </c>
      <c r="M792" s="35" t="s">
        <v>515</v>
      </c>
      <c r="N792" s="35" t="s">
        <v>977</v>
      </c>
      <c r="O792" s="36">
        <v>25</v>
      </c>
      <c r="P792" s="35" t="s">
        <v>37</v>
      </c>
      <c r="Q792" s="35"/>
      <c r="R792" s="35" t="s">
        <v>3428</v>
      </c>
    </row>
    <row r="793" spans="1:18">
      <c r="A793" s="32">
        <v>379</v>
      </c>
      <c r="B793" s="33">
        <v>45303</v>
      </c>
      <c r="C793" s="32">
        <v>2024</v>
      </c>
      <c r="D793" s="34" t="s">
        <v>3429</v>
      </c>
      <c r="E793" s="35" t="s">
        <v>3430</v>
      </c>
      <c r="F793" s="35" t="s">
        <v>900</v>
      </c>
      <c r="G793" s="34"/>
      <c r="H793" s="35" t="s">
        <v>883</v>
      </c>
      <c r="I793" s="35" t="s">
        <v>965</v>
      </c>
      <c r="J793" s="35" t="s">
        <v>1110</v>
      </c>
      <c r="K793" s="35" t="s">
        <v>888</v>
      </c>
      <c r="L793" s="35" t="s">
        <v>2574</v>
      </c>
      <c r="M793" s="35" t="s">
        <v>533</v>
      </c>
      <c r="N793" s="35" t="s">
        <v>977</v>
      </c>
      <c r="O793" s="36">
        <v>14</v>
      </c>
      <c r="P793" s="35" t="s">
        <v>37</v>
      </c>
      <c r="Q793" s="35"/>
      <c r="R793" s="35" t="s">
        <v>3431</v>
      </c>
    </row>
    <row r="794" spans="1:18">
      <c r="A794" s="32">
        <v>378</v>
      </c>
      <c r="B794" s="33">
        <v>45303</v>
      </c>
      <c r="C794" s="32">
        <v>2024</v>
      </c>
      <c r="D794" s="34" t="s">
        <v>3432</v>
      </c>
      <c r="E794" s="35" t="s">
        <v>3433</v>
      </c>
      <c r="F794" s="35"/>
      <c r="G794" s="34"/>
      <c r="H794" s="35"/>
      <c r="I794" s="35" t="s">
        <v>1038</v>
      </c>
      <c r="J794" s="35" t="s">
        <v>1006</v>
      </c>
      <c r="K794" s="35" t="s">
        <v>1007</v>
      </c>
      <c r="L794" s="35" t="s">
        <v>1840</v>
      </c>
      <c r="M794" s="35" t="s">
        <v>512</v>
      </c>
      <c r="N794" s="35" t="s">
        <v>977</v>
      </c>
      <c r="O794" s="36">
        <v>0</v>
      </c>
      <c r="P794" s="35" t="s">
        <v>37</v>
      </c>
      <c r="Q794" s="35"/>
      <c r="R794" s="35" t="s">
        <v>3434</v>
      </c>
    </row>
    <row r="795" spans="1:18">
      <c r="A795" s="32">
        <v>377</v>
      </c>
      <c r="B795" s="33">
        <v>45303</v>
      </c>
      <c r="C795" s="32">
        <v>2024</v>
      </c>
      <c r="D795" s="34" t="s">
        <v>3435</v>
      </c>
      <c r="E795" s="35" t="s">
        <v>3436</v>
      </c>
      <c r="F795" s="35"/>
      <c r="G795" s="34"/>
      <c r="H795" s="35"/>
      <c r="I795" s="35" t="s">
        <v>1038</v>
      </c>
      <c r="J795" s="35" t="s">
        <v>1006</v>
      </c>
      <c r="K795" s="35" t="s">
        <v>1007</v>
      </c>
      <c r="L795" s="35" t="s">
        <v>1840</v>
      </c>
      <c r="M795" s="35" t="s">
        <v>512</v>
      </c>
      <c r="N795" s="35" t="s">
        <v>977</v>
      </c>
      <c r="O795" s="36">
        <v>10</v>
      </c>
      <c r="P795" s="35" t="s">
        <v>37</v>
      </c>
      <c r="Q795" s="35"/>
      <c r="R795" s="35" t="s">
        <v>3437</v>
      </c>
    </row>
    <row r="796" spans="1:18">
      <c r="A796" s="32">
        <v>376</v>
      </c>
      <c r="B796" s="33">
        <v>45303</v>
      </c>
      <c r="C796" s="32">
        <v>2024</v>
      </c>
      <c r="D796" s="34" t="s">
        <v>3438</v>
      </c>
      <c r="E796" s="35" t="s">
        <v>3439</v>
      </c>
      <c r="F796" s="35" t="s">
        <v>900</v>
      </c>
      <c r="G796" s="34"/>
      <c r="H796" s="35" t="s">
        <v>883</v>
      </c>
      <c r="I796" s="35" t="s">
        <v>965</v>
      </c>
      <c r="J796" s="35" t="s">
        <v>1110</v>
      </c>
      <c r="K796" s="35" t="s">
        <v>888</v>
      </c>
      <c r="L796" s="35" t="s">
        <v>2574</v>
      </c>
      <c r="M796" s="35" t="s">
        <v>533</v>
      </c>
      <c r="N796" s="35" t="s">
        <v>977</v>
      </c>
      <c r="O796" s="36">
        <v>18</v>
      </c>
      <c r="P796" s="35" t="s">
        <v>37</v>
      </c>
      <c r="Q796" s="35"/>
      <c r="R796" s="35" t="s">
        <v>3440</v>
      </c>
    </row>
    <row r="797" spans="1:18" ht="24">
      <c r="A797" s="32">
        <v>375</v>
      </c>
      <c r="B797" s="33">
        <v>45303</v>
      </c>
      <c r="C797" s="32">
        <v>2024</v>
      </c>
      <c r="D797" s="34" t="s">
        <v>3441</v>
      </c>
      <c r="E797" s="35" t="s">
        <v>3442</v>
      </c>
      <c r="F797" s="35" t="s">
        <v>900</v>
      </c>
      <c r="G797" s="34"/>
      <c r="H797" s="35" t="s">
        <v>883</v>
      </c>
      <c r="I797" s="35" t="s">
        <v>965</v>
      </c>
      <c r="J797" s="35" t="s">
        <v>1110</v>
      </c>
      <c r="K797" s="35" t="s">
        <v>888</v>
      </c>
      <c r="L797" s="35" t="s">
        <v>2574</v>
      </c>
      <c r="M797" s="35" t="s">
        <v>533</v>
      </c>
      <c r="N797" s="35" t="s">
        <v>977</v>
      </c>
      <c r="O797" s="36">
        <v>24</v>
      </c>
      <c r="P797" s="35" t="s">
        <v>37</v>
      </c>
      <c r="Q797" s="35"/>
      <c r="R797" s="35" t="s">
        <v>3443</v>
      </c>
    </row>
    <row r="798" spans="1:18" ht="24">
      <c r="A798" s="32">
        <v>374</v>
      </c>
      <c r="B798" s="33">
        <v>45303</v>
      </c>
      <c r="C798" s="32">
        <v>2024</v>
      </c>
      <c r="D798" s="34" t="s">
        <v>3444</v>
      </c>
      <c r="E798" s="35" t="s">
        <v>3445</v>
      </c>
      <c r="F798" s="35"/>
      <c r="G798" s="34"/>
      <c r="H798" s="35"/>
      <c r="I798" s="35" t="s">
        <v>1038</v>
      </c>
      <c r="J798" s="35" t="s">
        <v>1006</v>
      </c>
      <c r="K798" s="35" t="s">
        <v>1007</v>
      </c>
      <c r="L798" s="35" t="s">
        <v>1086</v>
      </c>
      <c r="M798" s="35" t="s">
        <v>512</v>
      </c>
      <c r="N798" s="35" t="s">
        <v>968</v>
      </c>
      <c r="O798" s="36">
        <v>5</v>
      </c>
      <c r="P798" s="35" t="s">
        <v>37</v>
      </c>
      <c r="Q798" s="35"/>
      <c r="R798" s="35" t="s">
        <v>3446</v>
      </c>
    </row>
    <row r="799" spans="1:18" ht="24">
      <c r="A799" s="32">
        <v>373</v>
      </c>
      <c r="B799" s="33">
        <v>45303</v>
      </c>
      <c r="C799" s="32">
        <v>2024</v>
      </c>
      <c r="D799" s="34" t="s">
        <v>3447</v>
      </c>
      <c r="E799" s="35" t="s">
        <v>3448</v>
      </c>
      <c r="F799" s="35" t="s">
        <v>884</v>
      </c>
      <c r="G799" s="34"/>
      <c r="H799" s="35" t="s">
        <v>883</v>
      </c>
      <c r="I799" s="35" t="s">
        <v>965</v>
      </c>
      <c r="J799" s="35" t="s">
        <v>1110</v>
      </c>
      <c r="K799" s="35" t="s">
        <v>888</v>
      </c>
      <c r="L799" s="35" t="s">
        <v>1101</v>
      </c>
      <c r="M799" s="35" t="s">
        <v>530</v>
      </c>
      <c r="N799" s="35" t="s">
        <v>977</v>
      </c>
      <c r="O799" s="36">
        <v>5</v>
      </c>
      <c r="P799" s="35" t="s">
        <v>37</v>
      </c>
      <c r="Q799" s="35"/>
      <c r="R799" s="35" t="s">
        <v>3449</v>
      </c>
    </row>
    <row r="800" spans="1:18" ht="24">
      <c r="A800" s="32">
        <v>372</v>
      </c>
      <c r="B800" s="33">
        <v>45303</v>
      </c>
      <c r="C800" s="32">
        <v>2024</v>
      </c>
      <c r="D800" s="34" t="s">
        <v>3450</v>
      </c>
      <c r="E800" s="35" t="s">
        <v>3451</v>
      </c>
      <c r="F800" s="35" t="s">
        <v>900</v>
      </c>
      <c r="G800" s="34"/>
      <c r="H800" s="35" t="s">
        <v>883</v>
      </c>
      <c r="I800" s="35" t="s">
        <v>965</v>
      </c>
      <c r="J800" s="35" t="s">
        <v>1110</v>
      </c>
      <c r="K800" s="35" t="s">
        <v>888</v>
      </c>
      <c r="L800" s="35" t="s">
        <v>2729</v>
      </c>
      <c r="M800" s="35" t="s">
        <v>533</v>
      </c>
      <c r="N800" s="35" t="s">
        <v>977</v>
      </c>
      <c r="O800" s="36">
        <v>21</v>
      </c>
      <c r="P800" s="35" t="s">
        <v>37</v>
      </c>
      <c r="Q800" s="35"/>
      <c r="R800" s="35" t="s">
        <v>3452</v>
      </c>
    </row>
    <row r="801" spans="1:18" ht="24">
      <c r="A801" s="32">
        <v>371</v>
      </c>
      <c r="B801" s="33">
        <v>45303</v>
      </c>
      <c r="C801" s="32">
        <v>2024</v>
      </c>
      <c r="D801" s="34" t="s">
        <v>3453</v>
      </c>
      <c r="E801" s="35" t="s">
        <v>3454</v>
      </c>
      <c r="F801" s="35" t="s">
        <v>900</v>
      </c>
      <c r="G801" s="34"/>
      <c r="H801" s="35" t="s">
        <v>883</v>
      </c>
      <c r="I801" s="35" t="s">
        <v>965</v>
      </c>
      <c r="J801" s="35" t="s">
        <v>1110</v>
      </c>
      <c r="K801" s="35" t="s">
        <v>888</v>
      </c>
      <c r="L801" s="35" t="s">
        <v>1034</v>
      </c>
      <c r="M801" s="35" t="s">
        <v>515</v>
      </c>
      <c r="N801" s="35" t="s">
        <v>977</v>
      </c>
      <c r="O801" s="36">
        <v>22</v>
      </c>
      <c r="P801" s="35" t="s">
        <v>37</v>
      </c>
      <c r="Q801" s="35"/>
      <c r="R801" s="35" t="s">
        <v>3455</v>
      </c>
    </row>
    <row r="802" spans="1:18" ht="24">
      <c r="A802" s="32">
        <v>370</v>
      </c>
      <c r="B802" s="33">
        <v>45303</v>
      </c>
      <c r="C802" s="32">
        <v>2024</v>
      </c>
      <c r="D802" s="34" t="s">
        <v>3456</v>
      </c>
      <c r="E802" s="35" t="s">
        <v>3457</v>
      </c>
      <c r="F802" s="35"/>
      <c r="G802" s="34"/>
      <c r="H802" s="35"/>
      <c r="I802" s="35" t="s">
        <v>1038</v>
      </c>
      <c r="J802" s="35" t="s">
        <v>1006</v>
      </c>
      <c r="K802" s="35" t="s">
        <v>1007</v>
      </c>
      <c r="L802" s="35" t="s">
        <v>1408</v>
      </c>
      <c r="M802" s="35" t="s">
        <v>515</v>
      </c>
      <c r="N802" s="35" t="s">
        <v>968</v>
      </c>
      <c r="O802" s="36">
        <v>17</v>
      </c>
      <c r="P802" s="35" t="s">
        <v>37</v>
      </c>
      <c r="Q802" s="35"/>
      <c r="R802" s="35" t="s">
        <v>3458</v>
      </c>
    </row>
    <row r="803" spans="1:18">
      <c r="A803" s="32">
        <v>369</v>
      </c>
      <c r="B803" s="33">
        <v>45303</v>
      </c>
      <c r="C803" s="32">
        <v>2024</v>
      </c>
      <c r="D803" s="34" t="s">
        <v>3459</v>
      </c>
      <c r="E803" s="35" t="s">
        <v>3460</v>
      </c>
      <c r="F803" s="35" t="s">
        <v>882</v>
      </c>
      <c r="G803" s="34"/>
      <c r="H803" s="35" t="s">
        <v>883</v>
      </c>
      <c r="I803" s="35" t="s">
        <v>965</v>
      </c>
      <c r="J803" s="35" t="s">
        <v>1110</v>
      </c>
      <c r="K803" s="35" t="s">
        <v>888</v>
      </c>
      <c r="L803" s="35" t="s">
        <v>1008</v>
      </c>
      <c r="M803" s="35" t="s">
        <v>526</v>
      </c>
      <c r="N803" s="35" t="s">
        <v>977</v>
      </c>
      <c r="O803" s="36">
        <v>2</v>
      </c>
      <c r="P803" s="35" t="s">
        <v>37</v>
      </c>
      <c r="Q803" s="35"/>
      <c r="R803" s="35" t="s">
        <v>3461</v>
      </c>
    </row>
    <row r="804" spans="1:18" ht="24">
      <c r="A804" s="32">
        <v>368</v>
      </c>
      <c r="B804" s="33">
        <v>45302</v>
      </c>
      <c r="C804" s="32">
        <v>2024</v>
      </c>
      <c r="D804" s="34" t="s">
        <v>3462</v>
      </c>
      <c r="E804" s="35" t="s">
        <v>3463</v>
      </c>
      <c r="F804" s="35" t="s">
        <v>900</v>
      </c>
      <c r="G804" s="34"/>
      <c r="H804" s="35" t="s">
        <v>883</v>
      </c>
      <c r="I804" s="35" t="s">
        <v>965</v>
      </c>
      <c r="J804" s="35" t="s">
        <v>1110</v>
      </c>
      <c r="K804" s="35" t="s">
        <v>888</v>
      </c>
      <c r="L804" s="35" t="s">
        <v>1139</v>
      </c>
      <c r="M804" s="35" t="s">
        <v>519</v>
      </c>
      <c r="N804" s="35" t="s">
        <v>977</v>
      </c>
      <c r="O804" s="36">
        <v>13</v>
      </c>
      <c r="P804" s="35" t="s">
        <v>37</v>
      </c>
      <c r="Q804" s="35"/>
      <c r="R804" s="35" t="s">
        <v>3464</v>
      </c>
    </row>
    <row r="805" spans="1:18" ht="24">
      <c r="A805" s="32">
        <v>431</v>
      </c>
      <c r="B805" s="33">
        <v>45302</v>
      </c>
      <c r="C805" s="32">
        <v>2024</v>
      </c>
      <c r="D805" s="34" t="s">
        <v>3465</v>
      </c>
      <c r="E805" s="35" t="s">
        <v>3466</v>
      </c>
      <c r="F805" s="35" t="s">
        <v>903</v>
      </c>
      <c r="G805" s="34"/>
      <c r="H805" s="35" t="s">
        <v>886</v>
      </c>
      <c r="I805" s="35" t="s">
        <v>965</v>
      </c>
      <c r="J805" s="35" t="s">
        <v>1110</v>
      </c>
      <c r="K805" s="35" t="s">
        <v>888</v>
      </c>
      <c r="L805" s="35" t="s">
        <v>1086</v>
      </c>
      <c r="M805" s="35" t="s">
        <v>512</v>
      </c>
      <c r="N805" s="35" t="s">
        <v>968</v>
      </c>
      <c r="O805" s="36">
        <v>11</v>
      </c>
      <c r="P805" s="35" t="s">
        <v>37</v>
      </c>
      <c r="Q805" s="35"/>
      <c r="R805" s="35" t="s">
        <v>3467</v>
      </c>
    </row>
    <row r="806" spans="1:18" ht="24">
      <c r="A806" s="32">
        <v>366</v>
      </c>
      <c r="B806" s="33">
        <v>45301</v>
      </c>
      <c r="C806" s="32">
        <v>2024</v>
      </c>
      <c r="D806" s="34" t="s">
        <v>3468</v>
      </c>
      <c r="E806" s="35" t="s">
        <v>3469</v>
      </c>
      <c r="F806" s="35" t="s">
        <v>894</v>
      </c>
      <c r="G806" s="34"/>
      <c r="H806" s="35" t="s">
        <v>895</v>
      </c>
      <c r="I806" s="35" t="s">
        <v>965</v>
      </c>
      <c r="J806" s="35" t="s">
        <v>1110</v>
      </c>
      <c r="K806" s="35" t="s">
        <v>888</v>
      </c>
      <c r="L806" s="35" t="s">
        <v>1086</v>
      </c>
      <c r="M806" s="35" t="s">
        <v>512</v>
      </c>
      <c r="N806" s="35" t="s">
        <v>977</v>
      </c>
      <c r="O806" s="36">
        <v>36</v>
      </c>
      <c r="P806" s="35" t="s">
        <v>37</v>
      </c>
      <c r="Q806" s="35"/>
      <c r="R806" s="35" t="s">
        <v>3470</v>
      </c>
    </row>
    <row r="807" spans="1:18" ht="24">
      <c r="A807" s="32">
        <v>365</v>
      </c>
      <c r="B807" s="33">
        <v>45301</v>
      </c>
      <c r="C807" s="32">
        <v>2024</v>
      </c>
      <c r="D807" s="34" t="s">
        <v>3471</v>
      </c>
      <c r="E807" s="35" t="s">
        <v>3472</v>
      </c>
      <c r="F807" s="35" t="s">
        <v>894</v>
      </c>
      <c r="G807" s="34"/>
      <c r="H807" s="35" t="s">
        <v>895</v>
      </c>
      <c r="I807" s="35" t="s">
        <v>965</v>
      </c>
      <c r="J807" s="35" t="s">
        <v>1110</v>
      </c>
      <c r="K807" s="35" t="s">
        <v>888</v>
      </c>
      <c r="L807" s="35" t="s">
        <v>976</v>
      </c>
      <c r="M807" s="35" t="s">
        <v>522</v>
      </c>
      <c r="N807" s="35" t="s">
        <v>977</v>
      </c>
      <c r="O807" s="36">
        <v>4</v>
      </c>
      <c r="P807" s="35" t="s">
        <v>37</v>
      </c>
      <c r="Q807" s="35"/>
      <c r="R807" s="35" t="s">
        <v>3473</v>
      </c>
    </row>
    <row r="808" spans="1:18" ht="24">
      <c r="A808" s="32">
        <v>364</v>
      </c>
      <c r="B808" s="33">
        <v>45300</v>
      </c>
      <c r="C808" s="32">
        <v>2024</v>
      </c>
      <c r="D808" s="34" t="s">
        <v>3474</v>
      </c>
      <c r="E808" s="35" t="s">
        <v>3475</v>
      </c>
      <c r="F808" s="35"/>
      <c r="G808" s="34"/>
      <c r="H808" s="35"/>
      <c r="I808" s="35" t="s">
        <v>1038</v>
      </c>
      <c r="J808" s="35" t="s">
        <v>1006</v>
      </c>
      <c r="K808" s="35" t="s">
        <v>1007</v>
      </c>
      <c r="L808" s="35" t="s">
        <v>1070</v>
      </c>
      <c r="M808" s="35" t="s">
        <v>536</v>
      </c>
      <c r="N808" s="35" t="s">
        <v>977</v>
      </c>
      <c r="O808" s="36">
        <v>24</v>
      </c>
      <c r="P808" s="35" t="s">
        <v>37</v>
      </c>
      <c r="Q808" s="35"/>
      <c r="R808" s="35" t="s">
        <v>3476</v>
      </c>
    </row>
    <row r="809" spans="1:18" ht="24">
      <c r="A809" s="32">
        <v>359</v>
      </c>
      <c r="B809" s="33">
        <v>45298</v>
      </c>
      <c r="C809" s="32">
        <v>2024</v>
      </c>
      <c r="D809" s="34" t="s">
        <v>3477</v>
      </c>
      <c r="E809" s="35" t="s">
        <v>3478</v>
      </c>
      <c r="F809" s="35" t="s">
        <v>878</v>
      </c>
      <c r="G809" s="34"/>
      <c r="H809" s="35" t="s">
        <v>879</v>
      </c>
      <c r="I809" s="35" t="s">
        <v>965</v>
      </c>
      <c r="J809" s="35" t="s">
        <v>1110</v>
      </c>
      <c r="K809" s="35" t="s">
        <v>888</v>
      </c>
      <c r="L809" s="35" t="s">
        <v>1086</v>
      </c>
      <c r="M809" s="35" t="s">
        <v>512</v>
      </c>
      <c r="N809" s="35" t="s">
        <v>977</v>
      </c>
      <c r="O809" s="36">
        <v>5</v>
      </c>
      <c r="P809" s="35" t="s">
        <v>37</v>
      </c>
      <c r="Q809" s="35"/>
      <c r="R809" s="35" t="s">
        <v>3479</v>
      </c>
    </row>
    <row r="810" spans="1:18" ht="24">
      <c r="A810" s="32">
        <v>419</v>
      </c>
      <c r="B810" s="33">
        <v>45297</v>
      </c>
      <c r="C810" s="32">
        <v>2024</v>
      </c>
      <c r="D810" s="34" t="s">
        <v>3480</v>
      </c>
      <c r="E810" s="35" t="s">
        <v>3481</v>
      </c>
      <c r="F810" s="35" t="s">
        <v>878</v>
      </c>
      <c r="G810" s="34"/>
      <c r="H810" s="35" t="s">
        <v>879</v>
      </c>
      <c r="I810" s="35" t="s">
        <v>965</v>
      </c>
      <c r="J810" s="35" t="s">
        <v>1110</v>
      </c>
      <c r="K810" s="35" t="s">
        <v>888</v>
      </c>
      <c r="L810" s="35" t="s">
        <v>976</v>
      </c>
      <c r="M810" s="35" t="s">
        <v>522</v>
      </c>
      <c r="N810" s="35" t="s">
        <v>977</v>
      </c>
      <c r="O810" s="36">
        <v>13</v>
      </c>
      <c r="P810" s="35" t="s">
        <v>37</v>
      </c>
      <c r="Q810" s="35"/>
      <c r="R810" s="35" t="s">
        <v>3482</v>
      </c>
    </row>
    <row r="811" spans="1:18" ht="24">
      <c r="A811" s="32">
        <v>418</v>
      </c>
      <c r="B811" s="33">
        <v>45297</v>
      </c>
      <c r="C811" s="32">
        <v>2024</v>
      </c>
      <c r="D811" s="34" t="s">
        <v>3483</v>
      </c>
      <c r="E811" s="35" t="s">
        <v>3484</v>
      </c>
      <c r="F811" s="35" t="s">
        <v>878</v>
      </c>
      <c r="G811" s="34"/>
      <c r="H811" s="35" t="s">
        <v>879</v>
      </c>
      <c r="I811" s="35" t="s">
        <v>965</v>
      </c>
      <c r="J811" s="35" t="s">
        <v>1110</v>
      </c>
      <c r="K811" s="35" t="s">
        <v>888</v>
      </c>
      <c r="L811" s="35" t="s">
        <v>976</v>
      </c>
      <c r="M811" s="35" t="s">
        <v>522</v>
      </c>
      <c r="N811" s="35" t="s">
        <v>968</v>
      </c>
      <c r="O811" s="36">
        <v>15</v>
      </c>
      <c r="P811" s="35" t="s">
        <v>37</v>
      </c>
      <c r="Q811" s="35"/>
      <c r="R811" s="35" t="s">
        <v>3485</v>
      </c>
    </row>
    <row r="812" spans="1:18" ht="24">
      <c r="A812" s="32">
        <v>354</v>
      </c>
      <c r="B812" s="33">
        <v>45287</v>
      </c>
      <c r="C812" s="32">
        <v>2023</v>
      </c>
      <c r="D812" s="34" t="s">
        <v>3486</v>
      </c>
      <c r="E812" s="35" t="s">
        <v>3487</v>
      </c>
      <c r="F812" s="35"/>
      <c r="G812" s="34"/>
      <c r="H812" s="35"/>
      <c r="I812" s="35" t="s">
        <v>1005</v>
      </c>
      <c r="J812" s="35" t="s">
        <v>1021</v>
      </c>
      <c r="K812" s="35" t="s">
        <v>888</v>
      </c>
      <c r="L812" s="35" t="s">
        <v>976</v>
      </c>
      <c r="M812" s="35" t="s">
        <v>522</v>
      </c>
      <c r="N812" s="35" t="s">
        <v>968</v>
      </c>
      <c r="O812" s="36">
        <v>13</v>
      </c>
      <c r="P812" s="35" t="s">
        <v>37</v>
      </c>
      <c r="Q812" s="35"/>
      <c r="R812" s="35" t="s">
        <v>3488</v>
      </c>
    </row>
    <row r="813" spans="1:18" ht="24">
      <c r="A813" s="32">
        <v>353</v>
      </c>
      <c r="B813" s="33">
        <v>45287</v>
      </c>
      <c r="C813" s="32">
        <v>2023</v>
      </c>
      <c r="D813" s="34" t="s">
        <v>3489</v>
      </c>
      <c r="E813" s="35" t="s">
        <v>3490</v>
      </c>
      <c r="F813" s="35"/>
      <c r="G813" s="34"/>
      <c r="H813" s="35"/>
      <c r="I813" s="35" t="s">
        <v>1005</v>
      </c>
      <c r="J813" s="35" t="s">
        <v>1021</v>
      </c>
      <c r="K813" s="35" t="s">
        <v>888</v>
      </c>
      <c r="L813" s="35" t="s">
        <v>1342</v>
      </c>
      <c r="M813" s="35" t="s">
        <v>515</v>
      </c>
      <c r="N813" s="35" t="s">
        <v>977</v>
      </c>
      <c r="O813" s="36">
        <v>16</v>
      </c>
      <c r="P813" s="35" t="s">
        <v>37</v>
      </c>
      <c r="Q813" s="35"/>
      <c r="R813" s="35" t="s">
        <v>3491</v>
      </c>
    </row>
    <row r="814" spans="1:18" ht="24">
      <c r="A814" s="32">
        <v>355</v>
      </c>
      <c r="B814" s="33">
        <v>45285</v>
      </c>
      <c r="C814" s="32">
        <v>2023</v>
      </c>
      <c r="D814" s="34" t="s">
        <v>3492</v>
      </c>
      <c r="E814" s="35" t="s">
        <v>3493</v>
      </c>
      <c r="F814" s="35" t="s">
        <v>878</v>
      </c>
      <c r="G814" s="34"/>
      <c r="H814" s="35" t="s">
        <v>879</v>
      </c>
      <c r="I814" s="35" t="s">
        <v>965</v>
      </c>
      <c r="J814" s="35" t="s">
        <v>1110</v>
      </c>
      <c r="K814" s="35" t="s">
        <v>888</v>
      </c>
      <c r="L814" s="35" t="s">
        <v>1150</v>
      </c>
      <c r="M814" s="35" t="s">
        <v>515</v>
      </c>
      <c r="N814" s="35" t="s">
        <v>977</v>
      </c>
      <c r="O814" s="36">
        <v>16</v>
      </c>
      <c r="P814" s="35" t="s">
        <v>37</v>
      </c>
      <c r="Q814" s="35"/>
      <c r="R814" s="35" t="s">
        <v>3494</v>
      </c>
    </row>
    <row r="815" spans="1:18">
      <c r="A815" s="32">
        <v>358</v>
      </c>
      <c r="B815" s="33">
        <v>45278</v>
      </c>
      <c r="C815" s="32">
        <v>2023</v>
      </c>
      <c r="D815" s="34" t="s">
        <v>3495</v>
      </c>
      <c r="E815" s="35" t="s">
        <v>3496</v>
      </c>
      <c r="F815" s="35" t="s">
        <v>878</v>
      </c>
      <c r="G815" s="34"/>
      <c r="H815" s="35" t="s">
        <v>879</v>
      </c>
      <c r="I815" s="35" t="s">
        <v>965</v>
      </c>
      <c r="J815" s="35" t="s">
        <v>1291</v>
      </c>
      <c r="K815" s="35" t="s">
        <v>897</v>
      </c>
      <c r="L815" s="35" t="s">
        <v>1034</v>
      </c>
      <c r="M815" s="35" t="s">
        <v>515</v>
      </c>
      <c r="N815" s="35" t="s">
        <v>968</v>
      </c>
      <c r="O815" s="36">
        <v>33</v>
      </c>
      <c r="P815" s="35" t="s">
        <v>37</v>
      </c>
      <c r="Q815" s="35"/>
      <c r="R815" s="35" t="s">
        <v>3497</v>
      </c>
    </row>
    <row r="816" spans="1:18" ht="24">
      <c r="A816" s="32">
        <v>447</v>
      </c>
      <c r="B816" s="33">
        <v>45272</v>
      </c>
      <c r="C816" s="32">
        <v>2023</v>
      </c>
      <c r="D816" s="34" t="s">
        <v>3498</v>
      </c>
      <c r="E816" s="35" t="s">
        <v>3499</v>
      </c>
      <c r="F816" s="35" t="s">
        <v>878</v>
      </c>
      <c r="G816" s="34"/>
      <c r="H816" s="35" t="s">
        <v>879</v>
      </c>
      <c r="I816" s="35" t="s">
        <v>965</v>
      </c>
      <c r="J816" s="35" t="s">
        <v>1110</v>
      </c>
      <c r="K816" s="35" t="s">
        <v>888</v>
      </c>
      <c r="L816" s="35" t="s">
        <v>1342</v>
      </c>
      <c r="M816" s="35" t="s">
        <v>515</v>
      </c>
      <c r="N816" s="35" t="s">
        <v>977</v>
      </c>
      <c r="O816" s="36">
        <v>11</v>
      </c>
      <c r="P816" s="35" t="s">
        <v>37</v>
      </c>
      <c r="Q816" s="35"/>
      <c r="R816" s="35" t="s">
        <v>3500</v>
      </c>
    </row>
    <row r="817" spans="1:18">
      <c r="A817" s="32">
        <v>424</v>
      </c>
      <c r="B817" s="33">
        <v>45270</v>
      </c>
      <c r="C817" s="32">
        <v>2023</v>
      </c>
      <c r="D817" s="34" t="s">
        <v>3501</v>
      </c>
      <c r="E817" s="35" t="s">
        <v>3502</v>
      </c>
      <c r="F817" s="35" t="s">
        <v>904</v>
      </c>
      <c r="G817" s="34"/>
      <c r="H817" s="35" t="s">
        <v>886</v>
      </c>
      <c r="I817" s="35" t="s">
        <v>965</v>
      </c>
      <c r="J817" s="35" t="s">
        <v>1291</v>
      </c>
      <c r="K817" s="35" t="s">
        <v>897</v>
      </c>
      <c r="L817" s="35" t="s">
        <v>1840</v>
      </c>
      <c r="M817" s="35" t="s">
        <v>530</v>
      </c>
      <c r="N817" s="35" t="s">
        <v>968</v>
      </c>
      <c r="O817" s="36">
        <v>11</v>
      </c>
      <c r="P817" s="35" t="s">
        <v>37</v>
      </c>
      <c r="Q817" s="35"/>
      <c r="R817" s="35" t="s">
        <v>3503</v>
      </c>
    </row>
    <row r="818" spans="1:18" ht="24">
      <c r="A818" s="32">
        <v>343</v>
      </c>
      <c r="B818" s="33">
        <v>45270</v>
      </c>
      <c r="C818" s="32">
        <v>2023</v>
      </c>
      <c r="D818" s="34" t="s">
        <v>3504</v>
      </c>
      <c r="E818" s="35" t="s">
        <v>3505</v>
      </c>
      <c r="F818" s="35"/>
      <c r="G818" s="34"/>
      <c r="H818" s="35"/>
      <c r="I818" s="35" t="s">
        <v>1038</v>
      </c>
      <c r="J818" s="35" t="s">
        <v>1006</v>
      </c>
      <c r="K818" s="35" t="s">
        <v>1007</v>
      </c>
      <c r="L818" s="35" t="s">
        <v>1342</v>
      </c>
      <c r="M818" s="35" t="s">
        <v>515</v>
      </c>
      <c r="N818" s="35" t="s">
        <v>968</v>
      </c>
      <c r="O818" s="36">
        <v>1</v>
      </c>
      <c r="P818" s="35" t="s">
        <v>37</v>
      </c>
      <c r="Q818" s="35"/>
      <c r="R818" s="35" t="s">
        <v>3506</v>
      </c>
    </row>
    <row r="819" spans="1:18" ht="24">
      <c r="A819" s="32">
        <v>342</v>
      </c>
      <c r="B819" s="33">
        <v>45270</v>
      </c>
      <c r="C819" s="32">
        <v>2023</v>
      </c>
      <c r="D819" s="34" t="s">
        <v>3507</v>
      </c>
      <c r="E819" s="35" t="s">
        <v>3508</v>
      </c>
      <c r="F819" s="35"/>
      <c r="G819" s="34"/>
      <c r="H819" s="35"/>
      <c r="I819" s="35" t="s">
        <v>1005</v>
      </c>
      <c r="J819" s="35" t="s">
        <v>1021</v>
      </c>
      <c r="K819" s="35" t="s">
        <v>888</v>
      </c>
      <c r="L819" s="35" t="s">
        <v>1127</v>
      </c>
      <c r="M819" s="35" t="s">
        <v>515</v>
      </c>
      <c r="N819" s="35" t="s">
        <v>968</v>
      </c>
      <c r="O819" s="36">
        <v>13</v>
      </c>
      <c r="P819" s="35" t="s">
        <v>37</v>
      </c>
      <c r="Q819" s="35"/>
      <c r="R819" s="35" t="s">
        <v>3509</v>
      </c>
    </row>
    <row r="820" spans="1:18" ht="24">
      <c r="A820" s="32">
        <v>341</v>
      </c>
      <c r="B820" s="33">
        <v>45270</v>
      </c>
      <c r="C820" s="32">
        <v>2023</v>
      </c>
      <c r="D820" s="34" t="s">
        <v>3510</v>
      </c>
      <c r="E820" s="35" t="s">
        <v>3511</v>
      </c>
      <c r="F820" s="35" t="s">
        <v>882</v>
      </c>
      <c r="G820" s="34"/>
      <c r="H820" s="35" t="s">
        <v>883</v>
      </c>
      <c r="I820" s="35" t="s">
        <v>965</v>
      </c>
      <c r="J820" s="35" t="s">
        <v>1110</v>
      </c>
      <c r="K820" s="35" t="s">
        <v>888</v>
      </c>
      <c r="L820" s="35" t="s">
        <v>1158</v>
      </c>
      <c r="M820" s="35" t="s">
        <v>515</v>
      </c>
      <c r="N820" s="35" t="s">
        <v>977</v>
      </c>
      <c r="O820" s="36">
        <v>42</v>
      </c>
      <c r="P820" s="35" t="s">
        <v>37</v>
      </c>
      <c r="Q820" s="35"/>
      <c r="R820" s="35" t="s">
        <v>3512</v>
      </c>
    </row>
    <row r="821" spans="1:18" ht="24">
      <c r="A821" s="32">
        <v>363</v>
      </c>
      <c r="B821" s="33">
        <v>45269</v>
      </c>
      <c r="C821" s="32">
        <v>2023</v>
      </c>
      <c r="D821" s="34" t="s">
        <v>3513</v>
      </c>
      <c r="E821" s="35" t="s">
        <v>3514</v>
      </c>
      <c r="F821" s="35"/>
      <c r="G821" s="34"/>
      <c r="H821" s="35"/>
      <c r="I821" s="35" t="s">
        <v>1005</v>
      </c>
      <c r="J821" s="35" t="s">
        <v>1021</v>
      </c>
      <c r="K821" s="35" t="s">
        <v>888</v>
      </c>
      <c r="L821" s="35" t="s">
        <v>1408</v>
      </c>
      <c r="M821" s="35" t="s">
        <v>515</v>
      </c>
      <c r="N821" s="35" t="s">
        <v>968</v>
      </c>
      <c r="O821" s="36">
        <v>22</v>
      </c>
      <c r="P821" s="35" t="s">
        <v>37</v>
      </c>
      <c r="Q821" s="35"/>
      <c r="R821" s="35" t="s">
        <v>3515</v>
      </c>
    </row>
    <row r="822" spans="1:18" ht="24">
      <c r="A822" s="32">
        <v>356</v>
      </c>
      <c r="B822" s="33">
        <v>45263</v>
      </c>
      <c r="C822" s="32">
        <v>2023</v>
      </c>
      <c r="D822" s="34" t="s">
        <v>3516</v>
      </c>
      <c r="E822" s="35" t="s">
        <v>3517</v>
      </c>
      <c r="F822" s="35" t="s">
        <v>878</v>
      </c>
      <c r="G822" s="34" t="s">
        <v>891</v>
      </c>
      <c r="H822" s="35" t="s">
        <v>879</v>
      </c>
      <c r="I822" s="35" t="s">
        <v>1317</v>
      </c>
      <c r="J822" s="35" t="s">
        <v>1291</v>
      </c>
      <c r="K822" s="35" t="s">
        <v>897</v>
      </c>
      <c r="L822" s="35" t="s">
        <v>1139</v>
      </c>
      <c r="M822" s="35" t="s">
        <v>519</v>
      </c>
      <c r="N822" s="35" t="s">
        <v>968</v>
      </c>
      <c r="O822" s="36">
        <v>7</v>
      </c>
      <c r="P822" s="35" t="s">
        <v>37</v>
      </c>
      <c r="Q822" s="35"/>
      <c r="R822" s="35" t="s">
        <v>3518</v>
      </c>
    </row>
    <row r="823" spans="1:18" ht="24">
      <c r="A823" s="32">
        <v>339</v>
      </c>
      <c r="B823" s="33">
        <v>45262</v>
      </c>
      <c r="C823" s="32">
        <v>2023</v>
      </c>
      <c r="D823" s="34" t="s">
        <v>3519</v>
      </c>
      <c r="E823" s="35" t="s">
        <v>3520</v>
      </c>
      <c r="F823" s="35" t="s">
        <v>882</v>
      </c>
      <c r="G823" s="34"/>
      <c r="H823" s="35" t="s">
        <v>883</v>
      </c>
      <c r="I823" s="35" t="s">
        <v>965</v>
      </c>
      <c r="J823" s="35" t="s">
        <v>1110</v>
      </c>
      <c r="K823" s="35" t="s">
        <v>888</v>
      </c>
      <c r="L823" s="35" t="s">
        <v>1840</v>
      </c>
      <c r="M823" s="35" t="s">
        <v>512</v>
      </c>
      <c r="N823" s="35" t="s">
        <v>977</v>
      </c>
      <c r="O823" s="36">
        <v>4</v>
      </c>
      <c r="P823" s="35" t="s">
        <v>37</v>
      </c>
      <c r="Q823" s="35"/>
      <c r="R823" s="35" t="s">
        <v>3521</v>
      </c>
    </row>
    <row r="824" spans="1:18" ht="24">
      <c r="A824" s="32">
        <v>338</v>
      </c>
      <c r="B824" s="33">
        <v>45254</v>
      </c>
      <c r="C824" s="32">
        <v>2023</v>
      </c>
      <c r="D824" s="34" t="s">
        <v>3522</v>
      </c>
      <c r="E824" s="35" t="s">
        <v>3523</v>
      </c>
      <c r="F824" s="35"/>
      <c r="G824" s="34"/>
      <c r="H824" s="35"/>
      <c r="I824" s="35" t="s">
        <v>1038</v>
      </c>
      <c r="J824" s="35" t="s">
        <v>1006</v>
      </c>
      <c r="K824" s="35" t="s">
        <v>1007</v>
      </c>
      <c r="L824" s="35" t="s">
        <v>2574</v>
      </c>
      <c r="M824" s="35" t="s">
        <v>533</v>
      </c>
      <c r="N824" s="35" t="s">
        <v>968</v>
      </c>
      <c r="O824" s="36">
        <v>32</v>
      </c>
      <c r="P824" s="35" t="s">
        <v>37</v>
      </c>
      <c r="Q824" s="35"/>
      <c r="R824" s="35" t="s">
        <v>3524</v>
      </c>
    </row>
    <row r="825" spans="1:18" ht="24">
      <c r="A825" s="32">
        <v>337</v>
      </c>
      <c r="B825" s="33">
        <v>45250</v>
      </c>
      <c r="C825" s="32">
        <v>2023</v>
      </c>
      <c r="D825" s="34" t="s">
        <v>3525</v>
      </c>
      <c r="E825" s="35" t="s">
        <v>3526</v>
      </c>
      <c r="F825" s="35"/>
      <c r="G825" s="34"/>
      <c r="H825" s="35" t="s">
        <v>879</v>
      </c>
      <c r="I825" s="35" t="s">
        <v>1134</v>
      </c>
      <c r="J825" s="35" t="s">
        <v>1135</v>
      </c>
      <c r="K825" s="35" t="s">
        <v>888</v>
      </c>
      <c r="L825" s="35" t="s">
        <v>976</v>
      </c>
      <c r="M825" s="35" t="s">
        <v>522</v>
      </c>
      <c r="N825" s="35" t="s">
        <v>968</v>
      </c>
      <c r="O825" s="36">
        <v>15</v>
      </c>
      <c r="P825" s="35" t="s">
        <v>37</v>
      </c>
      <c r="Q825" s="35"/>
      <c r="R825" s="35" t="s">
        <v>3527</v>
      </c>
    </row>
    <row r="826" spans="1:18" ht="24">
      <c r="A826" s="32">
        <v>336</v>
      </c>
      <c r="B826" s="33">
        <v>45248</v>
      </c>
      <c r="C826" s="32">
        <v>2023</v>
      </c>
      <c r="D826" s="34" t="s">
        <v>3528</v>
      </c>
      <c r="E826" s="35" t="s">
        <v>3529</v>
      </c>
      <c r="F826" s="35"/>
      <c r="G826" s="34"/>
      <c r="H826" s="35"/>
      <c r="I826" s="35" t="s">
        <v>1005</v>
      </c>
      <c r="J826" s="35" t="s">
        <v>1021</v>
      </c>
      <c r="K826" s="35" t="s">
        <v>888</v>
      </c>
      <c r="L826" s="35" t="s">
        <v>2574</v>
      </c>
      <c r="M826" s="35" t="s">
        <v>533</v>
      </c>
      <c r="N826" s="35" t="s">
        <v>968</v>
      </c>
      <c r="O826" s="36">
        <v>20</v>
      </c>
      <c r="P826" s="35" t="s">
        <v>37</v>
      </c>
      <c r="Q826" s="35"/>
      <c r="R826" s="35" t="s">
        <v>3530</v>
      </c>
    </row>
    <row r="827" spans="1:18">
      <c r="A827" s="32">
        <v>332</v>
      </c>
      <c r="B827" s="33">
        <v>45246</v>
      </c>
      <c r="C827" s="32">
        <v>2023</v>
      </c>
      <c r="D827" s="34" t="s">
        <v>3531</v>
      </c>
      <c r="E827" s="35" t="s">
        <v>3532</v>
      </c>
      <c r="F827" s="35"/>
      <c r="G827" s="34"/>
      <c r="H827" s="35"/>
      <c r="I827" s="35" t="s">
        <v>1038</v>
      </c>
      <c r="J827" s="35" t="s">
        <v>1006</v>
      </c>
      <c r="K827" s="35" t="s">
        <v>1007</v>
      </c>
      <c r="L827" s="35" t="s">
        <v>2574</v>
      </c>
      <c r="M827" s="35" t="s">
        <v>533</v>
      </c>
      <c r="N827" s="35" t="s">
        <v>968</v>
      </c>
      <c r="O827" s="36">
        <v>44</v>
      </c>
      <c r="P827" s="35" t="s">
        <v>37</v>
      </c>
      <c r="Q827" s="35"/>
      <c r="R827" s="35" t="s">
        <v>3533</v>
      </c>
    </row>
    <row r="828" spans="1:18" ht="36">
      <c r="A828" s="32">
        <v>331</v>
      </c>
      <c r="B828" s="33">
        <v>45246</v>
      </c>
      <c r="C828" s="32">
        <v>2023</v>
      </c>
      <c r="D828" s="34" t="s">
        <v>3534</v>
      </c>
      <c r="E828" s="35" t="s">
        <v>3535</v>
      </c>
      <c r="F828" s="35"/>
      <c r="G828" s="34"/>
      <c r="H828" s="35"/>
      <c r="I828" s="35" t="s">
        <v>1005</v>
      </c>
      <c r="J828" s="35" t="s">
        <v>1021</v>
      </c>
      <c r="K828" s="35" t="s">
        <v>888</v>
      </c>
      <c r="L828" s="35" t="s">
        <v>1034</v>
      </c>
      <c r="M828" s="35" t="s">
        <v>515</v>
      </c>
      <c r="N828" s="35" t="s">
        <v>977</v>
      </c>
      <c r="O828" s="36">
        <v>9</v>
      </c>
      <c r="P828" s="35" t="s">
        <v>37</v>
      </c>
      <c r="Q828" s="35"/>
      <c r="R828" s="35" t="s">
        <v>3536</v>
      </c>
    </row>
    <row r="829" spans="1:18" ht="36">
      <c r="A829" s="32">
        <v>330</v>
      </c>
      <c r="B829" s="33">
        <v>45237</v>
      </c>
      <c r="C829" s="32">
        <v>2023</v>
      </c>
      <c r="D829" s="34" t="s">
        <v>3537</v>
      </c>
      <c r="E829" s="35" t="s">
        <v>3538</v>
      </c>
      <c r="F829" s="35" t="s">
        <v>884</v>
      </c>
      <c r="G829" s="34"/>
      <c r="H829" s="35" t="s">
        <v>883</v>
      </c>
      <c r="I829" s="35" t="s">
        <v>965</v>
      </c>
      <c r="J829" s="35" t="s">
        <v>1110</v>
      </c>
      <c r="K829" s="35" t="s">
        <v>888</v>
      </c>
      <c r="L829" s="35" t="s">
        <v>1008</v>
      </c>
      <c r="M829" s="35" t="s">
        <v>526</v>
      </c>
      <c r="N829" s="35" t="s">
        <v>977</v>
      </c>
      <c r="O829" s="36">
        <v>9</v>
      </c>
      <c r="P829" s="35" t="s">
        <v>37</v>
      </c>
      <c r="Q829" s="35"/>
      <c r="R829" s="35" t="s">
        <v>3539</v>
      </c>
    </row>
    <row r="830" spans="1:18" ht="24">
      <c r="A830" s="32">
        <v>329</v>
      </c>
      <c r="B830" s="33">
        <v>45237</v>
      </c>
      <c r="C830" s="32">
        <v>2023</v>
      </c>
      <c r="D830" s="34" t="s">
        <v>3540</v>
      </c>
      <c r="E830" s="35" t="s">
        <v>3541</v>
      </c>
      <c r="F830" s="35" t="s">
        <v>884</v>
      </c>
      <c r="G830" s="34"/>
      <c r="H830" s="35" t="s">
        <v>883</v>
      </c>
      <c r="I830" s="35" t="s">
        <v>965</v>
      </c>
      <c r="J830" s="35" t="s">
        <v>1110</v>
      </c>
      <c r="K830" s="35" t="s">
        <v>888</v>
      </c>
      <c r="L830" s="35" t="s">
        <v>1008</v>
      </c>
      <c r="M830" s="35" t="s">
        <v>526</v>
      </c>
      <c r="N830" s="35" t="s">
        <v>977</v>
      </c>
      <c r="O830" s="36">
        <v>21</v>
      </c>
      <c r="P830" s="35" t="s">
        <v>37</v>
      </c>
      <c r="Q830" s="35"/>
      <c r="R830" s="35" t="s">
        <v>3542</v>
      </c>
    </row>
    <row r="831" spans="1:18" ht="24">
      <c r="A831" s="32">
        <v>328</v>
      </c>
      <c r="B831" s="33">
        <v>45237</v>
      </c>
      <c r="C831" s="32">
        <v>2023</v>
      </c>
      <c r="D831" s="34" t="s">
        <v>3543</v>
      </c>
      <c r="E831" s="35" t="s">
        <v>3544</v>
      </c>
      <c r="F831" s="35" t="s">
        <v>884</v>
      </c>
      <c r="G831" s="34"/>
      <c r="H831" s="35" t="s">
        <v>883</v>
      </c>
      <c r="I831" s="35" t="s">
        <v>965</v>
      </c>
      <c r="J831" s="35" t="s">
        <v>1110</v>
      </c>
      <c r="K831" s="35" t="s">
        <v>888</v>
      </c>
      <c r="L831" s="35" t="s">
        <v>1034</v>
      </c>
      <c r="M831" s="35" t="s">
        <v>515</v>
      </c>
      <c r="N831" s="35" t="s">
        <v>977</v>
      </c>
      <c r="O831" s="36">
        <v>11</v>
      </c>
      <c r="P831" s="35" t="s">
        <v>37</v>
      </c>
      <c r="Q831" s="35"/>
      <c r="R831" s="35" t="s">
        <v>3545</v>
      </c>
    </row>
    <row r="832" spans="1:18" ht="24">
      <c r="A832" s="32">
        <v>412</v>
      </c>
      <c r="B832" s="33">
        <v>45230</v>
      </c>
      <c r="C832" s="32">
        <v>2023</v>
      </c>
      <c r="D832" s="34" t="s">
        <v>3546</v>
      </c>
      <c r="E832" s="35" t="s">
        <v>3547</v>
      </c>
      <c r="F832" s="35" t="s">
        <v>878</v>
      </c>
      <c r="G832" s="34" t="s">
        <v>904</v>
      </c>
      <c r="H832" s="35" t="s">
        <v>879</v>
      </c>
      <c r="I832" s="35" t="s">
        <v>1317</v>
      </c>
      <c r="J832" s="35" t="s">
        <v>1291</v>
      </c>
      <c r="K832" s="35" t="s">
        <v>897</v>
      </c>
      <c r="L832" s="35" t="s">
        <v>1086</v>
      </c>
      <c r="M832" s="35" t="s">
        <v>512</v>
      </c>
      <c r="N832" s="35" t="s">
        <v>968</v>
      </c>
      <c r="O832" s="36">
        <v>8</v>
      </c>
      <c r="P832" s="35" t="s">
        <v>37</v>
      </c>
      <c r="Q832" s="35"/>
      <c r="R832" s="35" t="s">
        <v>3548</v>
      </c>
    </row>
    <row r="833" spans="1:18" ht="24">
      <c r="A833" s="32">
        <v>319</v>
      </c>
      <c r="B833" s="33">
        <v>45214</v>
      </c>
      <c r="C833" s="32">
        <v>2023</v>
      </c>
      <c r="D833" s="34" t="s">
        <v>3549</v>
      </c>
      <c r="E833" s="35" t="s">
        <v>3550</v>
      </c>
      <c r="F833" s="35" t="s">
        <v>884</v>
      </c>
      <c r="G833" s="34"/>
      <c r="H833" s="35" t="s">
        <v>883</v>
      </c>
      <c r="I833" s="35" t="s">
        <v>965</v>
      </c>
      <c r="J833" s="35" t="s">
        <v>1110</v>
      </c>
      <c r="K833" s="35" t="s">
        <v>888</v>
      </c>
      <c r="L833" s="35" t="s">
        <v>1086</v>
      </c>
      <c r="M833" s="35" t="s">
        <v>512</v>
      </c>
      <c r="N833" s="35" t="s">
        <v>977</v>
      </c>
      <c r="O833" s="36">
        <v>2</v>
      </c>
      <c r="P833" s="35" t="s">
        <v>37</v>
      </c>
      <c r="Q833" s="35"/>
      <c r="R833" s="35" t="s">
        <v>3551</v>
      </c>
    </row>
    <row r="834" spans="1:18" ht="24">
      <c r="A834" s="32">
        <v>322</v>
      </c>
      <c r="B834" s="33">
        <v>45214</v>
      </c>
      <c r="C834" s="32">
        <v>2023</v>
      </c>
      <c r="D834" s="34" t="s">
        <v>3552</v>
      </c>
      <c r="E834" s="35" t="s">
        <v>3553</v>
      </c>
      <c r="F834" s="35" t="s">
        <v>878</v>
      </c>
      <c r="G834" s="34" t="s">
        <v>3554</v>
      </c>
      <c r="H834" s="35" t="s">
        <v>879</v>
      </c>
      <c r="I834" s="35" t="s">
        <v>1317</v>
      </c>
      <c r="J834" s="35" t="s">
        <v>1291</v>
      </c>
      <c r="K834" s="35" t="s">
        <v>897</v>
      </c>
      <c r="L834" s="35" t="s">
        <v>972</v>
      </c>
      <c r="M834" s="35" t="s">
        <v>512</v>
      </c>
      <c r="N834" s="35" t="s">
        <v>977</v>
      </c>
      <c r="O834" s="36">
        <v>17</v>
      </c>
      <c r="P834" s="35" t="s">
        <v>37</v>
      </c>
      <c r="Q834" s="35"/>
      <c r="R834" s="35" t="s">
        <v>3555</v>
      </c>
    </row>
    <row r="835" spans="1:18" ht="36">
      <c r="A835" s="32">
        <v>519</v>
      </c>
      <c r="B835" s="33">
        <v>45208</v>
      </c>
      <c r="C835" s="32">
        <v>2023</v>
      </c>
      <c r="D835" s="34" t="s">
        <v>3556</v>
      </c>
      <c r="E835" s="35" t="s">
        <v>3557</v>
      </c>
      <c r="F835" s="35" t="s">
        <v>878</v>
      </c>
      <c r="G835" s="34"/>
      <c r="H835" s="35" t="s">
        <v>879</v>
      </c>
      <c r="I835" s="35" t="s">
        <v>965</v>
      </c>
      <c r="J835" s="35" t="s">
        <v>1110</v>
      </c>
      <c r="K835" s="35" t="s">
        <v>888</v>
      </c>
      <c r="L835" s="35" t="s">
        <v>972</v>
      </c>
      <c r="M835" s="35" t="s">
        <v>512</v>
      </c>
      <c r="N835" s="35" t="s">
        <v>977</v>
      </c>
      <c r="O835" s="36">
        <v>8</v>
      </c>
      <c r="P835" s="35" t="s">
        <v>37</v>
      </c>
      <c r="Q835" s="35"/>
      <c r="R835" s="35" t="s">
        <v>3558</v>
      </c>
    </row>
    <row r="836" spans="1:18" ht="24">
      <c r="A836" s="32">
        <v>315</v>
      </c>
      <c r="B836" s="33">
        <v>45204</v>
      </c>
      <c r="C836" s="32">
        <v>2023</v>
      </c>
      <c r="D836" s="34" t="s">
        <v>3559</v>
      </c>
      <c r="E836" s="35" t="s">
        <v>3560</v>
      </c>
      <c r="F836" s="35" t="s">
        <v>878</v>
      </c>
      <c r="G836" s="34" t="s">
        <v>3561</v>
      </c>
      <c r="H836" s="35" t="s">
        <v>879</v>
      </c>
      <c r="I836" s="35" t="s">
        <v>1317</v>
      </c>
      <c r="J836" s="35" t="s">
        <v>1110</v>
      </c>
      <c r="K836" s="35" t="s">
        <v>888</v>
      </c>
      <c r="L836" s="35" t="s">
        <v>976</v>
      </c>
      <c r="M836" s="35" t="s">
        <v>522</v>
      </c>
      <c r="N836" s="35" t="s">
        <v>977</v>
      </c>
      <c r="O836" s="36">
        <v>16</v>
      </c>
      <c r="P836" s="35" t="s">
        <v>37</v>
      </c>
      <c r="Q836" s="35"/>
      <c r="R836" s="35" t="s">
        <v>3562</v>
      </c>
    </row>
    <row r="837" spans="1:18" ht="24">
      <c r="A837" s="32">
        <v>313</v>
      </c>
      <c r="B837" s="33">
        <v>45194</v>
      </c>
      <c r="C837" s="32">
        <v>2023</v>
      </c>
      <c r="D837" s="34" t="s">
        <v>3563</v>
      </c>
      <c r="E837" s="35" t="s">
        <v>3564</v>
      </c>
      <c r="F837" s="35" t="s">
        <v>889</v>
      </c>
      <c r="G837" s="34"/>
      <c r="H837" s="35" t="s">
        <v>890</v>
      </c>
      <c r="I837" s="35" t="s">
        <v>965</v>
      </c>
      <c r="J837" s="35" t="s">
        <v>1110</v>
      </c>
      <c r="K837" s="35" t="s">
        <v>888</v>
      </c>
      <c r="L837" s="35" t="s">
        <v>1119</v>
      </c>
      <c r="M837" s="35" t="s">
        <v>519</v>
      </c>
      <c r="N837" s="35" t="s">
        <v>977</v>
      </c>
      <c r="O837" s="36">
        <v>8</v>
      </c>
      <c r="P837" s="35" t="s">
        <v>37</v>
      </c>
      <c r="Q837" s="35"/>
      <c r="R837" s="35" t="s">
        <v>3565</v>
      </c>
    </row>
    <row r="838" spans="1:18" ht="24">
      <c r="A838" s="32">
        <v>312</v>
      </c>
      <c r="B838" s="33">
        <v>45194</v>
      </c>
      <c r="C838" s="32">
        <v>2023</v>
      </c>
      <c r="D838" s="34" t="s">
        <v>3566</v>
      </c>
      <c r="E838" s="35" t="s">
        <v>3567</v>
      </c>
      <c r="F838" s="35" t="s">
        <v>887</v>
      </c>
      <c r="G838" s="34"/>
      <c r="H838" s="35" t="s">
        <v>883</v>
      </c>
      <c r="I838" s="35" t="s">
        <v>965</v>
      </c>
      <c r="J838" s="35" t="s">
        <v>1110</v>
      </c>
      <c r="K838" s="35" t="s">
        <v>888</v>
      </c>
      <c r="L838" s="35" t="s">
        <v>1139</v>
      </c>
      <c r="M838" s="35" t="s">
        <v>519</v>
      </c>
      <c r="N838" s="35" t="s">
        <v>977</v>
      </c>
      <c r="O838" s="36">
        <v>5</v>
      </c>
      <c r="P838" s="35" t="s">
        <v>37</v>
      </c>
      <c r="Q838" s="35"/>
      <c r="R838" s="35" t="s">
        <v>3568</v>
      </c>
    </row>
    <row r="839" spans="1:18" ht="24">
      <c r="A839" s="32">
        <v>311</v>
      </c>
      <c r="B839" s="33">
        <v>45190</v>
      </c>
      <c r="C839" s="32">
        <v>2023</v>
      </c>
      <c r="D839" s="34" t="s">
        <v>3569</v>
      </c>
      <c r="E839" s="35" t="s">
        <v>3570</v>
      </c>
      <c r="F839" s="35"/>
      <c r="G839" s="34"/>
      <c r="H839" s="35"/>
      <c r="I839" s="35" t="s">
        <v>1038</v>
      </c>
      <c r="J839" s="35" t="s">
        <v>1006</v>
      </c>
      <c r="K839" s="35" t="s">
        <v>1007</v>
      </c>
      <c r="L839" s="35" t="s">
        <v>1139</v>
      </c>
      <c r="M839" s="35" t="s">
        <v>519</v>
      </c>
      <c r="N839" s="35" t="s">
        <v>977</v>
      </c>
      <c r="O839" s="36">
        <v>10</v>
      </c>
      <c r="P839" s="35" t="s">
        <v>37</v>
      </c>
      <c r="Q839" s="35"/>
      <c r="R839" s="35" t="s">
        <v>3571</v>
      </c>
    </row>
    <row r="840" spans="1:18" ht="24">
      <c r="A840" s="32">
        <v>310</v>
      </c>
      <c r="B840" s="33">
        <v>45190</v>
      </c>
      <c r="C840" s="32">
        <v>2023</v>
      </c>
      <c r="D840" s="34" t="s">
        <v>3572</v>
      </c>
      <c r="E840" s="35" t="s">
        <v>3573</v>
      </c>
      <c r="F840" s="35" t="s">
        <v>884</v>
      </c>
      <c r="G840" s="34"/>
      <c r="H840" s="35" t="s">
        <v>883</v>
      </c>
      <c r="I840" s="35" t="s">
        <v>965</v>
      </c>
      <c r="J840" s="35" t="s">
        <v>1110</v>
      </c>
      <c r="K840" s="35" t="s">
        <v>888</v>
      </c>
      <c r="L840" s="35" t="s">
        <v>1086</v>
      </c>
      <c r="M840" s="35" t="s">
        <v>530</v>
      </c>
      <c r="N840" s="35" t="s">
        <v>977</v>
      </c>
      <c r="O840" s="36">
        <v>37</v>
      </c>
      <c r="P840" s="35" t="s">
        <v>37</v>
      </c>
      <c r="Q840" s="35"/>
      <c r="R840" s="35" t="s">
        <v>3574</v>
      </c>
    </row>
    <row r="841" spans="1:18">
      <c r="A841" s="32">
        <v>395</v>
      </c>
      <c r="B841" s="33">
        <v>45188</v>
      </c>
      <c r="C841" s="32">
        <v>2023</v>
      </c>
      <c r="D841" s="34" t="s">
        <v>3575</v>
      </c>
      <c r="E841" s="35" t="s">
        <v>3576</v>
      </c>
      <c r="F841" s="35" t="s">
        <v>878</v>
      </c>
      <c r="G841" s="34"/>
      <c r="H841" s="35" t="s">
        <v>879</v>
      </c>
      <c r="I841" s="35" t="s">
        <v>965</v>
      </c>
      <c r="J841" s="35" t="s">
        <v>1110</v>
      </c>
      <c r="K841" s="35" t="s">
        <v>888</v>
      </c>
      <c r="L841" s="35" t="s">
        <v>1119</v>
      </c>
      <c r="M841" s="35" t="s">
        <v>519</v>
      </c>
      <c r="N841" s="35" t="s">
        <v>968</v>
      </c>
      <c r="O841" s="36">
        <v>2</v>
      </c>
      <c r="P841" s="35" t="s">
        <v>37</v>
      </c>
      <c r="Q841" s="35"/>
      <c r="R841" s="35" t="s">
        <v>3577</v>
      </c>
    </row>
    <row r="842" spans="1:18">
      <c r="A842" s="32">
        <v>309</v>
      </c>
      <c r="B842" s="33">
        <v>45187</v>
      </c>
      <c r="C842" s="32">
        <v>2023</v>
      </c>
      <c r="D842" s="34" t="s">
        <v>3578</v>
      </c>
      <c r="E842" s="35" t="s">
        <v>3579</v>
      </c>
      <c r="F842" s="35" t="s">
        <v>885</v>
      </c>
      <c r="G842" s="34"/>
      <c r="H842" s="35" t="s">
        <v>886</v>
      </c>
      <c r="I842" s="35" t="s">
        <v>965</v>
      </c>
      <c r="J842" s="35" t="s">
        <v>1110</v>
      </c>
      <c r="K842" s="35" t="s">
        <v>888</v>
      </c>
      <c r="L842" s="35" t="s">
        <v>1119</v>
      </c>
      <c r="M842" s="35" t="s">
        <v>519</v>
      </c>
      <c r="N842" s="35" t="s">
        <v>968</v>
      </c>
      <c r="O842" s="36">
        <v>18</v>
      </c>
      <c r="P842" s="35" t="s">
        <v>37</v>
      </c>
      <c r="Q842" s="35"/>
      <c r="R842" s="35" t="s">
        <v>3580</v>
      </c>
    </row>
    <row r="843" spans="1:18">
      <c r="A843" s="32">
        <v>308</v>
      </c>
      <c r="B843" s="33">
        <v>45187</v>
      </c>
      <c r="C843" s="32">
        <v>2023</v>
      </c>
      <c r="D843" s="34" t="s">
        <v>3581</v>
      </c>
      <c r="E843" s="35" t="s">
        <v>3582</v>
      </c>
      <c r="F843" s="35"/>
      <c r="G843" s="34"/>
      <c r="H843" s="35"/>
      <c r="I843" s="35" t="s">
        <v>1005</v>
      </c>
      <c r="J843" s="35" t="s">
        <v>1021</v>
      </c>
      <c r="K843" s="35" t="s">
        <v>888</v>
      </c>
      <c r="L843" s="35" t="s">
        <v>1127</v>
      </c>
      <c r="M843" s="35" t="s">
        <v>515</v>
      </c>
      <c r="N843" s="35" t="s">
        <v>968</v>
      </c>
      <c r="O843" s="36">
        <v>15</v>
      </c>
      <c r="P843" s="35" t="s">
        <v>37</v>
      </c>
      <c r="Q843" s="35"/>
      <c r="R843" s="35" t="s">
        <v>3583</v>
      </c>
    </row>
    <row r="844" spans="1:18" ht="24">
      <c r="A844" s="32">
        <v>307</v>
      </c>
      <c r="B844" s="33">
        <v>45184</v>
      </c>
      <c r="C844" s="32">
        <v>2023</v>
      </c>
      <c r="D844" s="34" t="s">
        <v>3584</v>
      </c>
      <c r="E844" s="35" t="s">
        <v>3585</v>
      </c>
      <c r="F844" s="35" t="s">
        <v>903</v>
      </c>
      <c r="G844" s="34"/>
      <c r="H844" s="35" t="s">
        <v>886</v>
      </c>
      <c r="I844" s="35" t="s">
        <v>965</v>
      </c>
      <c r="J844" s="35" t="s">
        <v>1110</v>
      </c>
      <c r="K844" s="35" t="s">
        <v>888</v>
      </c>
      <c r="L844" s="35" t="s">
        <v>976</v>
      </c>
      <c r="M844" s="35" t="s">
        <v>522</v>
      </c>
      <c r="N844" s="35" t="s">
        <v>968</v>
      </c>
      <c r="O844" s="36">
        <v>6</v>
      </c>
      <c r="P844" s="35" t="s">
        <v>37</v>
      </c>
      <c r="Q844" s="35"/>
      <c r="R844" s="35" t="s">
        <v>3586</v>
      </c>
    </row>
    <row r="845" spans="1:18" ht="24">
      <c r="A845" s="32">
        <v>429</v>
      </c>
      <c r="B845" s="33">
        <v>45180</v>
      </c>
      <c r="C845" s="32">
        <v>2023</v>
      </c>
      <c r="D845" s="34" t="s">
        <v>3587</v>
      </c>
      <c r="E845" s="35" t="s">
        <v>3588</v>
      </c>
      <c r="F845" s="35"/>
      <c r="G845" s="34"/>
      <c r="H845" s="35"/>
      <c r="I845" s="35" t="s">
        <v>1005</v>
      </c>
      <c r="J845" s="35" t="s">
        <v>1021</v>
      </c>
      <c r="K845" s="35" t="s">
        <v>888</v>
      </c>
      <c r="L845" s="35" t="s">
        <v>1008</v>
      </c>
      <c r="M845" s="35" t="s">
        <v>526</v>
      </c>
      <c r="N845" s="35" t="s">
        <v>968</v>
      </c>
      <c r="O845" s="36">
        <v>20</v>
      </c>
      <c r="P845" s="35" t="s">
        <v>37</v>
      </c>
      <c r="Q845" s="35"/>
      <c r="R845" s="35" t="s">
        <v>3589</v>
      </c>
    </row>
    <row r="846" spans="1:18">
      <c r="A846" s="32">
        <v>304</v>
      </c>
      <c r="B846" s="33">
        <v>45179</v>
      </c>
      <c r="C846" s="32">
        <v>2023</v>
      </c>
      <c r="D846" s="34" t="s">
        <v>3590</v>
      </c>
      <c r="E846" s="35" t="s">
        <v>3591</v>
      </c>
      <c r="F846" s="35" t="s">
        <v>905</v>
      </c>
      <c r="G846" s="34"/>
      <c r="H846" s="35" t="s">
        <v>895</v>
      </c>
      <c r="I846" s="35" t="s">
        <v>965</v>
      </c>
      <c r="J846" s="35" t="s">
        <v>1110</v>
      </c>
      <c r="K846" s="35" t="s">
        <v>888</v>
      </c>
      <c r="L846" s="35" t="s">
        <v>3592</v>
      </c>
      <c r="M846" s="35" t="s">
        <v>533</v>
      </c>
      <c r="N846" s="35" t="s">
        <v>968</v>
      </c>
      <c r="O846" s="36">
        <v>41</v>
      </c>
      <c r="P846" s="35" t="s">
        <v>37</v>
      </c>
      <c r="Q846" s="35"/>
      <c r="R846" s="35" t="s">
        <v>3593</v>
      </c>
    </row>
    <row r="847" spans="1:18">
      <c r="A847" s="32">
        <v>303</v>
      </c>
      <c r="B847" s="33">
        <v>45179</v>
      </c>
      <c r="C847" s="32">
        <v>2023</v>
      </c>
      <c r="D847" s="34" t="s">
        <v>3594</v>
      </c>
      <c r="E847" s="35" t="s">
        <v>3595</v>
      </c>
      <c r="F847" s="35" t="s">
        <v>891</v>
      </c>
      <c r="G847" s="34"/>
      <c r="H847" s="35" t="s">
        <v>883</v>
      </c>
      <c r="I847" s="35" t="s">
        <v>965</v>
      </c>
      <c r="J847" s="35" t="s">
        <v>1110</v>
      </c>
      <c r="K847" s="35" t="s">
        <v>888</v>
      </c>
      <c r="L847" s="35" t="s">
        <v>3592</v>
      </c>
      <c r="M847" s="35" t="s">
        <v>533</v>
      </c>
      <c r="N847" s="35" t="s">
        <v>968</v>
      </c>
      <c r="O847" s="36">
        <v>32</v>
      </c>
      <c r="P847" s="35" t="s">
        <v>37</v>
      </c>
      <c r="Q847" s="35"/>
      <c r="R847" s="35" t="s">
        <v>3596</v>
      </c>
    </row>
    <row r="848" spans="1:18">
      <c r="A848" s="32">
        <v>302</v>
      </c>
      <c r="B848" s="33">
        <v>45179</v>
      </c>
      <c r="C848" s="32">
        <v>2023</v>
      </c>
      <c r="D848" s="34" t="s">
        <v>3597</v>
      </c>
      <c r="E848" s="35" t="s">
        <v>3598</v>
      </c>
      <c r="F848" s="35"/>
      <c r="G848" s="34"/>
      <c r="H848" s="35" t="s">
        <v>883</v>
      </c>
      <c r="I848" s="35" t="s">
        <v>1134</v>
      </c>
      <c r="J848" s="35" t="s">
        <v>1135</v>
      </c>
      <c r="K848" s="35" t="s">
        <v>888</v>
      </c>
      <c r="L848" s="35" t="s">
        <v>3592</v>
      </c>
      <c r="M848" s="35" t="s">
        <v>533</v>
      </c>
      <c r="N848" s="35" t="s">
        <v>968</v>
      </c>
      <c r="O848" s="36">
        <v>29</v>
      </c>
      <c r="P848" s="35" t="s">
        <v>37</v>
      </c>
      <c r="Q848" s="35"/>
      <c r="R848" s="35" t="s">
        <v>3599</v>
      </c>
    </row>
    <row r="849" spans="1:18" ht="24">
      <c r="A849" s="32">
        <v>301</v>
      </c>
      <c r="B849" s="33">
        <v>45179</v>
      </c>
      <c r="C849" s="32">
        <v>2023</v>
      </c>
      <c r="D849" s="34" t="s">
        <v>3600</v>
      </c>
      <c r="E849" s="35" t="s">
        <v>3601</v>
      </c>
      <c r="F849" s="35" t="s">
        <v>891</v>
      </c>
      <c r="G849" s="34"/>
      <c r="H849" s="35" t="s">
        <v>883</v>
      </c>
      <c r="I849" s="35" t="s">
        <v>965</v>
      </c>
      <c r="J849" s="35" t="s">
        <v>1110</v>
      </c>
      <c r="K849" s="35" t="s">
        <v>888</v>
      </c>
      <c r="L849" s="35" t="s">
        <v>2729</v>
      </c>
      <c r="M849" s="35" t="s">
        <v>533</v>
      </c>
      <c r="N849" s="35" t="s">
        <v>968</v>
      </c>
      <c r="O849" s="36">
        <v>2</v>
      </c>
      <c r="P849" s="35" t="s">
        <v>37</v>
      </c>
      <c r="Q849" s="35"/>
      <c r="R849" s="35" t="s">
        <v>3602</v>
      </c>
    </row>
    <row r="850" spans="1:18">
      <c r="A850" s="32">
        <v>300</v>
      </c>
      <c r="B850" s="33">
        <v>45179</v>
      </c>
      <c r="C850" s="32">
        <v>2023</v>
      </c>
      <c r="D850" s="34" t="s">
        <v>3603</v>
      </c>
      <c r="E850" s="35" t="s">
        <v>3604</v>
      </c>
      <c r="F850" s="35" t="s">
        <v>891</v>
      </c>
      <c r="G850" s="34"/>
      <c r="H850" s="35" t="s">
        <v>883</v>
      </c>
      <c r="I850" s="35" t="s">
        <v>965</v>
      </c>
      <c r="J850" s="35" t="s">
        <v>1110</v>
      </c>
      <c r="K850" s="35" t="s">
        <v>888</v>
      </c>
      <c r="L850" s="35" t="s">
        <v>3592</v>
      </c>
      <c r="M850" s="35" t="s">
        <v>533</v>
      </c>
      <c r="N850" s="35" t="s">
        <v>968</v>
      </c>
      <c r="O850" s="36">
        <v>25</v>
      </c>
      <c r="P850" s="35" t="s">
        <v>37</v>
      </c>
      <c r="Q850" s="35"/>
      <c r="R850" s="35" t="s">
        <v>3605</v>
      </c>
    </row>
    <row r="851" spans="1:18">
      <c r="A851" s="32">
        <v>299</v>
      </c>
      <c r="B851" s="33">
        <v>45178</v>
      </c>
      <c r="C851" s="32">
        <v>2023</v>
      </c>
      <c r="D851" s="34" t="s">
        <v>3606</v>
      </c>
      <c r="E851" s="35" t="s">
        <v>3607</v>
      </c>
      <c r="F851" s="35"/>
      <c r="G851" s="34"/>
      <c r="H851" s="35"/>
      <c r="I851" s="35" t="s">
        <v>1005</v>
      </c>
      <c r="J851" s="35" t="s">
        <v>1021</v>
      </c>
      <c r="K851" s="35" t="s">
        <v>888</v>
      </c>
      <c r="L851" s="35" t="s">
        <v>1008</v>
      </c>
      <c r="M851" s="35" t="s">
        <v>526</v>
      </c>
      <c r="N851" s="35" t="s">
        <v>968</v>
      </c>
      <c r="O851" s="36">
        <v>28</v>
      </c>
      <c r="P851" s="35" t="s">
        <v>37</v>
      </c>
      <c r="Q851" s="35"/>
      <c r="R851" s="35" t="s">
        <v>3608</v>
      </c>
    </row>
    <row r="852" spans="1:18">
      <c r="A852" s="32">
        <v>298</v>
      </c>
      <c r="B852" s="33">
        <v>45178</v>
      </c>
      <c r="C852" s="32">
        <v>2023</v>
      </c>
      <c r="D852" s="34" t="s">
        <v>3609</v>
      </c>
      <c r="E852" s="35" t="s">
        <v>3610</v>
      </c>
      <c r="F852" s="35" t="s">
        <v>882</v>
      </c>
      <c r="G852" s="34"/>
      <c r="H852" s="35" t="s">
        <v>883</v>
      </c>
      <c r="I852" s="35" t="s">
        <v>965</v>
      </c>
      <c r="J852" s="35" t="s">
        <v>1110</v>
      </c>
      <c r="K852" s="35" t="s">
        <v>888</v>
      </c>
      <c r="L852" s="35" t="s">
        <v>1139</v>
      </c>
      <c r="M852" s="35" t="s">
        <v>519</v>
      </c>
      <c r="N852" s="35" t="s">
        <v>977</v>
      </c>
      <c r="O852" s="36">
        <v>8</v>
      </c>
      <c r="P852" s="35" t="s">
        <v>37</v>
      </c>
      <c r="Q852" s="35"/>
      <c r="R852" s="35" t="s">
        <v>3611</v>
      </c>
    </row>
    <row r="853" spans="1:18" ht="24">
      <c r="A853" s="32">
        <v>297</v>
      </c>
      <c r="B853" s="33">
        <v>45178</v>
      </c>
      <c r="C853" s="32">
        <v>2023</v>
      </c>
      <c r="D853" s="34" t="s">
        <v>3612</v>
      </c>
      <c r="E853" s="35" t="s">
        <v>3613</v>
      </c>
      <c r="F853" s="35" t="s">
        <v>884</v>
      </c>
      <c r="G853" s="34"/>
      <c r="H853" s="35" t="s">
        <v>883</v>
      </c>
      <c r="I853" s="35" t="s">
        <v>965</v>
      </c>
      <c r="J853" s="35" t="s">
        <v>1110</v>
      </c>
      <c r="K853" s="35" t="s">
        <v>888</v>
      </c>
      <c r="L853" s="35" t="s">
        <v>1008</v>
      </c>
      <c r="M853" s="35" t="s">
        <v>526</v>
      </c>
      <c r="N853" s="35" t="s">
        <v>977</v>
      </c>
      <c r="O853" s="36">
        <v>26</v>
      </c>
      <c r="P853" s="35" t="s">
        <v>37</v>
      </c>
      <c r="Q853" s="35"/>
      <c r="R853" s="35" t="s">
        <v>3614</v>
      </c>
    </row>
    <row r="854" spans="1:18">
      <c r="A854" s="32">
        <v>294</v>
      </c>
      <c r="B854" s="33">
        <v>45178</v>
      </c>
      <c r="C854" s="32">
        <v>2023</v>
      </c>
      <c r="D854" s="34" t="s">
        <v>3615</v>
      </c>
      <c r="E854" s="35" t="s">
        <v>3616</v>
      </c>
      <c r="F854" s="35" t="s">
        <v>885</v>
      </c>
      <c r="G854" s="34"/>
      <c r="H854" s="35" t="s">
        <v>886</v>
      </c>
      <c r="I854" s="35" t="s">
        <v>965</v>
      </c>
      <c r="J854" s="35" t="s">
        <v>1110</v>
      </c>
      <c r="K854" s="35" t="s">
        <v>888</v>
      </c>
      <c r="L854" s="35" t="s">
        <v>1139</v>
      </c>
      <c r="M854" s="35" t="s">
        <v>519</v>
      </c>
      <c r="N854" s="35" t="s">
        <v>968</v>
      </c>
      <c r="O854" s="36">
        <v>17</v>
      </c>
      <c r="P854" s="35" t="s">
        <v>37</v>
      </c>
      <c r="Q854" s="35"/>
      <c r="R854" s="35" t="s">
        <v>3617</v>
      </c>
    </row>
    <row r="855" spans="1:18" ht="24">
      <c r="A855" s="32">
        <v>293</v>
      </c>
      <c r="B855" s="33">
        <v>45177</v>
      </c>
      <c r="C855" s="32">
        <v>2023</v>
      </c>
      <c r="D855" s="34" t="s">
        <v>3618</v>
      </c>
      <c r="E855" s="35" t="s">
        <v>3619</v>
      </c>
      <c r="F855" s="35" t="s">
        <v>884</v>
      </c>
      <c r="G855" s="34"/>
      <c r="H855" s="35" t="s">
        <v>883</v>
      </c>
      <c r="I855" s="35" t="s">
        <v>965</v>
      </c>
      <c r="J855" s="35" t="s">
        <v>1110</v>
      </c>
      <c r="K855" s="35" t="s">
        <v>888</v>
      </c>
      <c r="L855" s="35" t="s">
        <v>1127</v>
      </c>
      <c r="M855" s="35" t="s">
        <v>515</v>
      </c>
      <c r="N855" s="35" t="s">
        <v>977</v>
      </c>
      <c r="O855" s="36">
        <v>34</v>
      </c>
      <c r="P855" s="35" t="s">
        <v>37</v>
      </c>
      <c r="Q855" s="35"/>
      <c r="R855" s="35" t="s">
        <v>3620</v>
      </c>
    </row>
    <row r="856" spans="1:18" ht="24">
      <c r="A856" s="32">
        <v>292</v>
      </c>
      <c r="B856" s="33">
        <v>45177</v>
      </c>
      <c r="C856" s="32">
        <v>2023</v>
      </c>
      <c r="D856" s="34" t="s">
        <v>3621</v>
      </c>
      <c r="E856" s="35" t="s">
        <v>3622</v>
      </c>
      <c r="F856" s="35" t="s">
        <v>884</v>
      </c>
      <c r="G856" s="34"/>
      <c r="H856" s="35" t="s">
        <v>883</v>
      </c>
      <c r="I856" s="35" t="s">
        <v>965</v>
      </c>
      <c r="J856" s="35" t="s">
        <v>1110</v>
      </c>
      <c r="K856" s="35" t="s">
        <v>888</v>
      </c>
      <c r="L856" s="35" t="s">
        <v>1139</v>
      </c>
      <c r="M856" s="35" t="s">
        <v>519</v>
      </c>
      <c r="N856" s="35" t="s">
        <v>977</v>
      </c>
      <c r="O856" s="36">
        <v>11</v>
      </c>
      <c r="P856" s="35" t="s">
        <v>37</v>
      </c>
      <c r="Q856" s="35"/>
      <c r="R856" s="35" t="s">
        <v>3623</v>
      </c>
    </row>
    <row r="857" spans="1:18" ht="24">
      <c r="A857" s="32">
        <v>291</v>
      </c>
      <c r="B857" s="33">
        <v>45177</v>
      </c>
      <c r="C857" s="32">
        <v>2023</v>
      </c>
      <c r="D857" s="34" t="s">
        <v>3624</v>
      </c>
      <c r="E857" s="35" t="s">
        <v>3625</v>
      </c>
      <c r="F857" s="35"/>
      <c r="G857" s="34"/>
      <c r="H857" s="35"/>
      <c r="I857" s="35" t="s">
        <v>1038</v>
      </c>
      <c r="J857" s="35" t="s">
        <v>1006</v>
      </c>
      <c r="K857" s="35" t="s">
        <v>1007</v>
      </c>
      <c r="L857" s="35" t="s">
        <v>976</v>
      </c>
      <c r="M857" s="35" t="s">
        <v>522</v>
      </c>
      <c r="N857" s="35" t="s">
        <v>977</v>
      </c>
      <c r="O857" s="36">
        <v>28</v>
      </c>
      <c r="P857" s="35" t="s">
        <v>37</v>
      </c>
      <c r="Q857" s="35"/>
      <c r="R857" s="35" t="s">
        <v>3626</v>
      </c>
    </row>
    <row r="858" spans="1:18" ht="24">
      <c r="A858" s="32">
        <v>289</v>
      </c>
      <c r="B858" s="33">
        <v>45177</v>
      </c>
      <c r="C858" s="32">
        <v>2023</v>
      </c>
      <c r="D858" s="34" t="s">
        <v>3627</v>
      </c>
      <c r="E858" s="35" t="s">
        <v>3628</v>
      </c>
      <c r="F858" s="35"/>
      <c r="G858" s="34"/>
      <c r="H858" s="35"/>
      <c r="I858" s="35" t="s">
        <v>1005</v>
      </c>
      <c r="J858" s="35" t="s">
        <v>1021</v>
      </c>
      <c r="K858" s="35" t="s">
        <v>888</v>
      </c>
      <c r="L858" s="35" t="s">
        <v>1086</v>
      </c>
      <c r="M858" s="35" t="s">
        <v>512</v>
      </c>
      <c r="N858" s="35" t="s">
        <v>968</v>
      </c>
      <c r="O858" s="36">
        <v>19</v>
      </c>
      <c r="P858" s="35" t="s">
        <v>37</v>
      </c>
      <c r="Q858" s="35"/>
      <c r="R858" s="35" t="s">
        <v>3629</v>
      </c>
    </row>
    <row r="859" spans="1:18">
      <c r="A859" s="32">
        <v>287</v>
      </c>
      <c r="B859" s="33">
        <v>45177</v>
      </c>
      <c r="C859" s="32">
        <v>2023</v>
      </c>
      <c r="D859" s="34" t="s">
        <v>3630</v>
      </c>
      <c r="E859" s="35" t="s">
        <v>3631</v>
      </c>
      <c r="F859" s="35" t="s">
        <v>878</v>
      </c>
      <c r="G859" s="34"/>
      <c r="H859" s="35" t="s">
        <v>879</v>
      </c>
      <c r="I859" s="35" t="s">
        <v>965</v>
      </c>
      <c r="J859" s="35" t="s">
        <v>1110</v>
      </c>
      <c r="K859" s="35" t="s">
        <v>888</v>
      </c>
      <c r="L859" s="35" t="s">
        <v>1127</v>
      </c>
      <c r="M859" s="35" t="s">
        <v>515</v>
      </c>
      <c r="N859" s="35" t="s">
        <v>968</v>
      </c>
      <c r="O859" s="36">
        <v>11</v>
      </c>
      <c r="P859" s="35" t="s">
        <v>37</v>
      </c>
      <c r="Q859" s="35"/>
      <c r="R859" s="35" t="s">
        <v>3632</v>
      </c>
    </row>
    <row r="860" spans="1:18" ht="24">
      <c r="A860" s="32">
        <v>416</v>
      </c>
      <c r="B860" s="33">
        <v>45175</v>
      </c>
      <c r="C860" s="32">
        <v>2023</v>
      </c>
      <c r="D860" s="34" t="s">
        <v>3633</v>
      </c>
      <c r="E860" s="35" t="s">
        <v>3634</v>
      </c>
      <c r="F860" s="35" t="s">
        <v>878</v>
      </c>
      <c r="G860" s="34"/>
      <c r="H860" s="35" t="s">
        <v>879</v>
      </c>
      <c r="I860" s="35" t="s">
        <v>965</v>
      </c>
      <c r="J860" s="35" t="s">
        <v>1110</v>
      </c>
      <c r="K860" s="35" t="s">
        <v>888</v>
      </c>
      <c r="L860" s="35" t="s">
        <v>972</v>
      </c>
      <c r="M860" s="35" t="s">
        <v>512</v>
      </c>
      <c r="N860" s="35" t="s">
        <v>977</v>
      </c>
      <c r="O860" s="36">
        <v>19</v>
      </c>
      <c r="P860" s="35" t="s">
        <v>37</v>
      </c>
      <c r="Q860" s="35"/>
      <c r="R860" s="35" t="s">
        <v>3635</v>
      </c>
    </row>
    <row r="861" spans="1:18" ht="24">
      <c r="A861" s="32">
        <v>284</v>
      </c>
      <c r="B861" s="33">
        <v>45167</v>
      </c>
      <c r="C861" s="32">
        <v>2023</v>
      </c>
      <c r="D861" s="34" t="s">
        <v>3636</v>
      </c>
      <c r="E861" s="35" t="s">
        <v>3637</v>
      </c>
      <c r="F861" s="35"/>
      <c r="G861" s="34"/>
      <c r="H861" s="35"/>
      <c r="I861" s="35" t="s">
        <v>1038</v>
      </c>
      <c r="J861" s="35" t="s">
        <v>1006</v>
      </c>
      <c r="K861" s="35" t="s">
        <v>1007</v>
      </c>
      <c r="L861" s="35" t="s">
        <v>1086</v>
      </c>
      <c r="M861" s="35" t="s">
        <v>512</v>
      </c>
      <c r="N861" s="35" t="s">
        <v>968</v>
      </c>
      <c r="O861" s="36">
        <v>16</v>
      </c>
      <c r="P861" s="35" t="s">
        <v>37</v>
      </c>
      <c r="Q861" s="35"/>
      <c r="R861" s="35" t="s">
        <v>3638</v>
      </c>
    </row>
    <row r="862" spans="1:18" ht="24">
      <c r="A862" s="32">
        <v>275</v>
      </c>
      <c r="B862" s="33">
        <v>45165</v>
      </c>
      <c r="C862" s="32">
        <v>2023</v>
      </c>
      <c r="D862" s="34" t="s">
        <v>3639</v>
      </c>
      <c r="E862" s="35" t="s">
        <v>3640</v>
      </c>
      <c r="F862" s="35" t="s">
        <v>885</v>
      </c>
      <c r="G862" s="34" t="s">
        <v>899</v>
      </c>
      <c r="H862" s="35" t="s">
        <v>886</v>
      </c>
      <c r="I862" s="35" t="s">
        <v>1317</v>
      </c>
      <c r="J862" s="35" t="s">
        <v>1110</v>
      </c>
      <c r="K862" s="35" t="s">
        <v>888</v>
      </c>
      <c r="L862" s="35" t="s">
        <v>1008</v>
      </c>
      <c r="M862" s="35" t="s">
        <v>526</v>
      </c>
      <c r="N862" s="35" t="s">
        <v>968</v>
      </c>
      <c r="O862" s="36">
        <v>5</v>
      </c>
      <c r="P862" s="35" t="s">
        <v>37</v>
      </c>
      <c r="Q862" s="35"/>
      <c r="R862" s="35" t="s">
        <v>3641</v>
      </c>
    </row>
    <row r="863" spans="1:18">
      <c r="A863" s="32">
        <v>271</v>
      </c>
      <c r="B863" s="33">
        <v>45164</v>
      </c>
      <c r="C863" s="32">
        <v>2023</v>
      </c>
      <c r="D863" s="34" t="s">
        <v>3642</v>
      </c>
      <c r="E863" s="35" t="s">
        <v>3643</v>
      </c>
      <c r="F863" s="35" t="s">
        <v>885</v>
      </c>
      <c r="G863" s="34"/>
      <c r="H863" s="35" t="s">
        <v>886</v>
      </c>
      <c r="I863" s="35" t="s">
        <v>965</v>
      </c>
      <c r="J863" s="35" t="s">
        <v>1110</v>
      </c>
      <c r="K863" s="35" t="s">
        <v>888</v>
      </c>
      <c r="L863" s="35" t="s">
        <v>976</v>
      </c>
      <c r="M863" s="35" t="s">
        <v>522</v>
      </c>
      <c r="N863" s="35" t="s">
        <v>977</v>
      </c>
      <c r="O863" s="36">
        <v>21</v>
      </c>
      <c r="P863" s="35" t="s">
        <v>37</v>
      </c>
      <c r="Q863" s="35"/>
      <c r="R863" s="35" t="s">
        <v>3644</v>
      </c>
    </row>
    <row r="864" spans="1:18" ht="24">
      <c r="A864" s="32">
        <v>270</v>
      </c>
      <c r="B864" s="33">
        <v>45164</v>
      </c>
      <c r="C864" s="32">
        <v>2023</v>
      </c>
      <c r="D864" s="34" t="s">
        <v>3645</v>
      </c>
      <c r="E864" s="35" t="s">
        <v>3646</v>
      </c>
      <c r="F864" s="35" t="s">
        <v>878</v>
      </c>
      <c r="G864" s="34"/>
      <c r="H864" s="35" t="s">
        <v>879</v>
      </c>
      <c r="I864" s="35" t="s">
        <v>965</v>
      </c>
      <c r="J864" s="35" t="s">
        <v>1110</v>
      </c>
      <c r="K864" s="35" t="s">
        <v>888</v>
      </c>
      <c r="L864" s="35" t="s">
        <v>1342</v>
      </c>
      <c r="M864" s="35" t="s">
        <v>515</v>
      </c>
      <c r="N864" s="35" t="s">
        <v>977</v>
      </c>
      <c r="O864" s="36">
        <v>6</v>
      </c>
      <c r="P864" s="35" t="s">
        <v>37</v>
      </c>
      <c r="Q864" s="35"/>
      <c r="R864" s="35" t="s">
        <v>3647</v>
      </c>
    </row>
    <row r="865" spans="1:18" ht="24">
      <c r="A865" s="32">
        <v>269</v>
      </c>
      <c r="B865" s="33">
        <v>45162</v>
      </c>
      <c r="C865" s="32">
        <v>2023</v>
      </c>
      <c r="D865" s="34" t="s">
        <v>3648</v>
      </c>
      <c r="E865" s="35" t="s">
        <v>3649</v>
      </c>
      <c r="F865" s="35" t="s">
        <v>878</v>
      </c>
      <c r="G865" s="34"/>
      <c r="H865" s="35" t="s">
        <v>879</v>
      </c>
      <c r="I865" s="35" t="s">
        <v>965</v>
      </c>
      <c r="J865" s="35" t="s">
        <v>1110</v>
      </c>
      <c r="K865" s="35" t="s">
        <v>888</v>
      </c>
      <c r="L865" s="35" t="s">
        <v>1034</v>
      </c>
      <c r="M865" s="35" t="s">
        <v>515</v>
      </c>
      <c r="N865" s="35" t="s">
        <v>968</v>
      </c>
      <c r="O865" s="36">
        <v>6</v>
      </c>
      <c r="P865" s="35" t="s">
        <v>37</v>
      </c>
      <c r="Q865" s="35"/>
      <c r="R865" s="35" t="s">
        <v>3650</v>
      </c>
    </row>
    <row r="866" spans="1:18" ht="24">
      <c r="A866" s="32">
        <v>268</v>
      </c>
      <c r="B866" s="33">
        <v>45162</v>
      </c>
      <c r="C866" s="32">
        <v>2023</v>
      </c>
      <c r="D866" s="34" t="s">
        <v>3651</v>
      </c>
      <c r="E866" s="35" t="s">
        <v>3652</v>
      </c>
      <c r="F866" s="35"/>
      <c r="G866" s="34"/>
      <c r="H866" s="35"/>
      <c r="I866" s="35" t="s">
        <v>1005</v>
      </c>
      <c r="J866" s="35" t="s">
        <v>1021</v>
      </c>
      <c r="K866" s="35" t="s">
        <v>888</v>
      </c>
      <c r="L866" s="35" t="s">
        <v>1158</v>
      </c>
      <c r="M866" s="35" t="s">
        <v>515</v>
      </c>
      <c r="N866" s="35" t="s">
        <v>968</v>
      </c>
      <c r="O866" s="36">
        <v>13</v>
      </c>
      <c r="P866" s="35" t="s">
        <v>37</v>
      </c>
      <c r="Q866" s="35"/>
      <c r="R866" s="35" t="s">
        <v>3653</v>
      </c>
    </row>
    <row r="867" spans="1:18" ht="24">
      <c r="A867" s="32">
        <v>262</v>
      </c>
      <c r="B867" s="33">
        <v>45156</v>
      </c>
      <c r="C867" s="32">
        <v>2023</v>
      </c>
      <c r="D867" s="34" t="s">
        <v>3654</v>
      </c>
      <c r="E867" s="35" t="s">
        <v>3655</v>
      </c>
      <c r="F867" s="35" t="s">
        <v>893</v>
      </c>
      <c r="G867" s="34"/>
      <c r="H867" s="35" t="s">
        <v>879</v>
      </c>
      <c r="I867" s="35" t="s">
        <v>965</v>
      </c>
      <c r="J867" s="35" t="s">
        <v>1110</v>
      </c>
      <c r="K867" s="35" t="s">
        <v>888</v>
      </c>
      <c r="L867" s="35" t="s">
        <v>1086</v>
      </c>
      <c r="M867" s="35" t="s">
        <v>512</v>
      </c>
      <c r="N867" s="35" t="s">
        <v>977</v>
      </c>
      <c r="O867" s="36">
        <v>5</v>
      </c>
      <c r="P867" s="35" t="s">
        <v>37</v>
      </c>
      <c r="Q867" s="35"/>
      <c r="R867" s="35" t="s">
        <v>3656</v>
      </c>
    </row>
    <row r="868" spans="1:18" ht="24">
      <c r="A868" s="32">
        <v>260</v>
      </c>
      <c r="B868" s="33">
        <v>45152</v>
      </c>
      <c r="C868" s="32">
        <v>2023</v>
      </c>
      <c r="D868" s="34" t="s">
        <v>3657</v>
      </c>
      <c r="E868" s="35" t="s">
        <v>3658</v>
      </c>
      <c r="F868" s="35"/>
      <c r="G868" s="34"/>
      <c r="H868" s="35"/>
      <c r="I868" s="35" t="s">
        <v>1005</v>
      </c>
      <c r="J868" s="35" t="s">
        <v>1021</v>
      </c>
      <c r="K868" s="35" t="s">
        <v>888</v>
      </c>
      <c r="L868" s="35" t="s">
        <v>1034</v>
      </c>
      <c r="M868" s="35" t="s">
        <v>515</v>
      </c>
      <c r="N868" s="35" t="s">
        <v>968</v>
      </c>
      <c r="O868" s="36">
        <v>11</v>
      </c>
      <c r="P868" s="35" t="s">
        <v>37</v>
      </c>
      <c r="Q868" s="35"/>
      <c r="R868" s="35" t="s">
        <v>3659</v>
      </c>
    </row>
    <row r="869" spans="1:18" ht="24">
      <c r="A869" s="32">
        <v>259</v>
      </c>
      <c r="B869" s="33">
        <v>45152</v>
      </c>
      <c r="C869" s="32">
        <v>2023</v>
      </c>
      <c r="D869" s="34" t="s">
        <v>3660</v>
      </c>
      <c r="E869" s="35" t="s">
        <v>3661</v>
      </c>
      <c r="F869" s="35" t="s">
        <v>882</v>
      </c>
      <c r="G869" s="34"/>
      <c r="H869" s="35" t="s">
        <v>883</v>
      </c>
      <c r="I869" s="35" t="s">
        <v>965</v>
      </c>
      <c r="J869" s="35" t="s">
        <v>1110</v>
      </c>
      <c r="K869" s="35" t="s">
        <v>888</v>
      </c>
      <c r="L869" s="35" t="s">
        <v>1408</v>
      </c>
      <c r="M869" s="35" t="s">
        <v>515</v>
      </c>
      <c r="N869" s="35" t="s">
        <v>977</v>
      </c>
      <c r="O869" s="36">
        <v>38</v>
      </c>
      <c r="P869" s="35" t="s">
        <v>37</v>
      </c>
      <c r="Q869" s="35"/>
      <c r="R869" s="35" t="s">
        <v>3662</v>
      </c>
    </row>
    <row r="870" spans="1:18">
      <c r="A870" s="32">
        <v>255</v>
      </c>
      <c r="B870" s="33">
        <v>45150</v>
      </c>
      <c r="C870" s="32">
        <v>2023</v>
      </c>
      <c r="D870" s="34" t="s">
        <v>3663</v>
      </c>
      <c r="E870" s="35" t="s">
        <v>3664</v>
      </c>
      <c r="F870" s="35" t="s">
        <v>882</v>
      </c>
      <c r="G870" s="34"/>
      <c r="H870" s="35" t="s">
        <v>883</v>
      </c>
      <c r="I870" s="35" t="s">
        <v>965</v>
      </c>
      <c r="J870" s="35" t="s">
        <v>1110</v>
      </c>
      <c r="K870" s="35" t="s">
        <v>888</v>
      </c>
      <c r="L870" s="35" t="s">
        <v>3592</v>
      </c>
      <c r="M870" s="35" t="s">
        <v>533</v>
      </c>
      <c r="N870" s="35" t="s">
        <v>977</v>
      </c>
      <c r="O870" s="36">
        <v>19</v>
      </c>
      <c r="P870" s="35" t="s">
        <v>37</v>
      </c>
      <c r="Q870" s="35"/>
      <c r="R870" s="35" t="s">
        <v>3665</v>
      </c>
    </row>
    <row r="871" spans="1:18" ht="24">
      <c r="A871" s="32">
        <v>254</v>
      </c>
      <c r="B871" s="33">
        <v>45150</v>
      </c>
      <c r="C871" s="32">
        <v>2023</v>
      </c>
      <c r="D871" s="34" t="s">
        <v>3666</v>
      </c>
      <c r="E871" s="35" t="s">
        <v>3667</v>
      </c>
      <c r="F871" s="35"/>
      <c r="G871" s="34"/>
      <c r="H871" s="35"/>
      <c r="I871" s="35" t="s">
        <v>1005</v>
      </c>
      <c r="J871" s="35" t="s">
        <v>1021</v>
      </c>
      <c r="K871" s="35" t="s">
        <v>888</v>
      </c>
      <c r="L871" s="35" t="s">
        <v>976</v>
      </c>
      <c r="M871" s="35" t="s">
        <v>522</v>
      </c>
      <c r="N871" s="35" t="s">
        <v>968</v>
      </c>
      <c r="O871" s="36">
        <v>7</v>
      </c>
      <c r="P871" s="35" t="s">
        <v>37</v>
      </c>
      <c r="Q871" s="35"/>
      <c r="R871" s="35" t="s">
        <v>3668</v>
      </c>
    </row>
    <row r="872" spans="1:18" ht="36">
      <c r="A872" s="32">
        <v>253</v>
      </c>
      <c r="B872" s="33">
        <v>45150</v>
      </c>
      <c r="C872" s="32">
        <v>2023</v>
      </c>
      <c r="D872" s="34" t="s">
        <v>3669</v>
      </c>
      <c r="E872" s="35" t="s">
        <v>3670</v>
      </c>
      <c r="F872" s="35" t="s">
        <v>905</v>
      </c>
      <c r="G872" s="34" t="s">
        <v>882</v>
      </c>
      <c r="H872" s="35" t="s">
        <v>895</v>
      </c>
      <c r="I872" s="35" t="s">
        <v>1317</v>
      </c>
      <c r="J872" s="35" t="s">
        <v>1291</v>
      </c>
      <c r="K872" s="35" t="s">
        <v>897</v>
      </c>
      <c r="L872" s="35" t="s">
        <v>1008</v>
      </c>
      <c r="M872" s="35" t="s">
        <v>526</v>
      </c>
      <c r="N872" s="35" t="s">
        <v>968</v>
      </c>
      <c r="O872" s="36">
        <v>14</v>
      </c>
      <c r="P872" s="35" t="s">
        <v>37</v>
      </c>
      <c r="Q872" s="35"/>
      <c r="R872" s="35" t="s">
        <v>3671</v>
      </c>
    </row>
    <row r="873" spans="1:18" ht="24">
      <c r="A873" s="32">
        <v>252</v>
      </c>
      <c r="B873" s="33">
        <v>45150</v>
      </c>
      <c r="C873" s="32">
        <v>2023</v>
      </c>
      <c r="D873" s="34" t="s">
        <v>3672</v>
      </c>
      <c r="E873" s="35" t="s">
        <v>3673</v>
      </c>
      <c r="F873" s="35" t="s">
        <v>916</v>
      </c>
      <c r="G873" s="34"/>
      <c r="H873" s="35" t="s">
        <v>879</v>
      </c>
      <c r="I873" s="35" t="s">
        <v>965</v>
      </c>
      <c r="J873" s="35" t="s">
        <v>1291</v>
      </c>
      <c r="K873" s="35" t="s">
        <v>897</v>
      </c>
      <c r="L873" s="35" t="s">
        <v>1086</v>
      </c>
      <c r="M873" s="35" t="s">
        <v>512</v>
      </c>
      <c r="N873" s="35" t="s">
        <v>968</v>
      </c>
      <c r="O873" s="36">
        <v>4</v>
      </c>
      <c r="P873" s="35" t="s">
        <v>37</v>
      </c>
      <c r="Q873" s="35"/>
      <c r="R873" s="35" t="s">
        <v>3674</v>
      </c>
    </row>
    <row r="874" spans="1:18" ht="24">
      <c r="A874" s="32">
        <v>250</v>
      </c>
      <c r="B874" s="33">
        <v>45150</v>
      </c>
      <c r="C874" s="32">
        <v>2023</v>
      </c>
      <c r="D874" s="34" t="s">
        <v>3675</v>
      </c>
      <c r="E874" s="35" t="s">
        <v>3676</v>
      </c>
      <c r="F874" s="35"/>
      <c r="G874" s="34"/>
      <c r="H874" s="35"/>
      <c r="I874" s="35" t="s">
        <v>1038</v>
      </c>
      <c r="J874" s="35" t="s">
        <v>1006</v>
      </c>
      <c r="K874" s="35" t="s">
        <v>1007</v>
      </c>
      <c r="L874" s="35" t="s">
        <v>1086</v>
      </c>
      <c r="M874" s="35" t="s">
        <v>512</v>
      </c>
      <c r="N874" s="35" t="s">
        <v>968</v>
      </c>
      <c r="O874" s="36">
        <v>10</v>
      </c>
      <c r="P874" s="35" t="s">
        <v>37</v>
      </c>
      <c r="Q874" s="35"/>
      <c r="R874" s="35" t="s">
        <v>3677</v>
      </c>
    </row>
    <row r="875" spans="1:18">
      <c r="A875" s="32">
        <v>249</v>
      </c>
      <c r="B875" s="33">
        <v>45148</v>
      </c>
      <c r="C875" s="32">
        <v>2023</v>
      </c>
      <c r="D875" s="34" t="s">
        <v>3678</v>
      </c>
      <c r="E875" s="35" t="s">
        <v>3679</v>
      </c>
      <c r="F875" s="35"/>
      <c r="G875" s="34"/>
      <c r="H875" s="35"/>
      <c r="I875" s="35" t="s">
        <v>1005</v>
      </c>
      <c r="J875" s="35" t="s">
        <v>1021</v>
      </c>
      <c r="K875" s="35" t="s">
        <v>888</v>
      </c>
      <c r="L875" s="35" t="s">
        <v>1127</v>
      </c>
      <c r="M875" s="35" t="s">
        <v>515</v>
      </c>
      <c r="N875" s="35" t="s">
        <v>968</v>
      </c>
      <c r="O875" s="36">
        <v>5</v>
      </c>
      <c r="P875" s="35" t="s">
        <v>37</v>
      </c>
      <c r="Q875" s="35"/>
      <c r="R875" s="35" t="s">
        <v>3680</v>
      </c>
    </row>
    <row r="876" spans="1:18" ht="24">
      <c r="A876" s="32">
        <v>245</v>
      </c>
      <c r="B876" s="33">
        <v>45141</v>
      </c>
      <c r="C876" s="32">
        <v>2023</v>
      </c>
      <c r="D876" s="34" t="s">
        <v>3681</v>
      </c>
      <c r="E876" s="35" t="s">
        <v>3682</v>
      </c>
      <c r="F876" s="35"/>
      <c r="G876" s="34"/>
      <c r="H876" s="35" t="s">
        <v>879</v>
      </c>
      <c r="I876" s="35" t="s">
        <v>1134</v>
      </c>
      <c r="J876" s="35" t="s">
        <v>1135</v>
      </c>
      <c r="K876" s="35" t="s">
        <v>888</v>
      </c>
      <c r="L876" s="35" t="s">
        <v>1034</v>
      </c>
      <c r="M876" s="35" t="s">
        <v>515</v>
      </c>
      <c r="N876" s="35" t="s">
        <v>977</v>
      </c>
      <c r="O876" s="36">
        <v>10</v>
      </c>
      <c r="P876" s="35" t="s">
        <v>37</v>
      </c>
      <c r="Q876" s="35"/>
      <c r="R876" s="35" t="s">
        <v>3683</v>
      </c>
    </row>
    <row r="877" spans="1:18" ht="36">
      <c r="A877" s="32">
        <v>244</v>
      </c>
      <c r="B877" s="33">
        <v>45140</v>
      </c>
      <c r="C877" s="32">
        <v>2023</v>
      </c>
      <c r="D877" s="34" t="s">
        <v>3684</v>
      </c>
      <c r="E877" s="35" t="s">
        <v>3685</v>
      </c>
      <c r="F877" s="35" t="s">
        <v>885</v>
      </c>
      <c r="G877" s="34"/>
      <c r="H877" s="35" t="s">
        <v>886</v>
      </c>
      <c r="I877" s="35" t="s">
        <v>965</v>
      </c>
      <c r="J877" s="35" t="s">
        <v>1291</v>
      </c>
      <c r="K877" s="35" t="s">
        <v>897</v>
      </c>
      <c r="L877" s="35" t="s">
        <v>2369</v>
      </c>
      <c r="M877" s="35" t="s">
        <v>533</v>
      </c>
      <c r="N877" s="35" t="s">
        <v>968</v>
      </c>
      <c r="O877" s="36">
        <v>0</v>
      </c>
      <c r="P877" s="35" t="s">
        <v>37</v>
      </c>
      <c r="Q877" s="35"/>
      <c r="R877" s="35" t="s">
        <v>3686</v>
      </c>
    </row>
    <row r="878" spans="1:18" ht="24">
      <c r="A878" s="32">
        <v>243</v>
      </c>
      <c r="B878" s="33">
        <v>45140</v>
      </c>
      <c r="C878" s="32">
        <v>2023</v>
      </c>
      <c r="D878" s="34" t="s">
        <v>3687</v>
      </c>
      <c r="E878" s="35" t="s">
        <v>3688</v>
      </c>
      <c r="F878" s="35"/>
      <c r="G878" s="34"/>
      <c r="H878" s="35"/>
      <c r="I878" s="35" t="s">
        <v>1038</v>
      </c>
      <c r="J878" s="35" t="s">
        <v>1006</v>
      </c>
      <c r="K878" s="35" t="s">
        <v>1007</v>
      </c>
      <c r="L878" s="35" t="s">
        <v>1840</v>
      </c>
      <c r="M878" s="35" t="s">
        <v>512</v>
      </c>
      <c r="N878" s="35" t="s">
        <v>968</v>
      </c>
      <c r="O878" s="36">
        <v>10</v>
      </c>
      <c r="P878" s="35" t="s">
        <v>37</v>
      </c>
      <c r="Q878" s="35"/>
      <c r="R878" s="35" t="s">
        <v>3689</v>
      </c>
    </row>
    <row r="879" spans="1:18">
      <c r="A879" s="32">
        <v>242</v>
      </c>
      <c r="B879" s="33">
        <v>45140</v>
      </c>
      <c r="C879" s="32">
        <v>2023</v>
      </c>
      <c r="D879" s="34" t="s">
        <v>3690</v>
      </c>
      <c r="E879" s="35" t="s">
        <v>3691</v>
      </c>
      <c r="F879" s="35"/>
      <c r="G879" s="34"/>
      <c r="H879" s="35"/>
      <c r="I879" s="35" t="s">
        <v>1005</v>
      </c>
      <c r="J879" s="35" t="s">
        <v>1021</v>
      </c>
      <c r="K879" s="35" t="s">
        <v>888</v>
      </c>
      <c r="L879" s="35" t="s">
        <v>1840</v>
      </c>
      <c r="M879" s="35" t="s">
        <v>512</v>
      </c>
      <c r="N879" s="35" t="s">
        <v>977</v>
      </c>
      <c r="O879" s="36">
        <v>11</v>
      </c>
      <c r="P879" s="35" t="s">
        <v>37</v>
      </c>
      <c r="Q879" s="35"/>
      <c r="R879" s="35" t="s">
        <v>3692</v>
      </c>
    </row>
    <row r="880" spans="1:18">
      <c r="A880" s="32">
        <v>241</v>
      </c>
      <c r="B880" s="33">
        <v>45140</v>
      </c>
      <c r="C880" s="32">
        <v>2023</v>
      </c>
      <c r="D880" s="34" t="s">
        <v>3693</v>
      </c>
      <c r="E880" s="35" t="s">
        <v>3694</v>
      </c>
      <c r="F880" s="35" t="s">
        <v>882</v>
      </c>
      <c r="G880" s="34"/>
      <c r="H880" s="35" t="s">
        <v>883</v>
      </c>
      <c r="I880" s="35" t="s">
        <v>965</v>
      </c>
      <c r="J880" s="35" t="s">
        <v>1110</v>
      </c>
      <c r="K880" s="35" t="s">
        <v>888</v>
      </c>
      <c r="L880" s="35" t="s">
        <v>1342</v>
      </c>
      <c r="M880" s="35" t="s">
        <v>515</v>
      </c>
      <c r="N880" s="35" t="s">
        <v>977</v>
      </c>
      <c r="O880" s="36">
        <v>7</v>
      </c>
      <c r="P880" s="35" t="s">
        <v>37</v>
      </c>
      <c r="Q880" s="35"/>
      <c r="R880" s="35" t="s">
        <v>3695</v>
      </c>
    </row>
    <row r="881" spans="1:18">
      <c r="A881" s="32">
        <v>240</v>
      </c>
      <c r="B881" s="33">
        <v>45139</v>
      </c>
      <c r="C881" s="32">
        <v>2023</v>
      </c>
      <c r="D881" s="34" t="s">
        <v>3696</v>
      </c>
      <c r="E881" s="35" t="s">
        <v>3697</v>
      </c>
      <c r="F881" s="35"/>
      <c r="G881" s="34"/>
      <c r="H881" s="35"/>
      <c r="I881" s="35" t="s">
        <v>1038</v>
      </c>
      <c r="J881" s="35" t="s">
        <v>1006</v>
      </c>
      <c r="K881" s="35" t="s">
        <v>1007</v>
      </c>
      <c r="L881" s="35" t="s">
        <v>2574</v>
      </c>
      <c r="M881" s="35" t="s">
        <v>533</v>
      </c>
      <c r="N881" s="35" t="s">
        <v>968</v>
      </c>
      <c r="O881" s="36">
        <v>8</v>
      </c>
      <c r="P881" s="35" t="s">
        <v>37</v>
      </c>
      <c r="Q881" s="35"/>
      <c r="R881" s="35" t="s">
        <v>3698</v>
      </c>
    </row>
    <row r="882" spans="1:18" ht="24">
      <c r="A882" s="32">
        <v>238</v>
      </c>
      <c r="B882" s="33">
        <v>45138</v>
      </c>
      <c r="C882" s="32">
        <v>2023</v>
      </c>
      <c r="D882" s="34" t="s">
        <v>3699</v>
      </c>
      <c r="E882" s="35" t="s">
        <v>3700</v>
      </c>
      <c r="F882" s="35" t="s">
        <v>884</v>
      </c>
      <c r="G882" s="34"/>
      <c r="H882" s="35" t="s">
        <v>883</v>
      </c>
      <c r="I882" s="35" t="s">
        <v>965</v>
      </c>
      <c r="J882" s="35" t="s">
        <v>1110</v>
      </c>
      <c r="K882" s="35" t="s">
        <v>888</v>
      </c>
      <c r="L882" s="35" t="s">
        <v>2574</v>
      </c>
      <c r="M882" s="35" t="s">
        <v>533</v>
      </c>
      <c r="N882" s="35" t="s">
        <v>977</v>
      </c>
      <c r="O882" s="36">
        <v>37</v>
      </c>
      <c r="P882" s="35" t="s">
        <v>37</v>
      </c>
      <c r="Q882" s="35"/>
      <c r="R882" s="35" t="s">
        <v>3701</v>
      </c>
    </row>
    <row r="883" spans="1:18" ht="24">
      <c r="A883" s="32">
        <v>237</v>
      </c>
      <c r="B883" s="33">
        <v>45137</v>
      </c>
      <c r="C883" s="32">
        <v>2023</v>
      </c>
      <c r="D883" s="34" t="s">
        <v>3702</v>
      </c>
      <c r="E883" s="35" t="s">
        <v>3703</v>
      </c>
      <c r="F883" s="35" t="s">
        <v>884</v>
      </c>
      <c r="G883" s="34"/>
      <c r="H883" s="35" t="s">
        <v>883</v>
      </c>
      <c r="I883" s="35" t="s">
        <v>965</v>
      </c>
      <c r="J883" s="35" t="s">
        <v>1110</v>
      </c>
      <c r="K883" s="35" t="s">
        <v>888</v>
      </c>
      <c r="L883" s="35" t="s">
        <v>1008</v>
      </c>
      <c r="M883" s="35" t="s">
        <v>526</v>
      </c>
      <c r="N883" s="35" t="s">
        <v>977</v>
      </c>
      <c r="O883" s="36">
        <v>9</v>
      </c>
      <c r="P883" s="35" t="s">
        <v>37</v>
      </c>
      <c r="Q883" s="35"/>
      <c r="R883" s="35" t="s">
        <v>3704</v>
      </c>
    </row>
    <row r="884" spans="1:18" ht="24">
      <c r="A884" s="32">
        <v>233</v>
      </c>
      <c r="B884" s="33">
        <v>45136</v>
      </c>
      <c r="C884" s="32">
        <v>2023</v>
      </c>
      <c r="D884" s="34" t="s">
        <v>3705</v>
      </c>
      <c r="E884" s="35" t="s">
        <v>3706</v>
      </c>
      <c r="F884" s="35" t="s">
        <v>878</v>
      </c>
      <c r="G884" s="34"/>
      <c r="H884" s="35" t="s">
        <v>879</v>
      </c>
      <c r="I884" s="35" t="s">
        <v>965</v>
      </c>
      <c r="J884" s="35" t="s">
        <v>1110</v>
      </c>
      <c r="K884" s="35" t="s">
        <v>888</v>
      </c>
      <c r="L884" s="35" t="s">
        <v>976</v>
      </c>
      <c r="M884" s="35" t="s">
        <v>522</v>
      </c>
      <c r="N884" s="35" t="s">
        <v>977</v>
      </c>
      <c r="O884" s="36">
        <v>3</v>
      </c>
      <c r="P884" s="35" t="s">
        <v>37</v>
      </c>
      <c r="Q884" s="35"/>
      <c r="R884" s="35" t="s">
        <v>3707</v>
      </c>
    </row>
    <row r="885" spans="1:18" ht="24">
      <c r="A885" s="32">
        <v>230</v>
      </c>
      <c r="B885" s="33">
        <v>45135</v>
      </c>
      <c r="C885" s="32">
        <v>2023</v>
      </c>
      <c r="D885" s="34" t="s">
        <v>3708</v>
      </c>
      <c r="E885" s="35" t="s">
        <v>3709</v>
      </c>
      <c r="F885" s="35" t="s">
        <v>882</v>
      </c>
      <c r="G885" s="34"/>
      <c r="H885" s="35" t="s">
        <v>883</v>
      </c>
      <c r="I885" s="35" t="s">
        <v>965</v>
      </c>
      <c r="J885" s="35" t="s">
        <v>1110</v>
      </c>
      <c r="K885" s="35" t="s">
        <v>888</v>
      </c>
      <c r="L885" s="35" t="s">
        <v>976</v>
      </c>
      <c r="M885" s="35" t="s">
        <v>522</v>
      </c>
      <c r="N885" s="35" t="s">
        <v>977</v>
      </c>
      <c r="O885" s="36">
        <v>3</v>
      </c>
      <c r="P885" s="35" t="s">
        <v>37</v>
      </c>
      <c r="Q885" s="35"/>
      <c r="R885" s="35" t="s">
        <v>3710</v>
      </c>
    </row>
    <row r="886" spans="1:18" ht="24">
      <c r="A886" s="32">
        <v>228</v>
      </c>
      <c r="B886" s="33">
        <v>45132</v>
      </c>
      <c r="C886" s="32">
        <v>2023</v>
      </c>
      <c r="D886" s="34" t="s">
        <v>3711</v>
      </c>
      <c r="E886" s="35" t="s">
        <v>3712</v>
      </c>
      <c r="F886" s="35" t="s">
        <v>878</v>
      </c>
      <c r="G886" s="34"/>
      <c r="H886" s="35" t="s">
        <v>879</v>
      </c>
      <c r="I886" s="35" t="s">
        <v>965</v>
      </c>
      <c r="J886" s="35" t="s">
        <v>1110</v>
      </c>
      <c r="K886" s="35" t="s">
        <v>888</v>
      </c>
      <c r="L886" s="35" t="s">
        <v>976</v>
      </c>
      <c r="M886" s="35" t="s">
        <v>522</v>
      </c>
      <c r="N886" s="35" t="s">
        <v>977</v>
      </c>
      <c r="O886" s="36">
        <v>14</v>
      </c>
      <c r="P886" s="35" t="s">
        <v>37</v>
      </c>
      <c r="Q886" s="35"/>
      <c r="R886" s="35" t="s">
        <v>3713</v>
      </c>
    </row>
    <row r="887" spans="1:18">
      <c r="A887" s="32">
        <v>225</v>
      </c>
      <c r="B887" s="33">
        <v>45127</v>
      </c>
      <c r="C887" s="32">
        <v>2023</v>
      </c>
      <c r="D887" s="34" t="s">
        <v>3714</v>
      </c>
      <c r="E887" s="35" t="s">
        <v>3715</v>
      </c>
      <c r="F887" s="35" t="s">
        <v>891</v>
      </c>
      <c r="G887" s="34"/>
      <c r="H887" s="35" t="s">
        <v>883</v>
      </c>
      <c r="I887" s="35" t="s">
        <v>965</v>
      </c>
      <c r="J887" s="35" t="s">
        <v>1110</v>
      </c>
      <c r="K887" s="35" t="s">
        <v>888</v>
      </c>
      <c r="L887" s="35" t="s">
        <v>1342</v>
      </c>
      <c r="M887" s="35" t="s">
        <v>515</v>
      </c>
      <c r="N887" s="35" t="s">
        <v>968</v>
      </c>
      <c r="O887" s="36">
        <v>14</v>
      </c>
      <c r="P887" s="35" t="s">
        <v>37</v>
      </c>
      <c r="Q887" s="35"/>
      <c r="R887" s="35" t="s">
        <v>3716</v>
      </c>
    </row>
    <row r="888" spans="1:18" ht="24">
      <c r="A888" s="32">
        <v>224</v>
      </c>
      <c r="B888" s="33">
        <v>45126</v>
      </c>
      <c r="C888" s="32">
        <v>2023</v>
      </c>
      <c r="D888" s="34" t="s">
        <v>3717</v>
      </c>
      <c r="E888" s="35" t="s">
        <v>3718</v>
      </c>
      <c r="F888" s="35"/>
      <c r="G888" s="34"/>
      <c r="H888" s="35"/>
      <c r="I888" s="35" t="s">
        <v>1484</v>
      </c>
      <c r="J888" s="35" t="s">
        <v>1485</v>
      </c>
      <c r="K888" s="35" t="s">
        <v>888</v>
      </c>
      <c r="L888" s="35" t="s">
        <v>1086</v>
      </c>
      <c r="M888" s="35" t="s">
        <v>512</v>
      </c>
      <c r="N888" s="35" t="s">
        <v>977</v>
      </c>
      <c r="O888" s="36">
        <v>7</v>
      </c>
      <c r="P888" s="35" t="s">
        <v>37</v>
      </c>
      <c r="Q888" s="35"/>
      <c r="R888" s="35" t="s">
        <v>3719</v>
      </c>
    </row>
    <row r="889" spans="1:18" ht="24">
      <c r="A889" s="32">
        <v>229</v>
      </c>
      <c r="B889" s="33">
        <v>45122</v>
      </c>
      <c r="C889" s="32">
        <v>2023</v>
      </c>
      <c r="D889" s="34" t="s">
        <v>3720</v>
      </c>
      <c r="E889" s="35" t="s">
        <v>3721</v>
      </c>
      <c r="F889" s="35"/>
      <c r="G889" s="34"/>
      <c r="H889" s="35" t="s">
        <v>879</v>
      </c>
      <c r="I889" s="35" t="s">
        <v>1134</v>
      </c>
      <c r="J889" s="35" t="s">
        <v>1135</v>
      </c>
      <c r="K889" s="35" t="s">
        <v>888</v>
      </c>
      <c r="L889" s="35" t="s">
        <v>1034</v>
      </c>
      <c r="M889" s="35" t="s">
        <v>515</v>
      </c>
      <c r="N889" s="35" t="s">
        <v>977</v>
      </c>
      <c r="O889" s="36">
        <v>10</v>
      </c>
      <c r="P889" s="35" t="s">
        <v>37</v>
      </c>
      <c r="Q889" s="35"/>
      <c r="R889" s="35" t="s">
        <v>3722</v>
      </c>
    </row>
    <row r="890" spans="1:18">
      <c r="A890" s="32">
        <v>218</v>
      </c>
      <c r="B890" s="33">
        <v>45112</v>
      </c>
      <c r="C890" s="32">
        <v>2023</v>
      </c>
      <c r="D890" s="34" t="s">
        <v>3723</v>
      </c>
      <c r="E890" s="35" t="s">
        <v>3724</v>
      </c>
      <c r="F890" s="35" t="s">
        <v>878</v>
      </c>
      <c r="G890" s="34"/>
      <c r="H890" s="35" t="s">
        <v>879</v>
      </c>
      <c r="I890" s="35" t="s">
        <v>965</v>
      </c>
      <c r="J890" s="35" t="s">
        <v>1110</v>
      </c>
      <c r="K890" s="35" t="s">
        <v>888</v>
      </c>
      <c r="L890" s="35" t="s">
        <v>1008</v>
      </c>
      <c r="M890" s="35" t="s">
        <v>526</v>
      </c>
      <c r="N890" s="35" t="s">
        <v>977</v>
      </c>
      <c r="O890" s="36">
        <v>4</v>
      </c>
      <c r="P890" s="35" t="s">
        <v>37</v>
      </c>
      <c r="Q890" s="35"/>
      <c r="R890" s="35" t="s">
        <v>3725</v>
      </c>
    </row>
    <row r="891" spans="1:18">
      <c r="A891" s="32">
        <v>217</v>
      </c>
      <c r="B891" s="33">
        <v>45112</v>
      </c>
      <c r="C891" s="32">
        <v>2023</v>
      </c>
      <c r="D891" s="34" t="s">
        <v>3726</v>
      </c>
      <c r="E891" s="35" t="s">
        <v>3727</v>
      </c>
      <c r="F891" s="35" t="s">
        <v>882</v>
      </c>
      <c r="G891" s="34"/>
      <c r="H891" s="35" t="s">
        <v>883</v>
      </c>
      <c r="I891" s="35" t="s">
        <v>965</v>
      </c>
      <c r="J891" s="35" t="s">
        <v>1110</v>
      </c>
      <c r="K891" s="35" t="s">
        <v>888</v>
      </c>
      <c r="L891" s="35" t="s">
        <v>1840</v>
      </c>
      <c r="M891" s="35" t="s">
        <v>512</v>
      </c>
      <c r="N891" s="35" t="s">
        <v>977</v>
      </c>
      <c r="O891" s="36">
        <v>12</v>
      </c>
      <c r="P891" s="35" t="s">
        <v>37</v>
      </c>
      <c r="Q891" s="35"/>
      <c r="R891" s="35" t="s">
        <v>3728</v>
      </c>
    </row>
    <row r="892" spans="1:18" ht="24">
      <c r="A892" s="32">
        <v>216</v>
      </c>
      <c r="B892" s="33">
        <v>45111</v>
      </c>
      <c r="C892" s="32">
        <v>2023</v>
      </c>
      <c r="D892" s="34" t="s">
        <v>3729</v>
      </c>
      <c r="E892" s="35" t="s">
        <v>3730</v>
      </c>
      <c r="F892" s="35"/>
      <c r="G892" s="34"/>
      <c r="H892" s="35"/>
      <c r="I892" s="35" t="s">
        <v>1005</v>
      </c>
      <c r="J892" s="35" t="s">
        <v>1021</v>
      </c>
      <c r="K892" s="35" t="s">
        <v>888</v>
      </c>
      <c r="L892" s="35" t="s">
        <v>1139</v>
      </c>
      <c r="M892" s="35" t="s">
        <v>519</v>
      </c>
      <c r="N892" s="35" t="s">
        <v>977</v>
      </c>
      <c r="O892" s="36">
        <v>4</v>
      </c>
      <c r="P892" s="35" t="s">
        <v>37</v>
      </c>
      <c r="Q892" s="35"/>
      <c r="R892" s="35" t="s">
        <v>3731</v>
      </c>
    </row>
    <row r="893" spans="1:18" ht="24">
      <c r="A893" s="32">
        <v>215</v>
      </c>
      <c r="B893" s="33">
        <v>45103</v>
      </c>
      <c r="C893" s="32">
        <v>2023</v>
      </c>
      <c r="D893" s="34" t="s">
        <v>3732</v>
      </c>
      <c r="E893" s="35" t="s">
        <v>3733</v>
      </c>
      <c r="F893" s="35" t="s">
        <v>884</v>
      </c>
      <c r="G893" s="34"/>
      <c r="H893" s="35" t="s">
        <v>883</v>
      </c>
      <c r="I893" s="35" t="s">
        <v>965</v>
      </c>
      <c r="J893" s="35" t="s">
        <v>1110</v>
      </c>
      <c r="K893" s="35" t="s">
        <v>888</v>
      </c>
      <c r="L893" s="35" t="s">
        <v>1008</v>
      </c>
      <c r="M893" s="35" t="s">
        <v>526</v>
      </c>
      <c r="N893" s="35" t="s">
        <v>977</v>
      </c>
      <c r="O893" s="36">
        <v>15</v>
      </c>
      <c r="P893" s="35" t="s">
        <v>37</v>
      </c>
      <c r="Q893" s="35"/>
      <c r="R893" s="35" t="s">
        <v>3734</v>
      </c>
    </row>
    <row r="894" spans="1:18">
      <c r="A894" s="32">
        <v>214</v>
      </c>
      <c r="B894" s="33">
        <v>45094</v>
      </c>
      <c r="C894" s="32">
        <v>2023</v>
      </c>
      <c r="D894" s="34" t="s">
        <v>3735</v>
      </c>
      <c r="E894" s="35" t="s">
        <v>3736</v>
      </c>
      <c r="F894" s="35"/>
      <c r="G894" s="34"/>
      <c r="H894" s="35"/>
      <c r="I894" s="35" t="s">
        <v>1038</v>
      </c>
      <c r="J894" s="35" t="s">
        <v>1006</v>
      </c>
      <c r="K894" s="35" t="s">
        <v>1007</v>
      </c>
      <c r="L894" s="35" t="s">
        <v>2729</v>
      </c>
      <c r="M894" s="35" t="s">
        <v>533</v>
      </c>
      <c r="N894" s="35" t="s">
        <v>968</v>
      </c>
      <c r="O894" s="36">
        <v>2</v>
      </c>
      <c r="P894" s="35" t="s">
        <v>37</v>
      </c>
      <c r="Q894" s="35"/>
      <c r="R894" s="35" t="s">
        <v>3737</v>
      </c>
    </row>
    <row r="895" spans="1:18" ht="24">
      <c r="A895" s="32">
        <v>213</v>
      </c>
      <c r="B895" s="33">
        <v>45094</v>
      </c>
      <c r="C895" s="32">
        <v>2023</v>
      </c>
      <c r="D895" s="34" t="s">
        <v>3738</v>
      </c>
      <c r="E895" s="35" t="s">
        <v>3739</v>
      </c>
      <c r="F895" s="35" t="s">
        <v>884</v>
      </c>
      <c r="G895" s="34"/>
      <c r="H895" s="35" t="s">
        <v>883</v>
      </c>
      <c r="I895" s="35" t="s">
        <v>965</v>
      </c>
      <c r="J895" s="35" t="s">
        <v>1110</v>
      </c>
      <c r="K895" s="35" t="s">
        <v>888</v>
      </c>
      <c r="L895" s="35" t="s">
        <v>2729</v>
      </c>
      <c r="M895" s="35" t="s">
        <v>533</v>
      </c>
      <c r="N895" s="35" t="s">
        <v>977</v>
      </c>
      <c r="O895" s="36">
        <v>9</v>
      </c>
      <c r="P895" s="35" t="s">
        <v>37</v>
      </c>
      <c r="Q895" s="35"/>
      <c r="R895" s="35" t="s">
        <v>3740</v>
      </c>
    </row>
    <row r="896" spans="1:18">
      <c r="A896" s="32">
        <v>212</v>
      </c>
      <c r="B896" s="33">
        <v>45094</v>
      </c>
      <c r="C896" s="32">
        <v>2023</v>
      </c>
      <c r="D896" s="34" t="s">
        <v>3741</v>
      </c>
      <c r="E896" s="35" t="s">
        <v>3742</v>
      </c>
      <c r="F896" s="35"/>
      <c r="G896" s="34"/>
      <c r="H896" s="35"/>
      <c r="I896" s="35" t="s">
        <v>1038</v>
      </c>
      <c r="J896" s="35" t="s">
        <v>1006</v>
      </c>
      <c r="K896" s="35" t="s">
        <v>1007</v>
      </c>
      <c r="L896" s="35" t="s">
        <v>3592</v>
      </c>
      <c r="M896" s="35" t="s">
        <v>533</v>
      </c>
      <c r="N896" s="35" t="s">
        <v>977</v>
      </c>
      <c r="O896" s="36">
        <v>41</v>
      </c>
      <c r="P896" s="35" t="s">
        <v>37</v>
      </c>
      <c r="Q896" s="35"/>
      <c r="R896" s="35" t="s">
        <v>3743</v>
      </c>
    </row>
    <row r="897" spans="1:18">
      <c r="A897" s="32">
        <v>211</v>
      </c>
      <c r="B897" s="33">
        <v>45094</v>
      </c>
      <c r="C897" s="32">
        <v>2023</v>
      </c>
      <c r="D897" s="34" t="s">
        <v>3744</v>
      </c>
      <c r="E897" s="35" t="s">
        <v>3745</v>
      </c>
      <c r="F897" s="35"/>
      <c r="G897" s="34"/>
      <c r="H897" s="35"/>
      <c r="I897" s="35" t="s">
        <v>1038</v>
      </c>
      <c r="J897" s="35" t="s">
        <v>1006</v>
      </c>
      <c r="K897" s="35" t="s">
        <v>1007</v>
      </c>
      <c r="L897" s="35" t="s">
        <v>2729</v>
      </c>
      <c r="M897" s="35" t="s">
        <v>533</v>
      </c>
      <c r="N897" s="35" t="s">
        <v>968</v>
      </c>
      <c r="O897" s="36">
        <v>21</v>
      </c>
      <c r="P897" s="35" t="s">
        <v>37</v>
      </c>
      <c r="Q897" s="35"/>
      <c r="R897" s="35" t="s">
        <v>3746</v>
      </c>
    </row>
    <row r="898" spans="1:18">
      <c r="A898" s="32">
        <v>208</v>
      </c>
      <c r="B898" s="33">
        <v>45092</v>
      </c>
      <c r="C898" s="32">
        <v>2023</v>
      </c>
      <c r="D898" s="34" t="s">
        <v>3747</v>
      </c>
      <c r="E898" s="35" t="s">
        <v>3748</v>
      </c>
      <c r="F898" s="35"/>
      <c r="G898" s="34"/>
      <c r="H898" s="35"/>
      <c r="I898" s="35" t="s">
        <v>1038</v>
      </c>
      <c r="J898" s="35" t="s">
        <v>1006</v>
      </c>
      <c r="K898" s="35" t="s">
        <v>1007</v>
      </c>
      <c r="L898" s="35" t="s">
        <v>2574</v>
      </c>
      <c r="M898" s="35" t="s">
        <v>533</v>
      </c>
      <c r="N898" s="35" t="s">
        <v>977</v>
      </c>
      <c r="O898" s="36">
        <v>18</v>
      </c>
      <c r="P898" s="35" t="s">
        <v>37</v>
      </c>
      <c r="Q898" s="35"/>
      <c r="R898" s="35" t="s">
        <v>3749</v>
      </c>
    </row>
    <row r="899" spans="1:18" ht="24">
      <c r="A899" s="32">
        <v>207</v>
      </c>
      <c r="B899" s="33">
        <v>45092</v>
      </c>
      <c r="C899" s="32">
        <v>2023</v>
      </c>
      <c r="D899" s="34" t="s">
        <v>3750</v>
      </c>
      <c r="E899" s="35" t="s">
        <v>3751</v>
      </c>
      <c r="F899" s="35"/>
      <c r="G899" s="34"/>
      <c r="H899" s="35" t="s">
        <v>879</v>
      </c>
      <c r="I899" s="35" t="s">
        <v>1134</v>
      </c>
      <c r="J899" s="35" t="s">
        <v>1135</v>
      </c>
      <c r="K899" s="35" t="s">
        <v>888</v>
      </c>
      <c r="L899" s="35" t="s">
        <v>1086</v>
      </c>
      <c r="M899" s="35" t="s">
        <v>512</v>
      </c>
      <c r="N899" s="35" t="s">
        <v>968</v>
      </c>
      <c r="O899" s="36">
        <v>9</v>
      </c>
      <c r="P899" s="35" t="s">
        <v>37</v>
      </c>
      <c r="Q899" s="35"/>
      <c r="R899" s="35" t="s">
        <v>3752</v>
      </c>
    </row>
    <row r="900" spans="1:18">
      <c r="A900" s="32">
        <v>206</v>
      </c>
      <c r="B900" s="33">
        <v>45092</v>
      </c>
      <c r="C900" s="32">
        <v>2023</v>
      </c>
      <c r="D900" s="34" t="s">
        <v>3753</v>
      </c>
      <c r="E900" s="35" t="s">
        <v>3754</v>
      </c>
      <c r="F900" s="35" t="s">
        <v>928</v>
      </c>
      <c r="G900" s="34"/>
      <c r="H900" s="35" t="s">
        <v>879</v>
      </c>
      <c r="I900" s="35" t="s">
        <v>965</v>
      </c>
      <c r="J900" s="35" t="s">
        <v>1291</v>
      </c>
      <c r="K900" s="35" t="s">
        <v>897</v>
      </c>
      <c r="L900" s="35" t="s">
        <v>1034</v>
      </c>
      <c r="M900" s="35" t="s">
        <v>515</v>
      </c>
      <c r="N900" s="35" t="s">
        <v>968</v>
      </c>
      <c r="O900" s="36">
        <v>28</v>
      </c>
      <c r="P900" s="35" t="s">
        <v>37</v>
      </c>
      <c r="Q900" s="35"/>
      <c r="R900" s="35" t="s">
        <v>3755</v>
      </c>
    </row>
    <row r="901" spans="1:18">
      <c r="A901" s="32">
        <v>200</v>
      </c>
      <c r="B901" s="33">
        <v>45089</v>
      </c>
      <c r="C901" s="32">
        <v>2023</v>
      </c>
      <c r="D901" s="34" t="s">
        <v>3756</v>
      </c>
      <c r="E901" s="35" t="s">
        <v>3757</v>
      </c>
      <c r="F901" s="35" t="s">
        <v>899</v>
      </c>
      <c r="G901" s="34"/>
      <c r="H901" s="35" t="s">
        <v>886</v>
      </c>
      <c r="I901" s="35" t="s">
        <v>965</v>
      </c>
      <c r="J901" s="35" t="s">
        <v>1110</v>
      </c>
      <c r="K901" s="35" t="s">
        <v>888</v>
      </c>
      <c r="L901" s="35" t="s">
        <v>1342</v>
      </c>
      <c r="M901" s="35" t="s">
        <v>515</v>
      </c>
      <c r="N901" s="35" t="s">
        <v>977</v>
      </c>
      <c r="O901" s="36">
        <v>5</v>
      </c>
      <c r="P901" s="35" t="s">
        <v>37</v>
      </c>
      <c r="Q901" s="35"/>
      <c r="R901" s="35" t="s">
        <v>3758</v>
      </c>
    </row>
    <row r="902" spans="1:18">
      <c r="A902" s="32">
        <v>199</v>
      </c>
      <c r="B902" s="33">
        <v>45089</v>
      </c>
      <c r="C902" s="32">
        <v>2023</v>
      </c>
      <c r="D902" s="34" t="s">
        <v>3759</v>
      </c>
      <c r="E902" s="35" t="s">
        <v>3760</v>
      </c>
      <c r="F902" s="35" t="s">
        <v>916</v>
      </c>
      <c r="G902" s="34"/>
      <c r="H902" s="35" t="s">
        <v>879</v>
      </c>
      <c r="I902" s="35" t="s">
        <v>965</v>
      </c>
      <c r="J902" s="35" t="s">
        <v>1110</v>
      </c>
      <c r="K902" s="35" t="s">
        <v>888</v>
      </c>
      <c r="L902" s="35" t="s">
        <v>1342</v>
      </c>
      <c r="M902" s="35" t="s">
        <v>515</v>
      </c>
      <c r="N902" s="35" t="s">
        <v>977</v>
      </c>
      <c r="O902" s="36">
        <v>12</v>
      </c>
      <c r="P902" s="35" t="s">
        <v>37</v>
      </c>
      <c r="Q902" s="35"/>
      <c r="R902" s="35" t="s">
        <v>3761</v>
      </c>
    </row>
    <row r="903" spans="1:18" ht="24">
      <c r="A903" s="32">
        <v>198</v>
      </c>
      <c r="B903" s="33">
        <v>45089</v>
      </c>
      <c r="C903" s="32">
        <v>2023</v>
      </c>
      <c r="D903" s="34" t="s">
        <v>3762</v>
      </c>
      <c r="E903" s="35" t="s">
        <v>3763</v>
      </c>
      <c r="F903" s="35"/>
      <c r="G903" s="34"/>
      <c r="H903" s="35"/>
      <c r="I903" s="35" t="s">
        <v>1005</v>
      </c>
      <c r="J903" s="35" t="s">
        <v>1021</v>
      </c>
      <c r="K903" s="35" t="s">
        <v>888</v>
      </c>
      <c r="L903" s="35" t="s">
        <v>1139</v>
      </c>
      <c r="M903" s="35" t="s">
        <v>519</v>
      </c>
      <c r="N903" s="35" t="s">
        <v>968</v>
      </c>
      <c r="O903" s="36">
        <v>1</v>
      </c>
      <c r="P903" s="35" t="s">
        <v>37</v>
      </c>
      <c r="Q903" s="35"/>
      <c r="R903" s="35" t="s">
        <v>3764</v>
      </c>
    </row>
    <row r="904" spans="1:18">
      <c r="A904" s="32">
        <v>196</v>
      </c>
      <c r="B904" s="33">
        <v>45089</v>
      </c>
      <c r="C904" s="32">
        <v>2023</v>
      </c>
      <c r="D904" s="34" t="s">
        <v>3765</v>
      </c>
      <c r="E904" s="35" t="s">
        <v>3766</v>
      </c>
      <c r="F904" s="35"/>
      <c r="G904" s="34"/>
      <c r="H904" s="35"/>
      <c r="I904" s="35" t="s">
        <v>1038</v>
      </c>
      <c r="J904" s="35" t="s">
        <v>1006</v>
      </c>
      <c r="K904" s="35" t="s">
        <v>1007</v>
      </c>
      <c r="L904" s="35" t="s">
        <v>2314</v>
      </c>
      <c r="M904" s="35" t="s">
        <v>533</v>
      </c>
      <c r="N904" s="35" t="s">
        <v>968</v>
      </c>
      <c r="O904" s="36">
        <v>16</v>
      </c>
      <c r="P904" s="35" t="s">
        <v>37</v>
      </c>
      <c r="Q904" s="35"/>
      <c r="R904" s="35" t="s">
        <v>3767</v>
      </c>
    </row>
    <row r="905" spans="1:18">
      <c r="A905" s="32">
        <v>195</v>
      </c>
      <c r="B905" s="33">
        <v>45088</v>
      </c>
      <c r="C905" s="32">
        <v>2023</v>
      </c>
      <c r="D905" s="34" t="s">
        <v>3768</v>
      </c>
      <c r="E905" s="35" t="s">
        <v>3769</v>
      </c>
      <c r="F905" s="35" t="s">
        <v>893</v>
      </c>
      <c r="G905" s="34"/>
      <c r="H905" s="35" t="s">
        <v>879</v>
      </c>
      <c r="I905" s="35" t="s">
        <v>965</v>
      </c>
      <c r="J905" s="35" t="s">
        <v>1291</v>
      </c>
      <c r="K905" s="35" t="s">
        <v>897</v>
      </c>
      <c r="L905" s="35" t="s">
        <v>1119</v>
      </c>
      <c r="M905" s="35" t="s">
        <v>519</v>
      </c>
      <c r="N905" s="35" t="s">
        <v>968</v>
      </c>
      <c r="O905" s="36">
        <v>20</v>
      </c>
      <c r="P905" s="35" t="s">
        <v>37</v>
      </c>
      <c r="Q905" s="35"/>
      <c r="R905" s="35" t="s">
        <v>3770</v>
      </c>
    </row>
    <row r="906" spans="1:18" ht="36">
      <c r="A906" s="32">
        <v>188</v>
      </c>
      <c r="B906" s="33">
        <v>45088</v>
      </c>
      <c r="C906" s="32">
        <v>2023</v>
      </c>
      <c r="D906" s="34" t="s">
        <v>3771</v>
      </c>
      <c r="E906" s="35" t="s">
        <v>3772</v>
      </c>
      <c r="F906" s="35"/>
      <c r="G906" s="34"/>
      <c r="H906" s="35"/>
      <c r="I906" s="35" t="s">
        <v>1038</v>
      </c>
      <c r="J906" s="35" t="s">
        <v>1006</v>
      </c>
      <c r="K906" s="35" t="s">
        <v>1007</v>
      </c>
      <c r="L906" s="35" t="s">
        <v>1086</v>
      </c>
      <c r="M906" s="35" t="s">
        <v>530</v>
      </c>
      <c r="N906" s="35" t="s">
        <v>968</v>
      </c>
      <c r="O906" s="36">
        <v>25</v>
      </c>
      <c r="P906" s="35" t="s">
        <v>37</v>
      </c>
      <c r="Q906" s="35"/>
      <c r="R906" s="35" t="s">
        <v>3773</v>
      </c>
    </row>
    <row r="907" spans="1:18" ht="24">
      <c r="A907" s="32">
        <v>194</v>
      </c>
      <c r="B907" s="33">
        <v>45088</v>
      </c>
      <c r="C907" s="32">
        <v>2023</v>
      </c>
      <c r="D907" s="34" t="s">
        <v>3774</v>
      </c>
      <c r="E907" s="35" t="s">
        <v>3775</v>
      </c>
      <c r="F907" s="35"/>
      <c r="G907" s="34"/>
      <c r="H907" s="35"/>
      <c r="I907" s="35" t="s">
        <v>1038</v>
      </c>
      <c r="J907" s="35" t="s">
        <v>1006</v>
      </c>
      <c r="K907" s="35" t="s">
        <v>1007</v>
      </c>
      <c r="L907" s="35" t="s">
        <v>2729</v>
      </c>
      <c r="M907" s="35" t="s">
        <v>533</v>
      </c>
      <c r="N907" s="35" t="s">
        <v>968</v>
      </c>
      <c r="O907" s="36">
        <v>6</v>
      </c>
      <c r="P907" s="35" t="s">
        <v>37</v>
      </c>
      <c r="Q907" s="35"/>
      <c r="R907" s="35" t="s">
        <v>3776</v>
      </c>
    </row>
    <row r="908" spans="1:18" ht="24">
      <c r="A908" s="32">
        <v>210</v>
      </c>
      <c r="B908" s="33">
        <v>45087</v>
      </c>
      <c r="C908" s="32">
        <v>2023</v>
      </c>
      <c r="D908" s="34" t="s">
        <v>3777</v>
      </c>
      <c r="E908" s="35" t="s">
        <v>3778</v>
      </c>
      <c r="F908" s="35"/>
      <c r="G908" s="34"/>
      <c r="H908" s="35"/>
      <c r="I908" s="35" t="s">
        <v>1038</v>
      </c>
      <c r="J908" s="35" t="s">
        <v>1006</v>
      </c>
      <c r="K908" s="35" t="s">
        <v>1007</v>
      </c>
      <c r="L908" s="35" t="s">
        <v>1034</v>
      </c>
      <c r="M908" s="35" t="s">
        <v>515</v>
      </c>
      <c r="N908" s="35" t="s">
        <v>968</v>
      </c>
      <c r="O908" s="36">
        <v>29</v>
      </c>
      <c r="P908" s="35" t="s">
        <v>37</v>
      </c>
      <c r="Q908" s="35"/>
      <c r="R908" s="35" t="s">
        <v>3779</v>
      </c>
    </row>
    <row r="909" spans="1:18" ht="24">
      <c r="A909" s="32">
        <v>192</v>
      </c>
      <c r="B909" s="33">
        <v>45087</v>
      </c>
      <c r="C909" s="32">
        <v>2023</v>
      </c>
      <c r="D909" s="34" t="s">
        <v>3780</v>
      </c>
      <c r="E909" s="35" t="s">
        <v>3781</v>
      </c>
      <c r="F909" s="35" t="s">
        <v>929</v>
      </c>
      <c r="G909" s="34"/>
      <c r="H909" s="35" t="s">
        <v>895</v>
      </c>
      <c r="I909" s="35" t="s">
        <v>965</v>
      </c>
      <c r="J909" s="35" t="s">
        <v>1110</v>
      </c>
      <c r="K909" s="35" t="s">
        <v>888</v>
      </c>
      <c r="L909" s="35" t="s">
        <v>976</v>
      </c>
      <c r="M909" s="35" t="s">
        <v>522</v>
      </c>
      <c r="N909" s="35" t="s">
        <v>977</v>
      </c>
      <c r="O909" s="36">
        <v>4</v>
      </c>
      <c r="P909" s="35" t="s">
        <v>37</v>
      </c>
      <c r="Q909" s="35"/>
      <c r="R909" s="35" t="s">
        <v>3782</v>
      </c>
    </row>
    <row r="910" spans="1:18" ht="24">
      <c r="A910" s="32">
        <v>190</v>
      </c>
      <c r="B910" s="33">
        <v>45085</v>
      </c>
      <c r="C910" s="32">
        <v>2023</v>
      </c>
      <c r="D910" s="34" t="s">
        <v>3783</v>
      </c>
      <c r="E910" s="35" t="s">
        <v>3784</v>
      </c>
      <c r="F910" s="35" t="s">
        <v>893</v>
      </c>
      <c r="G910" s="34"/>
      <c r="H910" s="35" t="s">
        <v>879</v>
      </c>
      <c r="I910" s="35" t="s">
        <v>965</v>
      </c>
      <c r="J910" s="35" t="s">
        <v>1110</v>
      </c>
      <c r="K910" s="35" t="s">
        <v>888</v>
      </c>
      <c r="L910" s="35" t="s">
        <v>1086</v>
      </c>
      <c r="M910" s="35" t="s">
        <v>512</v>
      </c>
      <c r="N910" s="35" t="s">
        <v>977</v>
      </c>
      <c r="O910" s="36">
        <v>6</v>
      </c>
      <c r="P910" s="35" t="s">
        <v>37</v>
      </c>
      <c r="Q910" s="35"/>
      <c r="R910" s="35" t="s">
        <v>3785</v>
      </c>
    </row>
    <row r="911" spans="1:18" ht="24">
      <c r="A911" s="32">
        <v>189</v>
      </c>
      <c r="B911" s="33">
        <v>45083</v>
      </c>
      <c r="C911" s="32">
        <v>2023</v>
      </c>
      <c r="D911" s="34" t="s">
        <v>3786</v>
      </c>
      <c r="E911" s="35" t="s">
        <v>3787</v>
      </c>
      <c r="F911" s="35" t="s">
        <v>893</v>
      </c>
      <c r="G911" s="34"/>
      <c r="H911" s="35" t="s">
        <v>879</v>
      </c>
      <c r="I911" s="35" t="s">
        <v>965</v>
      </c>
      <c r="J911" s="35" t="s">
        <v>1110</v>
      </c>
      <c r="K911" s="35" t="s">
        <v>888</v>
      </c>
      <c r="L911" s="35" t="s">
        <v>1008</v>
      </c>
      <c r="M911" s="35" t="s">
        <v>526</v>
      </c>
      <c r="N911" s="35" t="s">
        <v>977</v>
      </c>
      <c r="O911" s="36">
        <v>15</v>
      </c>
      <c r="P911" s="35" t="s">
        <v>37</v>
      </c>
      <c r="Q911" s="35"/>
      <c r="R911" s="35" t="s">
        <v>3788</v>
      </c>
    </row>
    <row r="912" spans="1:18">
      <c r="A912" s="32">
        <v>187</v>
      </c>
      <c r="B912" s="33">
        <v>45082</v>
      </c>
      <c r="C912" s="32">
        <v>2023</v>
      </c>
      <c r="D912" s="34" t="s">
        <v>3789</v>
      </c>
      <c r="E912" s="35" t="s">
        <v>3790</v>
      </c>
      <c r="F912" s="35" t="s">
        <v>882</v>
      </c>
      <c r="G912" s="34"/>
      <c r="H912" s="35" t="s">
        <v>883</v>
      </c>
      <c r="I912" s="35" t="s">
        <v>965</v>
      </c>
      <c r="J912" s="35" t="s">
        <v>1110</v>
      </c>
      <c r="K912" s="35" t="s">
        <v>888</v>
      </c>
      <c r="L912" s="35" t="s">
        <v>1840</v>
      </c>
      <c r="M912" s="35" t="s">
        <v>512</v>
      </c>
      <c r="N912" s="35" t="s">
        <v>977</v>
      </c>
      <c r="O912" s="36">
        <v>11</v>
      </c>
      <c r="P912" s="35" t="s">
        <v>37</v>
      </c>
      <c r="Q912" s="35"/>
      <c r="R912" s="35" t="s">
        <v>3791</v>
      </c>
    </row>
    <row r="913" spans="1:18">
      <c r="A913" s="32">
        <v>186</v>
      </c>
      <c r="B913" s="33">
        <v>45081</v>
      </c>
      <c r="C913" s="32">
        <v>2023</v>
      </c>
      <c r="D913" s="34" t="s">
        <v>3792</v>
      </c>
      <c r="E913" s="35" t="s">
        <v>3793</v>
      </c>
      <c r="F913" s="35"/>
      <c r="G913" s="34"/>
      <c r="H913" s="35"/>
      <c r="I913" s="35" t="s">
        <v>1038</v>
      </c>
      <c r="J913" s="35" t="s">
        <v>1006</v>
      </c>
      <c r="K913" s="35" t="s">
        <v>1007</v>
      </c>
      <c r="L913" s="35" t="s">
        <v>1840</v>
      </c>
      <c r="M913" s="35" t="s">
        <v>512</v>
      </c>
      <c r="N913" s="35" t="s">
        <v>977</v>
      </c>
      <c r="O913" s="36">
        <v>11</v>
      </c>
      <c r="P913" s="35" t="s">
        <v>37</v>
      </c>
      <c r="Q913" s="35"/>
      <c r="R913" s="35" t="s">
        <v>3794</v>
      </c>
    </row>
    <row r="914" spans="1:18" ht="24">
      <c r="A914" s="32">
        <v>185</v>
      </c>
      <c r="B914" s="33">
        <v>45081</v>
      </c>
      <c r="C914" s="32">
        <v>2023</v>
      </c>
      <c r="D914" s="34" t="s">
        <v>3795</v>
      </c>
      <c r="E914" s="35" t="s">
        <v>3796</v>
      </c>
      <c r="F914" s="35"/>
      <c r="G914" s="34"/>
      <c r="H914" s="35"/>
      <c r="I914" s="35" t="s">
        <v>1005</v>
      </c>
      <c r="J914" s="35" t="s">
        <v>1021</v>
      </c>
      <c r="K914" s="35" t="s">
        <v>888</v>
      </c>
      <c r="L914" s="35" t="s">
        <v>1139</v>
      </c>
      <c r="M914" s="35" t="s">
        <v>519</v>
      </c>
      <c r="N914" s="35" t="s">
        <v>968</v>
      </c>
      <c r="O914" s="36">
        <v>8</v>
      </c>
      <c r="P914" s="35" t="s">
        <v>37</v>
      </c>
      <c r="Q914" s="35"/>
      <c r="R914" s="35" t="s">
        <v>3797</v>
      </c>
    </row>
    <row r="915" spans="1:18" ht="24">
      <c r="A915" s="32">
        <v>184</v>
      </c>
      <c r="B915" s="33">
        <v>45081</v>
      </c>
      <c r="C915" s="32">
        <v>2023</v>
      </c>
      <c r="D915" s="34" t="s">
        <v>3798</v>
      </c>
      <c r="E915" s="35" t="s">
        <v>3799</v>
      </c>
      <c r="F915" s="35"/>
      <c r="G915" s="34"/>
      <c r="H915" s="35"/>
      <c r="I915" s="35" t="s">
        <v>1038</v>
      </c>
      <c r="J915" s="35" t="s">
        <v>1006</v>
      </c>
      <c r="K915" s="35" t="s">
        <v>1007</v>
      </c>
      <c r="L915" s="35" t="s">
        <v>972</v>
      </c>
      <c r="M915" s="35" t="s">
        <v>512</v>
      </c>
      <c r="N915" s="35" t="s">
        <v>968</v>
      </c>
      <c r="O915" s="36">
        <v>9</v>
      </c>
      <c r="P915" s="35" t="s">
        <v>37</v>
      </c>
      <c r="Q915" s="35"/>
      <c r="R915" s="35" t="s">
        <v>3800</v>
      </c>
    </row>
    <row r="916" spans="1:18" ht="24">
      <c r="A916" s="32">
        <v>179</v>
      </c>
      <c r="B916" s="33">
        <v>45080</v>
      </c>
      <c r="C916" s="32">
        <v>2023</v>
      </c>
      <c r="D916" s="34" t="s">
        <v>3801</v>
      </c>
      <c r="E916" s="35" t="s">
        <v>3802</v>
      </c>
      <c r="F916" s="35" t="s">
        <v>935</v>
      </c>
      <c r="G916" s="34"/>
      <c r="H916" s="35" t="s">
        <v>883</v>
      </c>
      <c r="I916" s="35" t="s">
        <v>965</v>
      </c>
      <c r="J916" s="35" t="s">
        <v>1110</v>
      </c>
      <c r="K916" s="35" t="s">
        <v>888</v>
      </c>
      <c r="L916" s="35" t="s">
        <v>1008</v>
      </c>
      <c r="M916" s="35" t="s">
        <v>526</v>
      </c>
      <c r="N916" s="35" t="s">
        <v>977</v>
      </c>
      <c r="O916" s="36">
        <v>13</v>
      </c>
      <c r="P916" s="35" t="s">
        <v>37</v>
      </c>
      <c r="Q916" s="35"/>
      <c r="R916" s="35" t="s">
        <v>3803</v>
      </c>
    </row>
    <row r="917" spans="1:18" ht="24">
      <c r="A917" s="32">
        <v>178</v>
      </c>
      <c r="B917" s="33">
        <v>45080</v>
      </c>
      <c r="C917" s="32">
        <v>2023</v>
      </c>
      <c r="D917" s="34" t="s">
        <v>3804</v>
      </c>
      <c r="E917" s="35" t="s">
        <v>3805</v>
      </c>
      <c r="F917" s="35" t="s">
        <v>882</v>
      </c>
      <c r="G917" s="34"/>
      <c r="H917" s="35" t="s">
        <v>883</v>
      </c>
      <c r="I917" s="35" t="s">
        <v>965</v>
      </c>
      <c r="J917" s="35" t="s">
        <v>1110</v>
      </c>
      <c r="K917" s="35" t="s">
        <v>888</v>
      </c>
      <c r="L917" s="35" t="s">
        <v>1158</v>
      </c>
      <c r="M917" s="35" t="s">
        <v>515</v>
      </c>
      <c r="N917" s="35" t="s">
        <v>977</v>
      </c>
      <c r="O917" s="36">
        <v>11</v>
      </c>
      <c r="P917" s="35" t="s">
        <v>37</v>
      </c>
      <c r="Q917" s="35"/>
      <c r="R917" s="35" t="s">
        <v>3806</v>
      </c>
    </row>
    <row r="918" spans="1:18">
      <c r="A918" s="32">
        <v>410</v>
      </c>
      <c r="B918" s="33">
        <v>45075</v>
      </c>
      <c r="C918" s="32">
        <v>2023</v>
      </c>
      <c r="D918" s="34" t="s">
        <v>3807</v>
      </c>
      <c r="E918" s="35" t="s">
        <v>3808</v>
      </c>
      <c r="F918" s="35" t="s">
        <v>878</v>
      </c>
      <c r="G918" s="34"/>
      <c r="H918" s="35" t="s">
        <v>879</v>
      </c>
      <c r="I918" s="35" t="s">
        <v>965</v>
      </c>
      <c r="J918" s="35" t="s">
        <v>1110</v>
      </c>
      <c r="K918" s="35" t="s">
        <v>888</v>
      </c>
      <c r="L918" s="35" t="s">
        <v>1408</v>
      </c>
      <c r="M918" s="35" t="s">
        <v>515</v>
      </c>
      <c r="N918" s="35" t="s">
        <v>977</v>
      </c>
      <c r="O918" s="36">
        <v>17</v>
      </c>
      <c r="P918" s="35" t="s">
        <v>37</v>
      </c>
      <c r="Q918" s="35"/>
      <c r="R918" s="35" t="s">
        <v>3809</v>
      </c>
    </row>
    <row r="919" spans="1:18" ht="24">
      <c r="A919" s="32">
        <v>170</v>
      </c>
      <c r="B919" s="33">
        <v>45072</v>
      </c>
      <c r="C919" s="32">
        <v>2023</v>
      </c>
      <c r="D919" s="34" t="s">
        <v>3810</v>
      </c>
      <c r="E919" s="35" t="s">
        <v>3811</v>
      </c>
      <c r="F919" s="35" t="s">
        <v>909</v>
      </c>
      <c r="G919" s="34"/>
      <c r="H919" s="35" t="s">
        <v>883</v>
      </c>
      <c r="I919" s="35" t="s">
        <v>965</v>
      </c>
      <c r="J919" s="35" t="s">
        <v>1110</v>
      </c>
      <c r="K919" s="35" t="s">
        <v>888</v>
      </c>
      <c r="L919" s="35" t="s">
        <v>1070</v>
      </c>
      <c r="M919" s="35" t="s">
        <v>536</v>
      </c>
      <c r="N919" s="35" t="s">
        <v>977</v>
      </c>
      <c r="O919" s="36">
        <v>9</v>
      </c>
      <c r="P919" s="35" t="s">
        <v>37</v>
      </c>
      <c r="Q919" s="35"/>
      <c r="R919" s="35" t="s">
        <v>3812</v>
      </c>
    </row>
    <row r="920" spans="1:18" ht="24">
      <c r="A920" s="32">
        <v>169</v>
      </c>
      <c r="B920" s="33">
        <v>45072</v>
      </c>
      <c r="C920" s="32">
        <v>2023</v>
      </c>
      <c r="D920" s="34" t="s">
        <v>3813</v>
      </c>
      <c r="E920" s="35" t="s">
        <v>3814</v>
      </c>
      <c r="F920" s="35"/>
      <c r="G920" s="34"/>
      <c r="H920" s="35"/>
      <c r="I920" s="35" t="s">
        <v>1038</v>
      </c>
      <c r="J920" s="35" t="s">
        <v>1006</v>
      </c>
      <c r="K920" s="35" t="s">
        <v>1007</v>
      </c>
      <c r="L920" s="35" t="s">
        <v>2369</v>
      </c>
      <c r="M920" s="35" t="s">
        <v>533</v>
      </c>
      <c r="N920" s="35" t="s">
        <v>977</v>
      </c>
      <c r="O920" s="36">
        <v>20</v>
      </c>
      <c r="P920" s="35" t="s">
        <v>37</v>
      </c>
      <c r="Q920" s="35"/>
      <c r="R920" s="35" t="s">
        <v>3815</v>
      </c>
    </row>
    <row r="921" spans="1:18">
      <c r="A921" s="32">
        <v>164</v>
      </c>
      <c r="B921" s="33">
        <v>45072</v>
      </c>
      <c r="C921" s="32">
        <v>2023</v>
      </c>
      <c r="D921" s="34" t="s">
        <v>3816</v>
      </c>
      <c r="E921" s="35" t="s">
        <v>3817</v>
      </c>
      <c r="F921" s="35"/>
      <c r="G921" s="34"/>
      <c r="H921" s="35"/>
      <c r="I921" s="35" t="s">
        <v>1038</v>
      </c>
      <c r="J921" s="35" t="s">
        <v>1006</v>
      </c>
      <c r="K921" s="35" t="s">
        <v>1007</v>
      </c>
      <c r="L921" s="35" t="s">
        <v>1086</v>
      </c>
      <c r="M921" s="35" t="s">
        <v>512</v>
      </c>
      <c r="N921" s="35" t="s">
        <v>977</v>
      </c>
      <c r="O921" s="36">
        <v>3</v>
      </c>
      <c r="P921" s="35" t="s">
        <v>37</v>
      </c>
      <c r="Q921" s="35"/>
      <c r="R921" s="35" t="s">
        <v>3818</v>
      </c>
    </row>
    <row r="922" spans="1:18" ht="24">
      <c r="A922" s="32">
        <v>161</v>
      </c>
      <c r="B922" s="33">
        <v>45072</v>
      </c>
      <c r="C922" s="32">
        <v>2023</v>
      </c>
      <c r="D922" s="34" t="s">
        <v>3819</v>
      </c>
      <c r="E922" s="35" t="s">
        <v>3820</v>
      </c>
      <c r="F922" s="35" t="s">
        <v>884</v>
      </c>
      <c r="G922" s="34"/>
      <c r="H922" s="35" t="s">
        <v>883</v>
      </c>
      <c r="I922" s="35" t="s">
        <v>965</v>
      </c>
      <c r="J922" s="35" t="s">
        <v>1110</v>
      </c>
      <c r="K922" s="35" t="s">
        <v>888</v>
      </c>
      <c r="L922" s="35" t="s">
        <v>1408</v>
      </c>
      <c r="M922" s="35" t="s">
        <v>515</v>
      </c>
      <c r="N922" s="35" t="s">
        <v>977</v>
      </c>
      <c r="O922" s="36">
        <v>4</v>
      </c>
      <c r="P922" s="35" t="s">
        <v>37</v>
      </c>
      <c r="Q922" s="35"/>
      <c r="R922" s="35" t="s">
        <v>3821</v>
      </c>
    </row>
    <row r="923" spans="1:18" ht="24">
      <c r="A923" s="32">
        <v>163</v>
      </c>
      <c r="B923" s="33">
        <v>45072</v>
      </c>
      <c r="C923" s="32">
        <v>2023</v>
      </c>
      <c r="D923" s="34" t="s">
        <v>3822</v>
      </c>
      <c r="E923" s="35" t="s">
        <v>3823</v>
      </c>
      <c r="F923" s="35" t="s">
        <v>923</v>
      </c>
      <c r="G923" s="34"/>
      <c r="H923" s="35" t="s">
        <v>890</v>
      </c>
      <c r="I923" s="35" t="s">
        <v>965</v>
      </c>
      <c r="J923" s="35" t="s">
        <v>1291</v>
      </c>
      <c r="K923" s="35" t="s">
        <v>897</v>
      </c>
      <c r="L923" s="35" t="s">
        <v>972</v>
      </c>
      <c r="M923" s="35" t="s">
        <v>512</v>
      </c>
      <c r="N923" s="35" t="s">
        <v>977</v>
      </c>
      <c r="O923" s="36">
        <v>8</v>
      </c>
      <c r="P923" s="35" t="s">
        <v>37</v>
      </c>
      <c r="Q923" s="35"/>
      <c r="R923" s="35" t="s">
        <v>3824</v>
      </c>
    </row>
    <row r="924" spans="1:18" ht="24">
      <c r="A924" s="32">
        <v>158</v>
      </c>
      <c r="B924" s="33">
        <v>45070</v>
      </c>
      <c r="C924" s="32">
        <v>2023</v>
      </c>
      <c r="D924" s="34" t="s">
        <v>3825</v>
      </c>
      <c r="E924" s="35" t="s">
        <v>3826</v>
      </c>
      <c r="F924" s="35"/>
      <c r="G924" s="34"/>
      <c r="H924" s="35"/>
      <c r="I924" s="35" t="s">
        <v>1038</v>
      </c>
      <c r="J924" s="35" t="s">
        <v>1006</v>
      </c>
      <c r="K924" s="35" t="s">
        <v>1007</v>
      </c>
      <c r="L924" s="35" t="s">
        <v>1139</v>
      </c>
      <c r="M924" s="35" t="s">
        <v>519</v>
      </c>
      <c r="N924" s="35" t="s">
        <v>968</v>
      </c>
      <c r="O924" s="36">
        <v>13</v>
      </c>
      <c r="P924" s="35" t="s">
        <v>37</v>
      </c>
      <c r="Q924" s="35"/>
      <c r="R924" s="35" t="s">
        <v>3827</v>
      </c>
    </row>
    <row r="925" spans="1:18">
      <c r="A925" s="32">
        <v>157</v>
      </c>
      <c r="B925" s="33">
        <v>45070</v>
      </c>
      <c r="C925" s="32">
        <v>2023</v>
      </c>
      <c r="D925" s="34" t="s">
        <v>3828</v>
      </c>
      <c r="E925" s="35" t="s">
        <v>3829</v>
      </c>
      <c r="F925" s="35"/>
      <c r="G925" s="34"/>
      <c r="H925" s="35"/>
      <c r="I925" s="35" t="s">
        <v>1038</v>
      </c>
      <c r="J925" s="35" t="s">
        <v>1006</v>
      </c>
      <c r="K925" s="35" t="s">
        <v>1007</v>
      </c>
      <c r="L925" s="35" t="s">
        <v>1070</v>
      </c>
      <c r="M925" s="35" t="s">
        <v>536</v>
      </c>
      <c r="N925" s="35" t="s">
        <v>968</v>
      </c>
      <c r="O925" s="36">
        <v>16</v>
      </c>
      <c r="P925" s="35" t="s">
        <v>37</v>
      </c>
      <c r="Q925" s="35"/>
      <c r="R925" s="35" t="s">
        <v>3830</v>
      </c>
    </row>
    <row r="926" spans="1:18">
      <c r="A926" s="32">
        <v>156</v>
      </c>
      <c r="B926" s="33">
        <v>45070</v>
      </c>
      <c r="C926" s="32">
        <v>2023</v>
      </c>
      <c r="D926" s="34" t="s">
        <v>3831</v>
      </c>
      <c r="E926" s="35" t="s">
        <v>3832</v>
      </c>
      <c r="F926" s="35"/>
      <c r="G926" s="34"/>
      <c r="H926" s="35"/>
      <c r="I926" s="35" t="s">
        <v>1038</v>
      </c>
      <c r="J926" s="35" t="s">
        <v>1006</v>
      </c>
      <c r="K926" s="35" t="s">
        <v>1007</v>
      </c>
      <c r="L926" s="35" t="s">
        <v>1070</v>
      </c>
      <c r="M926" s="35" t="s">
        <v>536</v>
      </c>
      <c r="N926" s="35" t="s">
        <v>977</v>
      </c>
      <c r="O926" s="36">
        <v>15</v>
      </c>
      <c r="P926" s="35" t="s">
        <v>37</v>
      </c>
      <c r="Q926" s="35"/>
      <c r="R926" s="35" t="s">
        <v>3833</v>
      </c>
    </row>
    <row r="927" spans="1:18" ht="24">
      <c r="A927" s="32">
        <v>159</v>
      </c>
      <c r="B927" s="33">
        <v>45069</v>
      </c>
      <c r="C927" s="32">
        <v>2023</v>
      </c>
      <c r="D927" s="34" t="s">
        <v>3834</v>
      </c>
      <c r="E927" s="35" t="s">
        <v>3835</v>
      </c>
      <c r="F927" s="35"/>
      <c r="G927" s="34"/>
      <c r="H927" s="35"/>
      <c r="I927" s="35" t="s">
        <v>1484</v>
      </c>
      <c r="J927" s="35" t="s">
        <v>1485</v>
      </c>
      <c r="K927" s="35" t="s">
        <v>888</v>
      </c>
      <c r="L927" s="35" t="s">
        <v>1127</v>
      </c>
      <c r="M927" s="35" t="s">
        <v>515</v>
      </c>
      <c r="N927" s="35" t="s">
        <v>968</v>
      </c>
      <c r="O927" s="36">
        <v>9</v>
      </c>
      <c r="P927" s="35" t="s">
        <v>37</v>
      </c>
      <c r="Q927" s="35"/>
      <c r="R927" s="35" t="s">
        <v>3836</v>
      </c>
    </row>
    <row r="928" spans="1:18" ht="24">
      <c r="A928" s="32">
        <v>162</v>
      </c>
      <c r="B928" s="33">
        <v>45061</v>
      </c>
      <c r="C928" s="32">
        <v>2023</v>
      </c>
      <c r="D928" s="34" t="s">
        <v>3837</v>
      </c>
      <c r="E928" s="35" t="s">
        <v>3838</v>
      </c>
      <c r="F928" s="35"/>
      <c r="G928" s="34"/>
      <c r="H928" s="35"/>
      <c r="I928" s="35" t="s">
        <v>1005</v>
      </c>
      <c r="J928" s="35" t="s">
        <v>1021</v>
      </c>
      <c r="K928" s="35" t="s">
        <v>888</v>
      </c>
      <c r="L928" s="35" t="s">
        <v>2729</v>
      </c>
      <c r="M928" s="35" t="s">
        <v>533</v>
      </c>
      <c r="N928" s="35" t="s">
        <v>968</v>
      </c>
      <c r="O928" s="36">
        <v>19</v>
      </c>
      <c r="P928" s="35" t="s">
        <v>37</v>
      </c>
      <c r="Q928" s="35"/>
      <c r="R928" s="35" t="s">
        <v>3839</v>
      </c>
    </row>
    <row r="929" spans="1:18" ht="24">
      <c r="A929" s="32">
        <v>155</v>
      </c>
      <c r="B929" s="33">
        <v>45054</v>
      </c>
      <c r="C929" s="32">
        <v>2023</v>
      </c>
      <c r="D929" s="34" t="s">
        <v>3840</v>
      </c>
      <c r="E929" s="35" t="s">
        <v>3841</v>
      </c>
      <c r="F929" s="35"/>
      <c r="G929" s="34"/>
      <c r="H929" s="35"/>
      <c r="I929" s="35" t="s">
        <v>1038</v>
      </c>
      <c r="J929" s="35" t="s">
        <v>1006</v>
      </c>
      <c r="K929" s="35" t="s">
        <v>1007</v>
      </c>
      <c r="L929" s="35" t="s">
        <v>1342</v>
      </c>
      <c r="M929" s="35" t="s">
        <v>515</v>
      </c>
      <c r="N929" s="35" t="s">
        <v>968</v>
      </c>
      <c r="O929" s="36">
        <v>11</v>
      </c>
      <c r="P929" s="35" t="s">
        <v>37</v>
      </c>
      <c r="Q929" s="35"/>
      <c r="R929" s="35" t="s">
        <v>3842</v>
      </c>
    </row>
    <row r="930" spans="1:18" ht="24">
      <c r="A930" s="32">
        <v>124</v>
      </c>
      <c r="B930" s="33">
        <v>45047</v>
      </c>
      <c r="C930" s="32">
        <v>2023</v>
      </c>
      <c r="D930" s="34" t="s">
        <v>3843</v>
      </c>
      <c r="E930" s="35" t="s">
        <v>3844</v>
      </c>
      <c r="F930" s="35" t="s">
        <v>878</v>
      </c>
      <c r="G930" s="34"/>
      <c r="H930" s="35" t="s">
        <v>879</v>
      </c>
      <c r="I930" s="35" t="s">
        <v>965</v>
      </c>
      <c r="J930" s="35" t="s">
        <v>1110</v>
      </c>
      <c r="K930" s="35" t="s">
        <v>888</v>
      </c>
      <c r="L930" s="35" t="s">
        <v>1101</v>
      </c>
      <c r="M930" s="35" t="s">
        <v>530</v>
      </c>
      <c r="N930" s="35" t="s">
        <v>977</v>
      </c>
      <c r="O930" s="36">
        <v>21</v>
      </c>
      <c r="P930" s="35" t="s">
        <v>37</v>
      </c>
      <c r="Q930" s="35"/>
      <c r="R930" s="35" t="s">
        <v>3845</v>
      </c>
    </row>
    <row r="931" spans="1:18">
      <c r="A931" s="32">
        <v>499</v>
      </c>
      <c r="B931" s="33">
        <v>45044</v>
      </c>
      <c r="C931" s="32">
        <v>2023</v>
      </c>
      <c r="D931" s="34" t="s">
        <v>3846</v>
      </c>
      <c r="E931" s="35" t="s">
        <v>3847</v>
      </c>
      <c r="F931" s="35"/>
      <c r="G931" s="34"/>
      <c r="H931" s="35"/>
      <c r="I931" s="35" t="s">
        <v>1038</v>
      </c>
      <c r="J931" s="35" t="s">
        <v>1006</v>
      </c>
      <c r="K931" s="35" t="s">
        <v>1007</v>
      </c>
      <c r="L931" s="35" t="s">
        <v>972</v>
      </c>
      <c r="M931" s="35" t="s">
        <v>512</v>
      </c>
      <c r="N931" s="35" t="s">
        <v>968</v>
      </c>
      <c r="O931" s="36">
        <v>7</v>
      </c>
      <c r="P931" s="35" t="s">
        <v>37</v>
      </c>
      <c r="Q931" s="35"/>
      <c r="R931" s="35" t="s">
        <v>3848</v>
      </c>
    </row>
    <row r="932" spans="1:18">
      <c r="A932" s="32">
        <v>123</v>
      </c>
      <c r="B932" s="33">
        <v>45031</v>
      </c>
      <c r="C932" s="32">
        <v>2023</v>
      </c>
      <c r="D932" s="34" t="s">
        <v>3849</v>
      </c>
      <c r="E932" s="35" t="s">
        <v>3850</v>
      </c>
      <c r="F932" s="35"/>
      <c r="G932" s="34"/>
      <c r="H932" s="35"/>
      <c r="I932" s="35" t="s">
        <v>1038</v>
      </c>
      <c r="J932" s="35" t="s">
        <v>1006</v>
      </c>
      <c r="K932" s="35" t="s">
        <v>1007</v>
      </c>
      <c r="L932" s="35" t="s">
        <v>2729</v>
      </c>
      <c r="M932" s="35" t="s">
        <v>533</v>
      </c>
      <c r="N932" s="35" t="s">
        <v>968</v>
      </c>
      <c r="O932" s="36">
        <v>7</v>
      </c>
      <c r="P932" s="35" t="s">
        <v>37</v>
      </c>
      <c r="Q932" s="35"/>
      <c r="R932" s="35" t="s">
        <v>3851</v>
      </c>
    </row>
    <row r="933" spans="1:18" ht="24">
      <c r="A933" s="32">
        <v>122</v>
      </c>
      <c r="B933" s="33">
        <v>44981</v>
      </c>
      <c r="C933" s="32">
        <v>2023</v>
      </c>
      <c r="D933" s="34" t="s">
        <v>3852</v>
      </c>
      <c r="E933" s="35" t="s">
        <v>3853</v>
      </c>
      <c r="F933" s="35" t="s">
        <v>941</v>
      </c>
      <c r="G933" s="34"/>
      <c r="H933" s="35" t="s">
        <v>886</v>
      </c>
      <c r="I933" s="35" t="s">
        <v>965</v>
      </c>
      <c r="J933" s="35" t="s">
        <v>1110</v>
      </c>
      <c r="K933" s="35" t="s">
        <v>888</v>
      </c>
      <c r="L933" s="35" t="s">
        <v>1008</v>
      </c>
      <c r="M933" s="35" t="s">
        <v>526</v>
      </c>
      <c r="N933" s="35" t="s">
        <v>977</v>
      </c>
      <c r="O933" s="36">
        <v>4</v>
      </c>
      <c r="P933" s="35" t="s">
        <v>37</v>
      </c>
      <c r="Q933" s="35"/>
      <c r="R933" s="35" t="s">
        <v>3854</v>
      </c>
    </row>
    <row r="934" spans="1:18" ht="24">
      <c r="A934" s="32">
        <v>153</v>
      </c>
      <c r="B934" s="33">
        <v>44978</v>
      </c>
      <c r="C934" s="32">
        <v>2023</v>
      </c>
      <c r="D934" s="34" t="s">
        <v>3855</v>
      </c>
      <c r="E934" s="35" t="s">
        <v>3856</v>
      </c>
      <c r="F934" s="35" t="s">
        <v>882</v>
      </c>
      <c r="G934" s="34"/>
      <c r="H934" s="35" t="s">
        <v>883</v>
      </c>
      <c r="I934" s="35" t="s">
        <v>965</v>
      </c>
      <c r="J934" s="35" t="s">
        <v>1110</v>
      </c>
      <c r="K934" s="35" t="s">
        <v>888</v>
      </c>
      <c r="L934" s="35" t="s">
        <v>1840</v>
      </c>
      <c r="M934" s="35" t="s">
        <v>512</v>
      </c>
      <c r="N934" s="35" t="s">
        <v>977</v>
      </c>
      <c r="O934" s="36">
        <v>1</v>
      </c>
      <c r="P934" s="35" t="s">
        <v>37</v>
      </c>
      <c r="Q934" s="35"/>
      <c r="R934" s="35" t="s">
        <v>3857</v>
      </c>
    </row>
    <row r="935" spans="1:18" ht="24">
      <c r="A935" s="32">
        <v>120</v>
      </c>
      <c r="B935" s="33">
        <v>44977</v>
      </c>
      <c r="C935" s="32">
        <v>2023</v>
      </c>
      <c r="D935" s="34" t="s">
        <v>3858</v>
      </c>
      <c r="E935" s="35" t="s">
        <v>3859</v>
      </c>
      <c r="F935" s="35"/>
      <c r="G935" s="34"/>
      <c r="H935" s="35"/>
      <c r="I935" s="35" t="s">
        <v>1038</v>
      </c>
      <c r="J935" s="35" t="s">
        <v>1006</v>
      </c>
      <c r="K935" s="35" t="s">
        <v>1007</v>
      </c>
      <c r="L935" s="35" t="s">
        <v>972</v>
      </c>
      <c r="M935" s="35" t="s">
        <v>512</v>
      </c>
      <c r="N935" s="35" t="s">
        <v>968</v>
      </c>
      <c r="O935" s="36">
        <v>11</v>
      </c>
      <c r="P935" s="35" t="s">
        <v>37</v>
      </c>
      <c r="Q935" s="35"/>
      <c r="R935" s="35" t="s">
        <v>3860</v>
      </c>
    </row>
    <row r="936" spans="1:18" ht="24">
      <c r="A936" s="32">
        <v>119</v>
      </c>
      <c r="B936" s="33">
        <v>44973</v>
      </c>
      <c r="C936" s="32">
        <v>2023</v>
      </c>
      <c r="D936" s="34" t="s">
        <v>3861</v>
      </c>
      <c r="E936" s="35" t="s">
        <v>3862</v>
      </c>
      <c r="F936" s="35" t="s">
        <v>916</v>
      </c>
      <c r="G936" s="34"/>
      <c r="H936" s="35" t="s">
        <v>879</v>
      </c>
      <c r="I936" s="35" t="s">
        <v>965</v>
      </c>
      <c r="J936" s="35" t="s">
        <v>1110</v>
      </c>
      <c r="K936" s="35" t="s">
        <v>888</v>
      </c>
      <c r="L936" s="35" t="s">
        <v>972</v>
      </c>
      <c r="M936" s="35" t="s">
        <v>512</v>
      </c>
      <c r="N936" s="35" t="s">
        <v>977</v>
      </c>
      <c r="O936" s="36">
        <v>3</v>
      </c>
      <c r="P936" s="35" t="s">
        <v>37</v>
      </c>
      <c r="Q936" s="35"/>
      <c r="R936" s="35" t="s">
        <v>3863</v>
      </c>
    </row>
    <row r="937" spans="1:18">
      <c r="A937" s="32">
        <v>151</v>
      </c>
      <c r="B937" s="33">
        <v>44972</v>
      </c>
      <c r="C937" s="32">
        <v>2023</v>
      </c>
      <c r="D937" s="34" t="s">
        <v>3864</v>
      </c>
      <c r="E937" s="35" t="s">
        <v>3865</v>
      </c>
      <c r="F937" s="35" t="s">
        <v>882</v>
      </c>
      <c r="G937" s="34"/>
      <c r="H937" s="35" t="s">
        <v>883</v>
      </c>
      <c r="I937" s="35" t="s">
        <v>965</v>
      </c>
      <c r="J937" s="35" t="s">
        <v>1110</v>
      </c>
      <c r="K937" s="35" t="s">
        <v>888</v>
      </c>
      <c r="L937" s="35" t="s">
        <v>1408</v>
      </c>
      <c r="M937" s="35" t="s">
        <v>515</v>
      </c>
      <c r="N937" s="35" t="s">
        <v>977</v>
      </c>
      <c r="O937" s="36">
        <v>4</v>
      </c>
      <c r="P937" s="35" t="s">
        <v>37</v>
      </c>
      <c r="Q937" s="35"/>
      <c r="R937" s="35" t="s">
        <v>3866</v>
      </c>
    </row>
    <row r="938" spans="1:18" ht="36">
      <c r="A938" s="32">
        <v>114</v>
      </c>
      <c r="B938" s="33">
        <v>44950</v>
      </c>
      <c r="C938" s="32">
        <v>2023</v>
      </c>
      <c r="D938" s="34" t="s">
        <v>3867</v>
      </c>
      <c r="E938" s="35" t="s">
        <v>3868</v>
      </c>
      <c r="F938" s="35" t="s">
        <v>878</v>
      </c>
      <c r="G938" s="34"/>
      <c r="H938" s="35" t="s">
        <v>879</v>
      </c>
      <c r="I938" s="35" t="s">
        <v>965</v>
      </c>
      <c r="J938" s="35" t="s">
        <v>1110</v>
      </c>
      <c r="K938" s="35" t="s">
        <v>888</v>
      </c>
      <c r="L938" s="35" t="s">
        <v>976</v>
      </c>
      <c r="M938" s="35" t="s">
        <v>522</v>
      </c>
      <c r="N938" s="35" t="s">
        <v>968</v>
      </c>
      <c r="O938" s="36">
        <v>12</v>
      </c>
      <c r="P938" s="35" t="s">
        <v>37</v>
      </c>
      <c r="Q938" s="35"/>
      <c r="R938" s="35" t="s">
        <v>3869</v>
      </c>
    </row>
    <row r="939" spans="1:18">
      <c r="A939" s="32">
        <v>116</v>
      </c>
      <c r="B939" s="33">
        <v>44949</v>
      </c>
      <c r="C939" s="32">
        <v>2023</v>
      </c>
      <c r="D939" s="34" t="s">
        <v>3870</v>
      </c>
      <c r="E939" s="35" t="s">
        <v>3871</v>
      </c>
      <c r="F939" s="35" t="s">
        <v>884</v>
      </c>
      <c r="G939" s="34" t="s">
        <v>882</v>
      </c>
      <c r="H939" s="35" t="s">
        <v>883</v>
      </c>
      <c r="I939" s="35" t="s">
        <v>1317</v>
      </c>
      <c r="J939" s="35" t="s">
        <v>1110</v>
      </c>
      <c r="K939" s="35" t="s">
        <v>888</v>
      </c>
      <c r="L939" s="35" t="s">
        <v>972</v>
      </c>
      <c r="M939" s="35" t="s">
        <v>512</v>
      </c>
      <c r="N939" s="35" t="s">
        <v>977</v>
      </c>
      <c r="O939" s="36">
        <v>9</v>
      </c>
      <c r="P939" s="35" t="s">
        <v>37</v>
      </c>
      <c r="Q939" s="35"/>
      <c r="R939" s="35" t="s">
        <v>3872</v>
      </c>
    </row>
    <row r="940" spans="1:18">
      <c r="A940" s="32">
        <v>111</v>
      </c>
      <c r="B940" s="33">
        <v>44948</v>
      </c>
      <c r="C940" s="32">
        <v>2023</v>
      </c>
      <c r="D940" s="34" t="s">
        <v>3873</v>
      </c>
      <c r="E940" s="35" t="s">
        <v>3874</v>
      </c>
      <c r="F940" s="35" t="s">
        <v>884</v>
      </c>
      <c r="G940" s="34"/>
      <c r="H940" s="35" t="s">
        <v>883</v>
      </c>
      <c r="I940" s="35" t="s">
        <v>965</v>
      </c>
      <c r="J940" s="35" t="s">
        <v>1110</v>
      </c>
      <c r="K940" s="35" t="s">
        <v>888</v>
      </c>
      <c r="L940" s="35" t="s">
        <v>976</v>
      </c>
      <c r="M940" s="35" t="s">
        <v>522</v>
      </c>
      <c r="N940" s="35" t="s">
        <v>977</v>
      </c>
      <c r="O940" s="36">
        <v>9</v>
      </c>
      <c r="P940" s="35" t="s">
        <v>37</v>
      </c>
      <c r="Q940" s="35"/>
      <c r="R940" s="35" t="s">
        <v>3875</v>
      </c>
    </row>
    <row r="941" spans="1:18" ht="36">
      <c r="A941" s="32">
        <v>110</v>
      </c>
      <c r="B941" s="33">
        <v>44940</v>
      </c>
      <c r="C941" s="32">
        <v>2023</v>
      </c>
      <c r="D941" s="34" t="s">
        <v>3876</v>
      </c>
      <c r="E941" s="35" t="s">
        <v>3877</v>
      </c>
      <c r="F941" s="35"/>
      <c r="G941" s="34"/>
      <c r="H941" s="35"/>
      <c r="I941" s="35" t="s">
        <v>1484</v>
      </c>
      <c r="J941" s="35" t="s">
        <v>1485</v>
      </c>
      <c r="K941" s="35" t="s">
        <v>888</v>
      </c>
      <c r="L941" s="35" t="s">
        <v>3878</v>
      </c>
      <c r="M941" s="35" t="s">
        <v>515</v>
      </c>
      <c r="N941" s="35" t="s">
        <v>977</v>
      </c>
      <c r="O941" s="36">
        <v>10</v>
      </c>
      <c r="P941" s="35" t="s">
        <v>37</v>
      </c>
      <c r="Q941" s="35"/>
      <c r="R941" s="35" t="s">
        <v>3879</v>
      </c>
    </row>
    <row r="942" spans="1:18" ht="24">
      <c r="A942" s="32">
        <v>108</v>
      </c>
      <c r="B942" s="33">
        <v>44939</v>
      </c>
      <c r="C942" s="32">
        <v>2023</v>
      </c>
      <c r="D942" s="34" t="s">
        <v>3880</v>
      </c>
      <c r="E942" s="35" t="s">
        <v>3881</v>
      </c>
      <c r="F942" s="35" t="s">
        <v>892</v>
      </c>
      <c r="G942" s="34"/>
      <c r="H942" s="35" t="s">
        <v>879</v>
      </c>
      <c r="I942" s="35" t="s">
        <v>965</v>
      </c>
      <c r="J942" s="35" t="s">
        <v>1110</v>
      </c>
      <c r="K942" s="35" t="s">
        <v>888</v>
      </c>
      <c r="L942" s="35" t="s">
        <v>972</v>
      </c>
      <c r="M942" s="35" t="s">
        <v>512</v>
      </c>
      <c r="N942" s="35" t="s">
        <v>977</v>
      </c>
      <c r="O942" s="36">
        <v>10</v>
      </c>
      <c r="P942" s="35" t="s">
        <v>37</v>
      </c>
      <c r="Q942" s="35"/>
      <c r="R942" s="35" t="s">
        <v>3882</v>
      </c>
    </row>
    <row r="943" spans="1:18" ht="24">
      <c r="A943" s="32">
        <v>109</v>
      </c>
      <c r="B943" s="33">
        <v>44938</v>
      </c>
      <c r="C943" s="32">
        <v>2023</v>
      </c>
      <c r="D943" s="34" t="s">
        <v>3883</v>
      </c>
      <c r="E943" s="35" t="s">
        <v>3884</v>
      </c>
      <c r="F943" s="35"/>
      <c r="G943" s="34"/>
      <c r="H943" s="35"/>
      <c r="I943" s="35" t="s">
        <v>1038</v>
      </c>
      <c r="J943" s="35" t="s">
        <v>1006</v>
      </c>
      <c r="K943" s="35" t="s">
        <v>1007</v>
      </c>
      <c r="L943" s="35" t="s">
        <v>972</v>
      </c>
      <c r="M943" s="35" t="s">
        <v>512</v>
      </c>
      <c r="N943" s="35" t="s">
        <v>977</v>
      </c>
      <c r="O943" s="36">
        <v>7</v>
      </c>
      <c r="P943" s="35" t="s">
        <v>37</v>
      </c>
      <c r="Q943" s="35"/>
      <c r="R943" s="35" t="s">
        <v>3885</v>
      </c>
    </row>
    <row r="944" spans="1:18" ht="24">
      <c r="A944" s="32">
        <v>107</v>
      </c>
      <c r="B944" s="33">
        <v>44936</v>
      </c>
      <c r="C944" s="32">
        <v>2023</v>
      </c>
      <c r="D944" s="34" t="s">
        <v>3886</v>
      </c>
      <c r="E944" s="35" t="s">
        <v>3887</v>
      </c>
      <c r="F944" s="35"/>
      <c r="G944" s="34"/>
      <c r="H944" s="35"/>
      <c r="I944" s="35" t="s">
        <v>1038</v>
      </c>
      <c r="J944" s="35" t="s">
        <v>1006</v>
      </c>
      <c r="K944" s="35" t="s">
        <v>1007</v>
      </c>
      <c r="L944" s="35" t="s">
        <v>1086</v>
      </c>
      <c r="M944" s="35" t="s">
        <v>512</v>
      </c>
      <c r="N944" s="35" t="s">
        <v>977</v>
      </c>
      <c r="O944" s="36">
        <v>10</v>
      </c>
      <c r="P944" s="35" t="s">
        <v>37</v>
      </c>
      <c r="Q944" s="35"/>
      <c r="R944" s="35" t="s">
        <v>3888</v>
      </c>
    </row>
    <row r="945" spans="1:18">
      <c r="A945" s="32">
        <v>106</v>
      </c>
      <c r="B945" s="33">
        <v>44936</v>
      </c>
      <c r="C945" s="32">
        <v>2023</v>
      </c>
      <c r="D945" s="34" t="s">
        <v>3889</v>
      </c>
      <c r="E945" s="35" t="s">
        <v>3890</v>
      </c>
      <c r="F945" s="35"/>
      <c r="G945" s="34"/>
      <c r="H945" s="35"/>
      <c r="I945" s="35" t="s">
        <v>1038</v>
      </c>
      <c r="J945" s="35" t="s">
        <v>1006</v>
      </c>
      <c r="K945" s="35" t="s">
        <v>1007</v>
      </c>
      <c r="L945" s="35" t="s">
        <v>2574</v>
      </c>
      <c r="M945" s="35" t="s">
        <v>533</v>
      </c>
      <c r="N945" s="35" t="s">
        <v>968</v>
      </c>
      <c r="O945" s="36">
        <v>16</v>
      </c>
      <c r="P945" s="35" t="s">
        <v>37</v>
      </c>
      <c r="Q945" s="35"/>
      <c r="R945" s="35" t="s">
        <v>3891</v>
      </c>
    </row>
    <row r="946" spans="1:18" ht="24">
      <c r="A946" s="32">
        <v>150</v>
      </c>
      <c r="B946" s="33">
        <v>44934</v>
      </c>
      <c r="C946" s="32">
        <v>2023</v>
      </c>
      <c r="D946" s="34" t="s">
        <v>3892</v>
      </c>
      <c r="E946" s="35" t="s">
        <v>3893</v>
      </c>
      <c r="F946" s="35" t="s">
        <v>878</v>
      </c>
      <c r="G946" s="34"/>
      <c r="H946" s="35" t="s">
        <v>879</v>
      </c>
      <c r="I946" s="35" t="s">
        <v>965</v>
      </c>
      <c r="J946" s="35" t="s">
        <v>1110</v>
      </c>
      <c r="K946" s="35" t="s">
        <v>888</v>
      </c>
      <c r="L946" s="35" t="s">
        <v>1086</v>
      </c>
      <c r="M946" s="35" t="s">
        <v>512</v>
      </c>
      <c r="N946" s="35" t="s">
        <v>977</v>
      </c>
      <c r="O946" s="36">
        <v>1</v>
      </c>
      <c r="P946" s="35" t="s">
        <v>37</v>
      </c>
      <c r="Q946" s="35"/>
      <c r="R946" s="35" t="s">
        <v>3894</v>
      </c>
    </row>
    <row r="947" spans="1:18" ht="24">
      <c r="A947" s="32">
        <v>149</v>
      </c>
      <c r="B947" s="33">
        <v>44933</v>
      </c>
      <c r="C947" s="32">
        <v>2023</v>
      </c>
      <c r="D947" s="34" t="s">
        <v>3895</v>
      </c>
      <c r="E947" s="35" t="s">
        <v>3896</v>
      </c>
      <c r="F947" s="35" t="s">
        <v>878</v>
      </c>
      <c r="G947" s="34"/>
      <c r="H947" s="35" t="s">
        <v>879</v>
      </c>
      <c r="I947" s="35" t="s">
        <v>965</v>
      </c>
      <c r="J947" s="35" t="s">
        <v>1110</v>
      </c>
      <c r="K947" s="35" t="s">
        <v>888</v>
      </c>
      <c r="L947" s="35" t="s">
        <v>1086</v>
      </c>
      <c r="M947" s="35" t="s">
        <v>512</v>
      </c>
      <c r="N947" s="35" t="s">
        <v>977</v>
      </c>
      <c r="O947" s="36">
        <v>3</v>
      </c>
      <c r="P947" s="35" t="s">
        <v>37</v>
      </c>
      <c r="Q947" s="35"/>
      <c r="R947" s="35" t="s">
        <v>3897</v>
      </c>
    </row>
    <row r="948" spans="1:18" ht="24">
      <c r="A948" s="32">
        <v>147</v>
      </c>
      <c r="B948" s="33">
        <v>44929</v>
      </c>
      <c r="C948" s="32">
        <v>2023</v>
      </c>
      <c r="D948" s="34" t="s">
        <v>3898</v>
      </c>
      <c r="E948" s="35" t="s">
        <v>3899</v>
      </c>
      <c r="F948" s="35" t="s">
        <v>904</v>
      </c>
      <c r="G948" s="34"/>
      <c r="H948" s="35" t="s">
        <v>886</v>
      </c>
      <c r="I948" s="35" t="s">
        <v>965</v>
      </c>
      <c r="J948" s="35" t="s">
        <v>1110</v>
      </c>
      <c r="K948" s="35" t="s">
        <v>888</v>
      </c>
      <c r="L948" s="35" t="s">
        <v>2729</v>
      </c>
      <c r="M948" s="35" t="s">
        <v>533</v>
      </c>
      <c r="N948" s="35" t="s">
        <v>968</v>
      </c>
      <c r="O948" s="36">
        <v>9</v>
      </c>
      <c r="P948" s="35" t="s">
        <v>37</v>
      </c>
      <c r="Q948" s="35"/>
      <c r="R948" s="35" t="s">
        <v>3900</v>
      </c>
    </row>
    <row r="949" spans="1:18" ht="24">
      <c r="A949" s="32">
        <v>146</v>
      </c>
      <c r="B949" s="33">
        <v>44928</v>
      </c>
      <c r="C949" s="32">
        <v>2023</v>
      </c>
      <c r="D949" s="34" t="s">
        <v>3901</v>
      </c>
      <c r="E949" s="35" t="s">
        <v>3902</v>
      </c>
      <c r="F949" s="35" t="s">
        <v>882</v>
      </c>
      <c r="G949" s="34"/>
      <c r="H949" s="35" t="s">
        <v>883</v>
      </c>
      <c r="I949" s="35" t="s">
        <v>965</v>
      </c>
      <c r="J949" s="35" t="s">
        <v>1110</v>
      </c>
      <c r="K949" s="35" t="s">
        <v>888</v>
      </c>
      <c r="L949" s="35" t="s">
        <v>1408</v>
      </c>
      <c r="M949" s="35" t="s">
        <v>515</v>
      </c>
      <c r="N949" s="35" t="s">
        <v>977</v>
      </c>
      <c r="O949" s="36">
        <v>7</v>
      </c>
      <c r="P949" s="35" t="s">
        <v>37</v>
      </c>
      <c r="Q949" s="35"/>
      <c r="R949" s="35" t="s">
        <v>3903</v>
      </c>
    </row>
    <row r="950" spans="1:18" ht="24">
      <c r="A950" s="32">
        <v>103</v>
      </c>
      <c r="B950" s="33">
        <v>44925</v>
      </c>
      <c r="C950" s="32">
        <v>2022</v>
      </c>
      <c r="D950" s="34" t="s">
        <v>3904</v>
      </c>
      <c r="E950" s="35" t="s">
        <v>3905</v>
      </c>
      <c r="F950" s="35" t="s">
        <v>884</v>
      </c>
      <c r="G950" s="34"/>
      <c r="H950" s="35" t="s">
        <v>883</v>
      </c>
      <c r="I950" s="35" t="s">
        <v>965</v>
      </c>
      <c r="J950" s="35" t="s">
        <v>1110</v>
      </c>
      <c r="K950" s="35" t="s">
        <v>888</v>
      </c>
      <c r="L950" s="35" t="s">
        <v>1008</v>
      </c>
      <c r="M950" s="35" t="s">
        <v>526</v>
      </c>
      <c r="N950" s="35" t="s">
        <v>977</v>
      </c>
      <c r="O950" s="36">
        <v>0</v>
      </c>
      <c r="P950" s="35" t="s">
        <v>37</v>
      </c>
      <c r="Q950" s="35"/>
      <c r="R950" s="35" t="s">
        <v>3906</v>
      </c>
    </row>
    <row r="951" spans="1:18" ht="24">
      <c r="A951" s="32">
        <v>98</v>
      </c>
      <c r="B951" s="33">
        <v>44909</v>
      </c>
      <c r="C951" s="32">
        <v>2022</v>
      </c>
      <c r="D951" s="34" t="s">
        <v>3907</v>
      </c>
      <c r="E951" s="35" t="s">
        <v>3908</v>
      </c>
      <c r="F951" s="35"/>
      <c r="G951" s="34"/>
      <c r="H951" s="35"/>
      <c r="I951" s="35" t="s">
        <v>1005</v>
      </c>
      <c r="J951" s="35" t="s">
        <v>1021</v>
      </c>
      <c r="K951" s="35" t="s">
        <v>888</v>
      </c>
      <c r="L951" s="35" t="s">
        <v>976</v>
      </c>
      <c r="M951" s="35" t="s">
        <v>522</v>
      </c>
      <c r="N951" s="35" t="s">
        <v>968</v>
      </c>
      <c r="O951" s="36">
        <v>13</v>
      </c>
      <c r="P951" s="35" t="s">
        <v>37</v>
      </c>
      <c r="Q951" s="35"/>
      <c r="R951" s="35" t="s">
        <v>3909</v>
      </c>
    </row>
    <row r="952" spans="1:18">
      <c r="A952" s="32">
        <v>97</v>
      </c>
      <c r="B952" s="33">
        <v>44892</v>
      </c>
      <c r="C952" s="32">
        <v>2022</v>
      </c>
      <c r="D952" s="34" t="s">
        <v>3910</v>
      </c>
      <c r="E952" s="35" t="s">
        <v>3911</v>
      </c>
      <c r="F952" s="35"/>
      <c r="G952" s="34"/>
      <c r="H952" s="35"/>
      <c r="I952" s="35" t="s">
        <v>1038</v>
      </c>
      <c r="J952" s="35" t="s">
        <v>1006</v>
      </c>
      <c r="K952" s="35" t="s">
        <v>1007</v>
      </c>
      <c r="L952" s="35" t="s">
        <v>1034</v>
      </c>
      <c r="M952" s="35" t="s">
        <v>515</v>
      </c>
      <c r="N952" s="35" t="s">
        <v>968</v>
      </c>
      <c r="O952" s="36">
        <v>14</v>
      </c>
      <c r="P952" s="35" t="s">
        <v>37</v>
      </c>
      <c r="Q952" s="35"/>
      <c r="R952" s="35" t="s">
        <v>3912</v>
      </c>
    </row>
    <row r="953" spans="1:18" ht="36">
      <c r="A953" s="32">
        <v>95</v>
      </c>
      <c r="B953" s="33">
        <v>44887</v>
      </c>
      <c r="C953" s="32">
        <v>2022</v>
      </c>
      <c r="D953" s="34" t="s">
        <v>3913</v>
      </c>
      <c r="E953" s="35" t="s">
        <v>3914</v>
      </c>
      <c r="F953" s="35" t="s">
        <v>885</v>
      </c>
      <c r="G953" s="34"/>
      <c r="H953" s="35" t="s">
        <v>886</v>
      </c>
      <c r="I953" s="35" t="s">
        <v>965</v>
      </c>
      <c r="J953" s="35" t="s">
        <v>1291</v>
      </c>
      <c r="K953" s="35" t="s">
        <v>897</v>
      </c>
      <c r="L953" s="35" t="s">
        <v>1034</v>
      </c>
      <c r="M953" s="35" t="s">
        <v>515</v>
      </c>
      <c r="N953" s="35" t="s">
        <v>977</v>
      </c>
      <c r="O953" s="36">
        <v>11</v>
      </c>
      <c r="P953" s="35" t="s">
        <v>37</v>
      </c>
      <c r="Q953" s="35"/>
      <c r="R953" s="35" t="s">
        <v>3915</v>
      </c>
    </row>
    <row r="954" spans="1:18" ht="24">
      <c r="A954" s="32">
        <v>94</v>
      </c>
      <c r="B954" s="33">
        <v>44886</v>
      </c>
      <c r="C954" s="32">
        <v>2022</v>
      </c>
      <c r="D954" s="34" t="s">
        <v>3916</v>
      </c>
      <c r="E954" s="35" t="s">
        <v>3917</v>
      </c>
      <c r="F954" s="35" t="s">
        <v>882</v>
      </c>
      <c r="G954" s="34"/>
      <c r="H954" s="35" t="s">
        <v>883</v>
      </c>
      <c r="I954" s="35" t="s">
        <v>965</v>
      </c>
      <c r="J954" s="35" t="s">
        <v>1291</v>
      </c>
      <c r="K954" s="35" t="s">
        <v>897</v>
      </c>
      <c r="L954" s="35" t="s">
        <v>1127</v>
      </c>
      <c r="M954" s="35" t="s">
        <v>515</v>
      </c>
      <c r="N954" s="35" t="s">
        <v>968</v>
      </c>
      <c r="O954" s="36">
        <v>3</v>
      </c>
      <c r="P954" s="35" t="s">
        <v>37</v>
      </c>
      <c r="Q954" s="35"/>
      <c r="R954" s="35" t="s">
        <v>3918</v>
      </c>
    </row>
    <row r="955" spans="1:18">
      <c r="A955" s="32">
        <v>93</v>
      </c>
      <c r="B955" s="33">
        <v>44885</v>
      </c>
      <c r="C955" s="32">
        <v>2022</v>
      </c>
      <c r="D955" s="34" t="s">
        <v>3919</v>
      </c>
      <c r="E955" s="35" t="s">
        <v>3920</v>
      </c>
      <c r="F955" s="35"/>
      <c r="G955" s="34"/>
      <c r="H955" s="35"/>
      <c r="I955" s="35" t="s">
        <v>1038</v>
      </c>
      <c r="J955" s="35" t="s">
        <v>1006</v>
      </c>
      <c r="K955" s="35" t="s">
        <v>1007</v>
      </c>
      <c r="L955" s="35" t="s">
        <v>1034</v>
      </c>
      <c r="M955" s="35" t="s">
        <v>515</v>
      </c>
      <c r="N955" s="35" t="s">
        <v>968</v>
      </c>
      <c r="O955" s="36">
        <v>25</v>
      </c>
      <c r="P955" s="35" t="s">
        <v>37</v>
      </c>
      <c r="Q955" s="35"/>
      <c r="R955" s="35" t="s">
        <v>3921</v>
      </c>
    </row>
    <row r="956" spans="1:18" ht="24">
      <c r="A956" s="32">
        <v>145</v>
      </c>
      <c r="B956" s="33">
        <v>44869</v>
      </c>
      <c r="C956" s="32">
        <v>2022</v>
      </c>
      <c r="D956" s="34" t="s">
        <v>3922</v>
      </c>
      <c r="E956" s="35" t="s">
        <v>3923</v>
      </c>
      <c r="F956" s="35" t="s">
        <v>887</v>
      </c>
      <c r="G956" s="34"/>
      <c r="H956" s="35" t="s">
        <v>883</v>
      </c>
      <c r="I956" s="35" t="s">
        <v>965</v>
      </c>
      <c r="J956" s="35" t="s">
        <v>1110</v>
      </c>
      <c r="K956" s="35" t="s">
        <v>888</v>
      </c>
      <c r="L956" s="35" t="s">
        <v>1139</v>
      </c>
      <c r="M956" s="35" t="s">
        <v>519</v>
      </c>
      <c r="N956" s="35" t="s">
        <v>968</v>
      </c>
      <c r="O956" s="36">
        <v>0</v>
      </c>
      <c r="P956" s="35" t="s">
        <v>37</v>
      </c>
      <c r="Q956" s="35"/>
      <c r="R956" s="35" t="s">
        <v>3924</v>
      </c>
    </row>
    <row r="957" spans="1:18" ht="24">
      <c r="A957" s="32">
        <v>66</v>
      </c>
      <c r="B957" s="33">
        <v>44774</v>
      </c>
      <c r="C957" s="32">
        <v>2022</v>
      </c>
      <c r="D957" s="34" t="s">
        <v>3925</v>
      </c>
      <c r="E957" s="35" t="s">
        <v>3926</v>
      </c>
      <c r="F957" s="35" t="s">
        <v>884</v>
      </c>
      <c r="G957" s="34" t="s">
        <v>894</v>
      </c>
      <c r="H957" s="35" t="s">
        <v>883</v>
      </c>
      <c r="I957" s="35" t="s">
        <v>1317</v>
      </c>
      <c r="J957" s="35" t="s">
        <v>1110</v>
      </c>
      <c r="K957" s="35" t="s">
        <v>888</v>
      </c>
      <c r="L957" s="35" t="s">
        <v>976</v>
      </c>
      <c r="M957" s="35" t="s">
        <v>522</v>
      </c>
      <c r="N957" s="35" t="s">
        <v>977</v>
      </c>
      <c r="O957" s="36">
        <v>8</v>
      </c>
      <c r="P957" s="35" t="s">
        <v>37</v>
      </c>
      <c r="Q957" s="35"/>
      <c r="R957" s="35" t="s">
        <v>3927</v>
      </c>
    </row>
    <row r="958" spans="1:18">
      <c r="A958" s="32">
        <v>68</v>
      </c>
      <c r="B958" s="33">
        <v>44770</v>
      </c>
      <c r="C958" s="32">
        <v>2022</v>
      </c>
      <c r="D958" s="34" t="s">
        <v>3928</v>
      </c>
      <c r="E958" s="35" t="s">
        <v>3929</v>
      </c>
      <c r="F958" s="35" t="s">
        <v>878</v>
      </c>
      <c r="G958" s="34"/>
      <c r="H958" s="35" t="s">
        <v>879</v>
      </c>
      <c r="I958" s="35" t="s">
        <v>965</v>
      </c>
      <c r="J958" s="35" t="s">
        <v>1110</v>
      </c>
      <c r="K958" s="35" t="s">
        <v>888</v>
      </c>
      <c r="L958" s="35" t="s">
        <v>1008</v>
      </c>
      <c r="M958" s="35" t="s">
        <v>526</v>
      </c>
      <c r="N958" s="35" t="s">
        <v>977</v>
      </c>
      <c r="O958" s="36">
        <v>23</v>
      </c>
      <c r="P958" s="35" t="s">
        <v>37</v>
      </c>
      <c r="Q958" s="35"/>
      <c r="R958" s="35" t="s">
        <v>3930</v>
      </c>
    </row>
    <row r="959" spans="1:18" ht="36">
      <c r="A959" s="32">
        <v>67</v>
      </c>
      <c r="B959" s="33">
        <v>44770</v>
      </c>
      <c r="C959" s="32">
        <v>2022</v>
      </c>
      <c r="D959" s="34" t="s">
        <v>3931</v>
      </c>
      <c r="E959" s="35" t="s">
        <v>3932</v>
      </c>
      <c r="F959" s="35" t="s">
        <v>884</v>
      </c>
      <c r="G959" s="34"/>
      <c r="H959" s="35" t="s">
        <v>883</v>
      </c>
      <c r="I959" s="35" t="s">
        <v>965</v>
      </c>
      <c r="J959" s="35" t="s">
        <v>1110</v>
      </c>
      <c r="K959" s="35" t="s">
        <v>888</v>
      </c>
      <c r="L959" s="35" t="s">
        <v>1008</v>
      </c>
      <c r="M959" s="35" t="s">
        <v>526</v>
      </c>
      <c r="N959" s="35" t="s">
        <v>977</v>
      </c>
      <c r="O959" s="36">
        <v>2</v>
      </c>
      <c r="P959" s="35" t="s">
        <v>37</v>
      </c>
      <c r="Q959" s="35"/>
      <c r="R959" s="35" t="s">
        <v>3933</v>
      </c>
    </row>
    <row r="960" spans="1:18" ht="24">
      <c r="A960" s="32">
        <v>143</v>
      </c>
      <c r="B960" s="33">
        <v>44766</v>
      </c>
      <c r="C960" s="32">
        <v>2022</v>
      </c>
      <c r="D960" s="34" t="s">
        <v>3934</v>
      </c>
      <c r="E960" s="35" t="s">
        <v>3935</v>
      </c>
      <c r="F960" s="35"/>
      <c r="G960" s="34"/>
      <c r="H960" s="35"/>
      <c r="I960" s="35" t="s">
        <v>1038</v>
      </c>
      <c r="J960" s="35" t="s">
        <v>1006</v>
      </c>
      <c r="K960" s="35" t="s">
        <v>1007</v>
      </c>
      <c r="L960" s="35" t="s">
        <v>1342</v>
      </c>
      <c r="M960" s="35" t="s">
        <v>515</v>
      </c>
      <c r="N960" s="35" t="s">
        <v>977</v>
      </c>
      <c r="O960" s="36">
        <v>12</v>
      </c>
      <c r="P960" s="35" t="s">
        <v>37</v>
      </c>
      <c r="Q960" s="35"/>
      <c r="R960" s="35" t="s">
        <v>3936</v>
      </c>
    </row>
    <row r="961" spans="1:18">
      <c r="A961" s="32">
        <v>70</v>
      </c>
      <c r="B961" s="33">
        <v>44760</v>
      </c>
      <c r="C961" s="32">
        <v>2022</v>
      </c>
      <c r="D961" s="34" t="s">
        <v>3937</v>
      </c>
      <c r="E961" s="35" t="s">
        <v>3938</v>
      </c>
      <c r="F961" s="35" t="s">
        <v>918</v>
      </c>
      <c r="G961" s="34"/>
      <c r="H961" s="35" t="s">
        <v>883</v>
      </c>
      <c r="I961" s="35" t="s">
        <v>965</v>
      </c>
      <c r="J961" s="35" t="s">
        <v>1110</v>
      </c>
      <c r="K961" s="35" t="s">
        <v>888</v>
      </c>
      <c r="L961" s="35" t="s">
        <v>1342</v>
      </c>
      <c r="M961" s="35" t="s">
        <v>515</v>
      </c>
      <c r="N961" s="35" t="s">
        <v>968</v>
      </c>
      <c r="O961" s="36">
        <v>15</v>
      </c>
      <c r="P961" s="35" t="s">
        <v>37</v>
      </c>
      <c r="Q961" s="35"/>
      <c r="R961" s="35" t="s">
        <v>3939</v>
      </c>
    </row>
    <row r="962" spans="1:18" ht="24">
      <c r="A962" s="32">
        <v>144</v>
      </c>
      <c r="B962" s="33">
        <v>44760</v>
      </c>
      <c r="C962" s="32">
        <v>2022</v>
      </c>
      <c r="D962" s="34" t="s">
        <v>3940</v>
      </c>
      <c r="E962" s="35" t="s">
        <v>3941</v>
      </c>
      <c r="F962" s="35" t="s">
        <v>918</v>
      </c>
      <c r="G962" s="34"/>
      <c r="H962" s="35" t="s">
        <v>883</v>
      </c>
      <c r="I962" s="35" t="s">
        <v>965</v>
      </c>
      <c r="J962" s="35" t="s">
        <v>1110</v>
      </c>
      <c r="K962" s="35" t="s">
        <v>888</v>
      </c>
      <c r="L962" s="35" t="s">
        <v>1342</v>
      </c>
      <c r="M962" s="35" t="s">
        <v>515</v>
      </c>
      <c r="N962" s="35" t="s">
        <v>977</v>
      </c>
      <c r="O962" s="36">
        <v>18</v>
      </c>
      <c r="P962" s="35" t="s">
        <v>37</v>
      </c>
      <c r="Q962" s="35"/>
      <c r="R962" s="35" t="s">
        <v>3942</v>
      </c>
    </row>
    <row r="963" spans="1:18" ht="24">
      <c r="A963" s="32">
        <v>86</v>
      </c>
      <c r="B963" s="33">
        <v>44754</v>
      </c>
      <c r="C963" s="32">
        <v>2022</v>
      </c>
      <c r="D963" s="34" t="s">
        <v>3943</v>
      </c>
      <c r="E963" s="35" t="s">
        <v>3944</v>
      </c>
      <c r="F963" s="35" t="s">
        <v>878</v>
      </c>
      <c r="G963" s="34"/>
      <c r="H963" s="35" t="s">
        <v>879</v>
      </c>
      <c r="I963" s="35" t="s">
        <v>965</v>
      </c>
      <c r="J963" s="35" t="s">
        <v>1110</v>
      </c>
      <c r="K963" s="35" t="s">
        <v>888</v>
      </c>
      <c r="L963" s="35" t="s">
        <v>972</v>
      </c>
      <c r="M963" s="35" t="s">
        <v>512</v>
      </c>
      <c r="N963" s="35" t="s">
        <v>977</v>
      </c>
      <c r="O963" s="36">
        <v>12</v>
      </c>
      <c r="P963" s="35" t="s">
        <v>37</v>
      </c>
      <c r="Q963" s="35"/>
      <c r="R963" s="35" t="s">
        <v>3945</v>
      </c>
    </row>
    <row r="964" spans="1:18" ht="36">
      <c r="A964" s="32">
        <v>142</v>
      </c>
      <c r="B964" s="33">
        <v>44751</v>
      </c>
      <c r="C964" s="32">
        <v>2022</v>
      </c>
      <c r="D964" s="34" t="s">
        <v>3946</v>
      </c>
      <c r="E964" s="35" t="s">
        <v>3947</v>
      </c>
      <c r="F964" s="35"/>
      <c r="G964" s="34"/>
      <c r="H964" s="35" t="s">
        <v>879</v>
      </c>
      <c r="I964" s="35" t="s">
        <v>1134</v>
      </c>
      <c r="J964" s="35" t="s">
        <v>1135</v>
      </c>
      <c r="K964" s="35" t="s">
        <v>888</v>
      </c>
      <c r="L964" s="35" t="s">
        <v>1008</v>
      </c>
      <c r="M964" s="35" t="s">
        <v>526</v>
      </c>
      <c r="N964" s="35" t="s">
        <v>968</v>
      </c>
      <c r="O964" s="36">
        <v>12</v>
      </c>
      <c r="P964" s="35" t="s">
        <v>37</v>
      </c>
      <c r="Q964" s="35"/>
      <c r="R964" s="35" t="s">
        <v>3948</v>
      </c>
    </row>
    <row r="965" spans="1:18" ht="24">
      <c r="A965" s="32">
        <v>89</v>
      </c>
      <c r="B965" s="33">
        <v>44745</v>
      </c>
      <c r="C965" s="32">
        <v>2022</v>
      </c>
      <c r="D965" s="34" t="s">
        <v>3949</v>
      </c>
      <c r="E965" s="35" t="s">
        <v>3950</v>
      </c>
      <c r="F965" s="35"/>
      <c r="G965" s="34"/>
      <c r="H965" s="35"/>
      <c r="I965" s="35" t="s">
        <v>1005</v>
      </c>
      <c r="J965" s="35" t="s">
        <v>1021</v>
      </c>
      <c r="K965" s="35" t="s">
        <v>888</v>
      </c>
      <c r="L965" s="35" t="s">
        <v>1008</v>
      </c>
      <c r="M965" s="35" t="s">
        <v>526</v>
      </c>
      <c r="N965" s="35" t="s">
        <v>968</v>
      </c>
      <c r="O965" s="36">
        <v>7</v>
      </c>
      <c r="P965" s="35" t="s">
        <v>37</v>
      </c>
      <c r="Q965" s="35"/>
      <c r="R965" s="35" t="s">
        <v>3951</v>
      </c>
    </row>
    <row r="966" spans="1:18" ht="24">
      <c r="A966" s="32">
        <v>90</v>
      </c>
      <c r="B966" s="33">
        <v>44744</v>
      </c>
      <c r="C966" s="32">
        <v>2022</v>
      </c>
      <c r="D966" s="34" t="s">
        <v>3952</v>
      </c>
      <c r="E966" s="35" t="s">
        <v>3953</v>
      </c>
      <c r="F966" s="35" t="s">
        <v>891</v>
      </c>
      <c r="G966" s="34"/>
      <c r="H966" s="35" t="s">
        <v>883</v>
      </c>
      <c r="I966" s="35" t="s">
        <v>965</v>
      </c>
      <c r="J966" s="35" t="s">
        <v>1110</v>
      </c>
      <c r="K966" s="35" t="s">
        <v>888</v>
      </c>
      <c r="L966" s="35" t="s">
        <v>1008</v>
      </c>
      <c r="M966" s="35" t="s">
        <v>526</v>
      </c>
      <c r="N966" s="35" t="s">
        <v>977</v>
      </c>
      <c r="O966" s="36">
        <v>8</v>
      </c>
      <c r="P966" s="35" t="s">
        <v>37</v>
      </c>
      <c r="Q966" s="35"/>
      <c r="R966" s="35" t="s">
        <v>3954</v>
      </c>
    </row>
    <row r="967" spans="1:18">
      <c r="A967" s="32">
        <v>83</v>
      </c>
      <c r="B967" s="33">
        <v>44741</v>
      </c>
      <c r="C967" s="32">
        <v>2022</v>
      </c>
      <c r="D967" s="34" t="s">
        <v>3955</v>
      </c>
      <c r="E967" s="35" t="s">
        <v>3956</v>
      </c>
      <c r="F967" s="35" t="s">
        <v>878</v>
      </c>
      <c r="G967" s="34"/>
      <c r="H967" s="35" t="s">
        <v>879</v>
      </c>
      <c r="I967" s="35" t="s">
        <v>965</v>
      </c>
      <c r="J967" s="35" t="s">
        <v>1110</v>
      </c>
      <c r="K967" s="35" t="s">
        <v>888</v>
      </c>
      <c r="L967" s="35" t="s">
        <v>1008</v>
      </c>
      <c r="M967" s="35" t="s">
        <v>526</v>
      </c>
      <c r="N967" s="35" t="s">
        <v>977</v>
      </c>
      <c r="O967" s="36">
        <v>65</v>
      </c>
      <c r="P967" s="35" t="s">
        <v>37</v>
      </c>
      <c r="Q967" s="35"/>
      <c r="R967" s="35" t="s">
        <v>3957</v>
      </c>
    </row>
    <row r="968" spans="1:18" ht="24">
      <c r="A968" s="32">
        <v>82</v>
      </c>
      <c r="B968" s="33">
        <v>44738</v>
      </c>
      <c r="C968" s="32">
        <v>2022</v>
      </c>
      <c r="D968" s="34" t="s">
        <v>3958</v>
      </c>
      <c r="E968" s="35" t="s">
        <v>3959</v>
      </c>
      <c r="F968" s="35" t="s">
        <v>878</v>
      </c>
      <c r="G968" s="34"/>
      <c r="H968" s="35" t="s">
        <v>879</v>
      </c>
      <c r="I968" s="35" t="s">
        <v>965</v>
      </c>
      <c r="J968" s="35" t="s">
        <v>1110</v>
      </c>
      <c r="K968" s="35" t="s">
        <v>888</v>
      </c>
      <c r="L968" s="35" t="s">
        <v>976</v>
      </c>
      <c r="M968" s="35" t="s">
        <v>522</v>
      </c>
      <c r="N968" s="35" t="s">
        <v>977</v>
      </c>
      <c r="O968" s="36">
        <v>65</v>
      </c>
      <c r="P968" s="35" t="s">
        <v>37</v>
      </c>
      <c r="Q968" s="35"/>
      <c r="R968" s="35" t="s">
        <v>3960</v>
      </c>
    </row>
    <row r="969" spans="1:18" ht="24">
      <c r="A969" s="32">
        <v>81</v>
      </c>
      <c r="B969" s="33">
        <v>44738</v>
      </c>
      <c r="C969" s="32">
        <v>2022</v>
      </c>
      <c r="D969" s="34" t="s">
        <v>3961</v>
      </c>
      <c r="E969" s="35" t="s">
        <v>3962</v>
      </c>
      <c r="F969" s="35" t="s">
        <v>891</v>
      </c>
      <c r="G969" s="34"/>
      <c r="H969" s="35" t="s">
        <v>883</v>
      </c>
      <c r="I969" s="35" t="s">
        <v>965</v>
      </c>
      <c r="J969" s="35" t="s">
        <v>1110</v>
      </c>
      <c r="K969" s="35" t="s">
        <v>888</v>
      </c>
      <c r="L969" s="35" t="s">
        <v>1008</v>
      </c>
      <c r="M969" s="35" t="s">
        <v>526</v>
      </c>
      <c r="N969" s="35" t="s">
        <v>968</v>
      </c>
      <c r="O969" s="36">
        <v>8</v>
      </c>
      <c r="P969" s="35" t="s">
        <v>37</v>
      </c>
      <c r="Q969" s="35"/>
      <c r="R969" s="35" t="s">
        <v>3963</v>
      </c>
    </row>
    <row r="970" spans="1:18" ht="24">
      <c r="A970" s="32">
        <v>80</v>
      </c>
      <c r="B970" s="33">
        <v>44738</v>
      </c>
      <c r="C970" s="32">
        <v>2022</v>
      </c>
      <c r="D970" s="34" t="s">
        <v>3964</v>
      </c>
      <c r="E970" s="35" t="s">
        <v>3965</v>
      </c>
      <c r="F970" s="35"/>
      <c r="G970" s="34"/>
      <c r="H970" s="35" t="s">
        <v>883</v>
      </c>
      <c r="I970" s="35" t="s">
        <v>1134</v>
      </c>
      <c r="J970" s="35" t="s">
        <v>1021</v>
      </c>
      <c r="K970" s="35" t="s">
        <v>888</v>
      </c>
      <c r="L970" s="35" t="s">
        <v>1139</v>
      </c>
      <c r="M970" s="35" t="s">
        <v>519</v>
      </c>
      <c r="N970" s="35" t="s">
        <v>968</v>
      </c>
      <c r="O970" s="36">
        <v>7</v>
      </c>
      <c r="P970" s="35" t="s">
        <v>37</v>
      </c>
      <c r="Q970" s="35"/>
      <c r="R970" s="35" t="s">
        <v>3966</v>
      </c>
    </row>
    <row r="971" spans="1:18" ht="24">
      <c r="A971" s="32">
        <v>79</v>
      </c>
      <c r="B971" s="33">
        <v>44737</v>
      </c>
      <c r="C971" s="32">
        <v>2022</v>
      </c>
      <c r="D971" s="34" t="s">
        <v>3967</v>
      </c>
      <c r="E971" s="35" t="s">
        <v>3968</v>
      </c>
      <c r="F971" s="35" t="s">
        <v>887</v>
      </c>
      <c r="G971" s="34"/>
      <c r="H971" s="35" t="s">
        <v>883</v>
      </c>
      <c r="I971" s="35" t="s">
        <v>965</v>
      </c>
      <c r="J971" s="35" t="s">
        <v>1110</v>
      </c>
      <c r="K971" s="35" t="s">
        <v>888</v>
      </c>
      <c r="L971" s="35" t="s">
        <v>1008</v>
      </c>
      <c r="M971" s="35" t="s">
        <v>526</v>
      </c>
      <c r="N971" s="35" t="s">
        <v>977</v>
      </c>
      <c r="O971" s="36">
        <v>13</v>
      </c>
      <c r="P971" s="35" t="s">
        <v>37</v>
      </c>
      <c r="Q971" s="35"/>
      <c r="R971" s="35" t="s">
        <v>3969</v>
      </c>
    </row>
    <row r="972" spans="1:18" ht="24">
      <c r="A972" s="32">
        <v>77</v>
      </c>
      <c r="B972" s="33">
        <v>44730</v>
      </c>
      <c r="C972" s="32">
        <v>2022</v>
      </c>
      <c r="D972" s="34" t="s">
        <v>3970</v>
      </c>
      <c r="E972" s="35" t="s">
        <v>3971</v>
      </c>
      <c r="F972" s="35"/>
      <c r="G972" s="34"/>
      <c r="H972" s="35"/>
      <c r="I972" s="35" t="s">
        <v>1038</v>
      </c>
      <c r="J972" s="35" t="s">
        <v>1006</v>
      </c>
      <c r="K972" s="35" t="s">
        <v>1007</v>
      </c>
      <c r="L972" s="35" t="s">
        <v>1008</v>
      </c>
      <c r="M972" s="35" t="s">
        <v>526</v>
      </c>
      <c r="N972" s="35" t="s">
        <v>977</v>
      </c>
      <c r="O972" s="36">
        <v>2</v>
      </c>
      <c r="P972" s="35" t="s">
        <v>37</v>
      </c>
      <c r="Q972" s="35"/>
      <c r="R972" s="35" t="s">
        <v>3972</v>
      </c>
    </row>
    <row r="973" spans="1:18">
      <c r="A973" s="32">
        <v>76</v>
      </c>
      <c r="B973" s="33">
        <v>44729</v>
      </c>
      <c r="C973" s="32">
        <v>2022</v>
      </c>
      <c r="D973" s="34" t="s">
        <v>3973</v>
      </c>
      <c r="E973" s="35" t="s">
        <v>3974</v>
      </c>
      <c r="F973" s="35" t="s">
        <v>882</v>
      </c>
      <c r="G973" s="34"/>
      <c r="H973" s="35" t="s">
        <v>883</v>
      </c>
      <c r="I973" s="35" t="s">
        <v>965</v>
      </c>
      <c r="J973" s="35" t="s">
        <v>1110</v>
      </c>
      <c r="K973" s="35" t="s">
        <v>888</v>
      </c>
      <c r="L973" s="35" t="s">
        <v>1008</v>
      </c>
      <c r="M973" s="35" t="s">
        <v>526</v>
      </c>
      <c r="N973" s="35" t="s">
        <v>977</v>
      </c>
      <c r="O973" s="36">
        <v>9</v>
      </c>
      <c r="P973" s="35" t="s">
        <v>37</v>
      </c>
      <c r="Q973" s="35"/>
      <c r="R973" s="35" t="s">
        <v>3975</v>
      </c>
    </row>
    <row r="974" spans="1:18">
      <c r="A974" s="32">
        <v>75</v>
      </c>
      <c r="B974" s="33">
        <v>44729</v>
      </c>
      <c r="C974" s="32">
        <v>2022</v>
      </c>
      <c r="D974" s="34" t="s">
        <v>3976</v>
      </c>
      <c r="E974" s="35" t="s">
        <v>3977</v>
      </c>
      <c r="F974" s="35" t="s">
        <v>878</v>
      </c>
      <c r="G974" s="34"/>
      <c r="H974" s="35" t="s">
        <v>879</v>
      </c>
      <c r="I974" s="35" t="s">
        <v>965</v>
      </c>
      <c r="J974" s="35" t="s">
        <v>1110</v>
      </c>
      <c r="K974" s="35" t="s">
        <v>888</v>
      </c>
      <c r="L974" s="35" t="s">
        <v>1008</v>
      </c>
      <c r="M974" s="35" t="s">
        <v>526</v>
      </c>
      <c r="N974" s="35" t="s">
        <v>977</v>
      </c>
      <c r="O974" s="36">
        <v>1</v>
      </c>
      <c r="P974" s="35" t="s">
        <v>37</v>
      </c>
      <c r="Q974" s="35"/>
      <c r="R974" s="35" t="s">
        <v>3978</v>
      </c>
    </row>
    <row r="975" spans="1:18" ht="24">
      <c r="A975" s="32">
        <v>78</v>
      </c>
      <c r="B975" s="33">
        <v>44727</v>
      </c>
      <c r="C975" s="32">
        <v>2022</v>
      </c>
      <c r="D975" s="34" t="s">
        <v>3979</v>
      </c>
      <c r="E975" s="35" t="s">
        <v>3980</v>
      </c>
      <c r="F975" s="35"/>
      <c r="G975" s="34"/>
      <c r="H975" s="35" t="s">
        <v>883</v>
      </c>
      <c r="I975" s="35" t="s">
        <v>1134</v>
      </c>
      <c r="J975" s="35" t="s">
        <v>1135</v>
      </c>
      <c r="K975" s="35" t="s">
        <v>888</v>
      </c>
      <c r="L975" s="35" t="s">
        <v>1008</v>
      </c>
      <c r="M975" s="35" t="s">
        <v>526</v>
      </c>
      <c r="N975" s="35" t="s">
        <v>977</v>
      </c>
      <c r="O975" s="36">
        <v>4</v>
      </c>
      <c r="P975" s="35" t="s">
        <v>37</v>
      </c>
      <c r="Q975" s="35"/>
      <c r="R975" s="35" t="s">
        <v>3981</v>
      </c>
    </row>
    <row r="976" spans="1:18" ht="24">
      <c r="A976" s="32">
        <v>197</v>
      </c>
      <c r="B976" s="33">
        <v>44724</v>
      </c>
      <c r="C976" s="32">
        <v>2022</v>
      </c>
      <c r="D976" s="34" t="s">
        <v>3982</v>
      </c>
      <c r="E976" s="35" t="s">
        <v>3983</v>
      </c>
      <c r="F976" s="35"/>
      <c r="G976" s="34"/>
      <c r="H976" s="35"/>
      <c r="I976" s="35" t="s">
        <v>1038</v>
      </c>
      <c r="J976" s="35" t="s">
        <v>1006</v>
      </c>
      <c r="K976" s="35" t="s">
        <v>1007</v>
      </c>
      <c r="L976" s="35" t="s">
        <v>3592</v>
      </c>
      <c r="M976" s="35" t="s">
        <v>533</v>
      </c>
      <c r="N976" s="35" t="s">
        <v>968</v>
      </c>
      <c r="O976" s="36">
        <v>15</v>
      </c>
      <c r="P976" s="35" t="s">
        <v>37</v>
      </c>
      <c r="Q976" s="35"/>
      <c r="R976" s="35" t="s">
        <v>3984</v>
      </c>
    </row>
    <row r="977" spans="1:18" ht="24">
      <c r="A977" s="32">
        <v>72</v>
      </c>
      <c r="B977" s="33">
        <v>44723</v>
      </c>
      <c r="C977" s="32">
        <v>2022</v>
      </c>
      <c r="D977" s="34" t="s">
        <v>3985</v>
      </c>
      <c r="E977" s="35" t="s">
        <v>3986</v>
      </c>
      <c r="F977" s="35" t="s">
        <v>878</v>
      </c>
      <c r="G977" s="34"/>
      <c r="H977" s="35" t="s">
        <v>879</v>
      </c>
      <c r="I977" s="35" t="s">
        <v>965</v>
      </c>
      <c r="J977" s="35" t="s">
        <v>1110</v>
      </c>
      <c r="K977" s="35" t="s">
        <v>888</v>
      </c>
      <c r="L977" s="35" t="s">
        <v>972</v>
      </c>
      <c r="M977" s="35" t="s">
        <v>512</v>
      </c>
      <c r="N977" s="35" t="s">
        <v>977</v>
      </c>
      <c r="O977" s="36">
        <v>15</v>
      </c>
      <c r="P977" s="35" t="s">
        <v>37</v>
      </c>
      <c r="Q977" s="35"/>
      <c r="R977" s="35" t="s">
        <v>3987</v>
      </c>
    </row>
    <row r="978" spans="1:18" ht="24">
      <c r="A978" s="32">
        <v>88</v>
      </c>
      <c r="B978" s="33">
        <v>44722</v>
      </c>
      <c r="C978" s="32">
        <v>2022</v>
      </c>
      <c r="D978" s="34" t="s">
        <v>3988</v>
      </c>
      <c r="E978" s="35" t="s">
        <v>3989</v>
      </c>
      <c r="F978" s="35" t="s">
        <v>896</v>
      </c>
      <c r="G978" s="34"/>
      <c r="H978" s="35" t="s">
        <v>883</v>
      </c>
      <c r="I978" s="35" t="s">
        <v>965</v>
      </c>
      <c r="J978" s="35" t="s">
        <v>1110</v>
      </c>
      <c r="K978" s="35" t="s">
        <v>888</v>
      </c>
      <c r="L978" s="35" t="s">
        <v>972</v>
      </c>
      <c r="M978" s="35" t="s">
        <v>512</v>
      </c>
      <c r="N978" s="35" t="s">
        <v>977</v>
      </c>
      <c r="O978" s="36">
        <v>3</v>
      </c>
      <c r="P978" s="35" t="s">
        <v>37</v>
      </c>
      <c r="Q978" s="35"/>
      <c r="R978" s="35" t="s">
        <v>3990</v>
      </c>
    </row>
    <row r="979" spans="1:18">
      <c r="A979" s="32">
        <v>140</v>
      </c>
      <c r="B979" s="33">
        <v>44717</v>
      </c>
      <c r="C979" s="32">
        <v>2022</v>
      </c>
      <c r="D979" s="34" t="s">
        <v>3991</v>
      </c>
      <c r="E979" s="35" t="s">
        <v>3992</v>
      </c>
      <c r="F979" s="35" t="s">
        <v>905</v>
      </c>
      <c r="G979" s="34" t="s">
        <v>2677</v>
      </c>
      <c r="H979" s="35" t="s">
        <v>895</v>
      </c>
      <c r="I979" s="35" t="s">
        <v>1317</v>
      </c>
      <c r="J979" s="35" t="s">
        <v>1291</v>
      </c>
      <c r="K979" s="35" t="s">
        <v>897</v>
      </c>
      <c r="L979" s="35" t="s">
        <v>2369</v>
      </c>
      <c r="M979" s="35" t="s">
        <v>533</v>
      </c>
      <c r="N979" s="35" t="s">
        <v>977</v>
      </c>
      <c r="O979" s="36">
        <v>16</v>
      </c>
      <c r="P979" s="35" t="s">
        <v>37</v>
      </c>
      <c r="Q979" s="35"/>
      <c r="R979" s="35" t="s">
        <v>3993</v>
      </c>
    </row>
    <row r="980" spans="1:18" ht="24">
      <c r="A980" s="32">
        <v>59</v>
      </c>
      <c r="B980" s="33">
        <v>44714</v>
      </c>
      <c r="C980" s="32">
        <v>2022</v>
      </c>
      <c r="D980" s="34" t="s">
        <v>3994</v>
      </c>
      <c r="E980" s="35" t="s">
        <v>3995</v>
      </c>
      <c r="F980" s="35"/>
      <c r="G980" s="34"/>
      <c r="H980" s="35"/>
      <c r="I980" s="35" t="s">
        <v>1038</v>
      </c>
      <c r="J980" s="35" t="s">
        <v>1006</v>
      </c>
      <c r="K980" s="35" t="s">
        <v>1007</v>
      </c>
      <c r="L980" s="35" t="s">
        <v>972</v>
      </c>
      <c r="M980" s="35" t="s">
        <v>512</v>
      </c>
      <c r="N980" s="35" t="s">
        <v>977</v>
      </c>
      <c r="O980" s="36">
        <v>3</v>
      </c>
      <c r="P980" s="35" t="s">
        <v>37</v>
      </c>
      <c r="Q980" s="35"/>
      <c r="R980" s="35" t="s">
        <v>3996</v>
      </c>
    </row>
    <row r="981" spans="1:18">
      <c r="A981" s="32">
        <v>138</v>
      </c>
      <c r="B981" s="33">
        <v>44714</v>
      </c>
      <c r="C981" s="32">
        <v>2022</v>
      </c>
      <c r="D981" s="34" t="s">
        <v>3997</v>
      </c>
      <c r="E981" s="35" t="s">
        <v>3998</v>
      </c>
      <c r="F981" s="35"/>
      <c r="G981" s="34"/>
      <c r="H981" s="35"/>
      <c r="I981" s="35" t="s">
        <v>1038</v>
      </c>
      <c r="J981" s="35" t="s">
        <v>1006</v>
      </c>
      <c r="K981" s="35" t="s">
        <v>1007</v>
      </c>
      <c r="L981" s="35" t="s">
        <v>972</v>
      </c>
      <c r="M981" s="35" t="s">
        <v>512</v>
      </c>
      <c r="N981" s="35" t="s">
        <v>968</v>
      </c>
      <c r="O981" s="36">
        <v>2</v>
      </c>
      <c r="P981" s="35" t="s">
        <v>37</v>
      </c>
      <c r="Q981" s="35"/>
      <c r="R981" s="35" t="s">
        <v>3999</v>
      </c>
    </row>
    <row r="982" spans="1:18">
      <c r="A982" s="32">
        <v>85</v>
      </c>
      <c r="B982" s="33">
        <v>44712</v>
      </c>
      <c r="C982" s="32">
        <v>2022</v>
      </c>
      <c r="D982" s="34" t="s">
        <v>4000</v>
      </c>
      <c r="E982" s="35" t="s">
        <v>4001</v>
      </c>
      <c r="F982" s="35" t="s">
        <v>926</v>
      </c>
      <c r="G982" s="34"/>
      <c r="H982" s="35" t="s">
        <v>883</v>
      </c>
      <c r="I982" s="35" t="s">
        <v>965</v>
      </c>
      <c r="J982" s="35" t="s">
        <v>1110</v>
      </c>
      <c r="K982" s="35" t="s">
        <v>888</v>
      </c>
      <c r="L982" s="35" t="s">
        <v>2574</v>
      </c>
      <c r="M982" s="35" t="s">
        <v>533</v>
      </c>
      <c r="N982" s="35" t="s">
        <v>977</v>
      </c>
      <c r="O982" s="36">
        <v>25</v>
      </c>
      <c r="P982" s="35" t="s">
        <v>37</v>
      </c>
      <c r="Q982" s="35"/>
      <c r="R982" s="35" t="s">
        <v>4002</v>
      </c>
    </row>
    <row r="983" spans="1:18" ht="36">
      <c r="A983" s="32">
        <v>62</v>
      </c>
      <c r="B983" s="33">
        <v>44712</v>
      </c>
      <c r="C983" s="32">
        <v>2022</v>
      </c>
      <c r="D983" s="34" t="s">
        <v>4003</v>
      </c>
      <c r="E983" s="35" t="s">
        <v>4004</v>
      </c>
      <c r="F983" s="35"/>
      <c r="G983" s="34"/>
      <c r="H983" s="35"/>
      <c r="I983" s="35" t="s">
        <v>1005</v>
      </c>
      <c r="J983" s="35" t="s">
        <v>1021</v>
      </c>
      <c r="K983" s="35" t="s">
        <v>888</v>
      </c>
      <c r="L983" s="35" t="s">
        <v>2574</v>
      </c>
      <c r="M983" s="35" t="s">
        <v>533</v>
      </c>
      <c r="N983" s="35" t="s">
        <v>968</v>
      </c>
      <c r="O983" s="36">
        <v>32</v>
      </c>
      <c r="P983" s="35" t="s">
        <v>37</v>
      </c>
      <c r="Q983" s="35"/>
      <c r="R983" s="35" t="s">
        <v>4005</v>
      </c>
    </row>
    <row r="984" spans="1:18" ht="24">
      <c r="A984" s="32">
        <v>58</v>
      </c>
      <c r="B984" s="33">
        <v>44711</v>
      </c>
      <c r="C984" s="32">
        <v>2022</v>
      </c>
      <c r="D984" s="34" t="s">
        <v>4006</v>
      </c>
      <c r="E984" s="35" t="s">
        <v>4007</v>
      </c>
      <c r="F984" s="35"/>
      <c r="G984" s="34"/>
      <c r="H984" s="35"/>
      <c r="I984" s="35" t="s">
        <v>1038</v>
      </c>
      <c r="J984" s="35" t="s">
        <v>1006</v>
      </c>
      <c r="K984" s="35" t="s">
        <v>1007</v>
      </c>
      <c r="L984" s="35" t="s">
        <v>972</v>
      </c>
      <c r="M984" s="35" t="s">
        <v>512</v>
      </c>
      <c r="N984" s="35" t="s">
        <v>977</v>
      </c>
      <c r="O984" s="36">
        <v>7</v>
      </c>
      <c r="P984" s="35" t="s">
        <v>37</v>
      </c>
      <c r="Q984" s="35"/>
      <c r="R984" s="35" t="s">
        <v>4008</v>
      </c>
    </row>
    <row r="985" spans="1:18" ht="24">
      <c r="A985" s="32">
        <v>57</v>
      </c>
      <c r="B985" s="33">
        <v>44710</v>
      </c>
      <c r="C985" s="32">
        <v>2022</v>
      </c>
      <c r="D985" s="34" t="s">
        <v>4009</v>
      </c>
      <c r="E985" s="35" t="s">
        <v>4010</v>
      </c>
      <c r="F985" s="35"/>
      <c r="G985" s="34"/>
      <c r="H985" s="35"/>
      <c r="I985" s="35" t="s">
        <v>1038</v>
      </c>
      <c r="J985" s="35" t="s">
        <v>1006</v>
      </c>
      <c r="K985" s="35" t="s">
        <v>1007</v>
      </c>
      <c r="L985" s="35" t="s">
        <v>972</v>
      </c>
      <c r="M985" s="35" t="s">
        <v>512</v>
      </c>
      <c r="N985" s="35" t="s">
        <v>977</v>
      </c>
      <c r="O985" s="36">
        <v>28</v>
      </c>
      <c r="P985" s="35" t="s">
        <v>37</v>
      </c>
      <c r="Q985" s="35"/>
      <c r="R985" s="35" t="s">
        <v>4011</v>
      </c>
    </row>
    <row r="986" spans="1:18" ht="24">
      <c r="A986" s="32">
        <v>56</v>
      </c>
      <c r="B986" s="33">
        <v>44710</v>
      </c>
      <c r="C986" s="32">
        <v>2022</v>
      </c>
      <c r="D986" s="34" t="s">
        <v>4012</v>
      </c>
      <c r="E986" s="35" t="s">
        <v>4013</v>
      </c>
      <c r="F986" s="35"/>
      <c r="G986" s="34"/>
      <c r="H986" s="35"/>
      <c r="I986" s="35" t="s">
        <v>1038</v>
      </c>
      <c r="J986" s="35" t="s">
        <v>1006</v>
      </c>
      <c r="K986" s="35" t="s">
        <v>1007</v>
      </c>
      <c r="L986" s="35" t="s">
        <v>972</v>
      </c>
      <c r="M986" s="35" t="s">
        <v>512</v>
      </c>
      <c r="N986" s="35" t="s">
        <v>968</v>
      </c>
      <c r="O986" s="36">
        <v>29</v>
      </c>
      <c r="P986" s="35" t="s">
        <v>37</v>
      </c>
      <c r="Q986" s="35"/>
      <c r="R986" s="35" t="s">
        <v>4014</v>
      </c>
    </row>
    <row r="987" spans="1:18" ht="36">
      <c r="A987" s="32">
        <v>54</v>
      </c>
      <c r="B987" s="33">
        <v>44708</v>
      </c>
      <c r="C987" s="32">
        <v>2022</v>
      </c>
      <c r="D987" s="34" t="s">
        <v>4015</v>
      </c>
      <c r="E987" s="35" t="s">
        <v>4016</v>
      </c>
      <c r="F987" s="35" t="s">
        <v>891</v>
      </c>
      <c r="G987" s="34"/>
      <c r="H987" s="35" t="s">
        <v>883</v>
      </c>
      <c r="I987" s="35" t="s">
        <v>965</v>
      </c>
      <c r="J987" s="35" t="s">
        <v>1110</v>
      </c>
      <c r="K987" s="35" t="s">
        <v>888</v>
      </c>
      <c r="L987" s="35" t="s">
        <v>1008</v>
      </c>
      <c r="M987" s="35" t="s">
        <v>526</v>
      </c>
      <c r="N987" s="35" t="s">
        <v>968</v>
      </c>
      <c r="O987" s="36">
        <v>5</v>
      </c>
      <c r="P987" s="35" t="s">
        <v>37</v>
      </c>
      <c r="Q987" s="35"/>
      <c r="R987" s="35" t="s">
        <v>4017</v>
      </c>
    </row>
    <row r="988" spans="1:18" ht="24">
      <c r="A988" s="32">
        <v>52</v>
      </c>
      <c r="B988" s="33">
        <v>44706</v>
      </c>
      <c r="C988" s="32">
        <v>2022</v>
      </c>
      <c r="D988" s="34" t="s">
        <v>4018</v>
      </c>
      <c r="E988" s="35" t="s">
        <v>4019</v>
      </c>
      <c r="F988" s="35"/>
      <c r="G988" s="34"/>
      <c r="H988" s="35"/>
      <c r="I988" s="35" t="s">
        <v>1038</v>
      </c>
      <c r="J988" s="35" t="s">
        <v>1006</v>
      </c>
      <c r="K988" s="35" t="s">
        <v>1007</v>
      </c>
      <c r="L988" s="35" t="s">
        <v>1342</v>
      </c>
      <c r="M988" s="35" t="s">
        <v>515</v>
      </c>
      <c r="N988" s="35" t="s">
        <v>977</v>
      </c>
      <c r="O988" s="36">
        <v>7</v>
      </c>
      <c r="P988" s="35" t="s">
        <v>37</v>
      </c>
      <c r="Q988" s="35"/>
      <c r="R988" s="35" t="s">
        <v>4020</v>
      </c>
    </row>
    <row r="989" spans="1:18" ht="36">
      <c r="A989" s="32">
        <v>53</v>
      </c>
      <c r="B989" s="33">
        <v>44706</v>
      </c>
      <c r="C989" s="32">
        <v>2022</v>
      </c>
      <c r="D989" s="34" t="s">
        <v>4021</v>
      </c>
      <c r="E989" s="35" t="s">
        <v>4022</v>
      </c>
      <c r="F989" s="35" t="s">
        <v>893</v>
      </c>
      <c r="G989" s="34" t="s">
        <v>904</v>
      </c>
      <c r="H989" s="35" t="s">
        <v>879</v>
      </c>
      <c r="I989" s="35" t="s">
        <v>1317</v>
      </c>
      <c r="J989" s="35" t="s">
        <v>1291</v>
      </c>
      <c r="K989" s="35" t="s">
        <v>897</v>
      </c>
      <c r="L989" s="35" t="s">
        <v>972</v>
      </c>
      <c r="M989" s="35" t="s">
        <v>512</v>
      </c>
      <c r="N989" s="35" t="s">
        <v>977</v>
      </c>
      <c r="O989" s="36">
        <v>5</v>
      </c>
      <c r="P989" s="35" t="s">
        <v>37</v>
      </c>
      <c r="Q989" s="35"/>
      <c r="R989" s="35" t="s">
        <v>4023</v>
      </c>
    </row>
    <row r="990" spans="1:18">
      <c r="A990" s="32">
        <v>50</v>
      </c>
      <c r="B990" s="33">
        <v>44691</v>
      </c>
      <c r="C990" s="32">
        <v>2022</v>
      </c>
      <c r="D990" s="34" t="s">
        <v>4024</v>
      </c>
      <c r="E990" s="35" t="s">
        <v>4025</v>
      </c>
      <c r="F990" s="35" t="s">
        <v>923</v>
      </c>
      <c r="G990" s="34"/>
      <c r="H990" s="35" t="s">
        <v>890</v>
      </c>
      <c r="I990" s="35" t="s">
        <v>965</v>
      </c>
      <c r="J990" s="35" t="s">
        <v>1291</v>
      </c>
      <c r="K990" s="35" t="s">
        <v>897</v>
      </c>
      <c r="L990" s="35" t="s">
        <v>1008</v>
      </c>
      <c r="M990" s="35" t="s">
        <v>526</v>
      </c>
      <c r="N990" s="35" t="s">
        <v>968</v>
      </c>
      <c r="O990" s="36">
        <v>12</v>
      </c>
      <c r="P990" s="35" t="s">
        <v>37</v>
      </c>
      <c r="Q990" s="35"/>
      <c r="R990" s="35" t="s">
        <v>4026</v>
      </c>
    </row>
    <row r="991" spans="1:18">
      <c r="A991" s="32">
        <v>40</v>
      </c>
      <c r="B991" s="33">
        <v>44686</v>
      </c>
      <c r="C991" s="32">
        <v>2022</v>
      </c>
      <c r="D991" s="34" t="s">
        <v>4027</v>
      </c>
      <c r="E991" s="35" t="s">
        <v>4028</v>
      </c>
      <c r="F991" s="35" t="s">
        <v>894</v>
      </c>
      <c r="G991" s="34"/>
      <c r="H991" s="35" t="s">
        <v>895</v>
      </c>
      <c r="I991" s="35" t="s">
        <v>965</v>
      </c>
      <c r="J991" s="35" t="s">
        <v>1110</v>
      </c>
      <c r="K991" s="35" t="s">
        <v>888</v>
      </c>
      <c r="L991" s="35" t="s">
        <v>976</v>
      </c>
      <c r="M991" s="35" t="s">
        <v>522</v>
      </c>
      <c r="N991" s="35" t="s">
        <v>977</v>
      </c>
      <c r="O991" s="36">
        <v>68</v>
      </c>
      <c r="P991" s="35" t="s">
        <v>37</v>
      </c>
      <c r="Q991" s="35"/>
      <c r="R991" s="35" t="s">
        <v>4029</v>
      </c>
    </row>
    <row r="992" spans="1:18" ht="24">
      <c r="A992" s="32">
        <v>135</v>
      </c>
      <c r="B992" s="33">
        <v>44680</v>
      </c>
      <c r="C992" s="32">
        <v>2022</v>
      </c>
      <c r="D992" s="34" t="s">
        <v>4030</v>
      </c>
      <c r="E992" s="35" t="s">
        <v>4031</v>
      </c>
      <c r="F992" s="35"/>
      <c r="G992" s="34"/>
      <c r="H992" s="35"/>
      <c r="I992" s="35" t="s">
        <v>1038</v>
      </c>
      <c r="J992" s="35" t="s">
        <v>1006</v>
      </c>
      <c r="K992" s="35" t="s">
        <v>1007</v>
      </c>
      <c r="L992" s="35" t="s">
        <v>1008</v>
      </c>
      <c r="M992" s="35" t="s">
        <v>526</v>
      </c>
      <c r="N992" s="35" t="s">
        <v>977</v>
      </c>
      <c r="O992" s="36">
        <v>2</v>
      </c>
      <c r="P992" s="35" t="s">
        <v>37</v>
      </c>
      <c r="Q992" s="35"/>
      <c r="R992" s="35" t="s">
        <v>4032</v>
      </c>
    </row>
    <row r="993" spans="1:18">
      <c r="A993" s="32">
        <v>33</v>
      </c>
      <c r="B993" s="33">
        <v>44680</v>
      </c>
      <c r="C993" s="32">
        <v>2022</v>
      </c>
      <c r="D993" s="34" t="s">
        <v>4033</v>
      </c>
      <c r="E993" s="35" t="s">
        <v>4034</v>
      </c>
      <c r="F993" s="35"/>
      <c r="G993" s="34"/>
      <c r="H993" s="35"/>
      <c r="I993" s="35" t="s">
        <v>1038</v>
      </c>
      <c r="J993" s="35" t="s">
        <v>1006</v>
      </c>
      <c r="K993" s="35" t="s">
        <v>1007</v>
      </c>
      <c r="L993" s="35" t="s">
        <v>1139</v>
      </c>
      <c r="M993" s="35" t="s">
        <v>519</v>
      </c>
      <c r="N993" s="35" t="s">
        <v>977</v>
      </c>
      <c r="O993" s="36">
        <v>11</v>
      </c>
      <c r="P993" s="35" t="s">
        <v>37</v>
      </c>
      <c r="Q993" s="35"/>
      <c r="R993" s="35" t="s">
        <v>4035</v>
      </c>
    </row>
    <row r="994" spans="1:18" ht="24">
      <c r="A994" s="32">
        <v>29</v>
      </c>
      <c r="B994" s="33">
        <v>44677</v>
      </c>
      <c r="C994" s="32">
        <v>2022</v>
      </c>
      <c r="D994" s="34" t="s">
        <v>4036</v>
      </c>
      <c r="E994" s="35" t="s">
        <v>4037</v>
      </c>
      <c r="F994" s="35" t="s">
        <v>878</v>
      </c>
      <c r="G994" s="34"/>
      <c r="H994" s="35" t="s">
        <v>879</v>
      </c>
      <c r="I994" s="35" t="s">
        <v>965</v>
      </c>
      <c r="J994" s="35" t="s">
        <v>1110</v>
      </c>
      <c r="K994" s="35" t="s">
        <v>888</v>
      </c>
      <c r="L994" s="35" t="s">
        <v>1008</v>
      </c>
      <c r="M994" s="35" t="s">
        <v>526</v>
      </c>
      <c r="N994" s="35" t="s">
        <v>977</v>
      </c>
      <c r="O994" s="36">
        <v>12</v>
      </c>
      <c r="P994" s="35" t="s">
        <v>37</v>
      </c>
      <c r="Q994" s="35"/>
      <c r="R994" s="35" t="s">
        <v>4038</v>
      </c>
    </row>
    <row r="995" spans="1:18" ht="24">
      <c r="A995" s="32">
        <v>28</v>
      </c>
      <c r="B995" s="33">
        <v>44675</v>
      </c>
      <c r="C995" s="32">
        <v>2022</v>
      </c>
      <c r="D995" s="34" t="s">
        <v>4039</v>
      </c>
      <c r="E995" s="35" t="s">
        <v>4040</v>
      </c>
      <c r="F995" s="35" t="s">
        <v>927</v>
      </c>
      <c r="G995" s="34"/>
      <c r="H995" s="35" t="s">
        <v>886</v>
      </c>
      <c r="I995" s="35" t="s">
        <v>965</v>
      </c>
      <c r="J995" s="35" t="s">
        <v>1110</v>
      </c>
      <c r="K995" s="35" t="s">
        <v>888</v>
      </c>
      <c r="L995" s="35" t="s">
        <v>976</v>
      </c>
      <c r="M995" s="35" t="s">
        <v>522</v>
      </c>
      <c r="N995" s="35" t="s">
        <v>977</v>
      </c>
      <c r="O995" s="36">
        <v>3</v>
      </c>
      <c r="P995" s="35" t="s">
        <v>37</v>
      </c>
      <c r="Q995" s="35"/>
      <c r="R995" s="35" t="s">
        <v>4041</v>
      </c>
    </row>
    <row r="996" spans="1:18" ht="24">
      <c r="A996" s="32">
        <v>134</v>
      </c>
      <c r="B996" s="33">
        <v>44675</v>
      </c>
      <c r="C996" s="32">
        <v>2022</v>
      </c>
      <c r="D996" s="34" t="s">
        <v>4042</v>
      </c>
      <c r="E996" s="35" t="s">
        <v>4043</v>
      </c>
      <c r="F996" s="35" t="s">
        <v>907</v>
      </c>
      <c r="G996" s="34"/>
      <c r="H996" s="35" t="s">
        <v>879</v>
      </c>
      <c r="I996" s="35" t="s">
        <v>965</v>
      </c>
      <c r="J996" s="35" t="s">
        <v>1110</v>
      </c>
      <c r="K996" s="35" t="s">
        <v>888</v>
      </c>
      <c r="L996" s="35" t="s">
        <v>1008</v>
      </c>
      <c r="M996" s="35" t="s">
        <v>526</v>
      </c>
      <c r="N996" s="35" t="s">
        <v>977</v>
      </c>
      <c r="O996" s="36">
        <v>28</v>
      </c>
      <c r="P996" s="35" t="s">
        <v>37</v>
      </c>
      <c r="Q996" s="35"/>
      <c r="R996" s="35" t="s">
        <v>4044</v>
      </c>
    </row>
    <row r="997" spans="1:18" ht="24">
      <c r="A997" s="32">
        <v>41</v>
      </c>
      <c r="B997" s="33">
        <v>44671</v>
      </c>
      <c r="C997" s="32">
        <v>2022</v>
      </c>
      <c r="D997" s="34" t="s">
        <v>4045</v>
      </c>
      <c r="E997" s="35" t="s">
        <v>4046</v>
      </c>
      <c r="F997" s="35" t="s">
        <v>878</v>
      </c>
      <c r="G997" s="34"/>
      <c r="H997" s="35" t="s">
        <v>879</v>
      </c>
      <c r="I997" s="35" t="s">
        <v>965</v>
      </c>
      <c r="J997" s="35" t="s">
        <v>1110</v>
      </c>
      <c r="K997" s="35" t="s">
        <v>888</v>
      </c>
      <c r="L997" s="35" t="s">
        <v>976</v>
      </c>
      <c r="M997" s="35" t="s">
        <v>522</v>
      </c>
      <c r="N997" s="35" t="s">
        <v>977</v>
      </c>
      <c r="O997" s="36">
        <v>21</v>
      </c>
      <c r="P997" s="35" t="s">
        <v>37</v>
      </c>
      <c r="Q997" s="35"/>
      <c r="R997" s="35" t="s">
        <v>4047</v>
      </c>
    </row>
    <row r="998" spans="1:18" ht="24">
      <c r="A998" s="32">
        <v>32</v>
      </c>
      <c r="B998" s="33">
        <v>44668</v>
      </c>
      <c r="C998" s="32">
        <v>2022</v>
      </c>
      <c r="D998" s="34" t="s">
        <v>4048</v>
      </c>
      <c r="E998" s="35" t="s">
        <v>4049</v>
      </c>
      <c r="F998" s="35" t="s">
        <v>882</v>
      </c>
      <c r="G998" s="34"/>
      <c r="H998" s="35" t="s">
        <v>883</v>
      </c>
      <c r="I998" s="35" t="s">
        <v>965</v>
      </c>
      <c r="J998" s="35" t="s">
        <v>1110</v>
      </c>
      <c r="K998" s="35" t="s">
        <v>888</v>
      </c>
      <c r="L998" s="35" t="s">
        <v>976</v>
      </c>
      <c r="M998" s="35" t="s">
        <v>522</v>
      </c>
      <c r="N998" s="35" t="s">
        <v>977</v>
      </c>
      <c r="O998" s="36">
        <v>6</v>
      </c>
      <c r="P998" s="35" t="s">
        <v>37</v>
      </c>
      <c r="Q998" s="35"/>
      <c r="R998" s="35" t="s">
        <v>4050</v>
      </c>
    </row>
    <row r="999" spans="1:18">
      <c r="A999" s="32">
        <v>18</v>
      </c>
      <c r="B999" s="33">
        <v>44668</v>
      </c>
      <c r="C999" s="32">
        <v>2022</v>
      </c>
      <c r="D999" s="34" t="s">
        <v>4051</v>
      </c>
      <c r="E999" s="35" t="s">
        <v>4052</v>
      </c>
      <c r="F999" s="35" t="s">
        <v>889</v>
      </c>
      <c r="G999" s="34"/>
      <c r="H999" s="35" t="s">
        <v>890</v>
      </c>
      <c r="I999" s="35" t="s">
        <v>965</v>
      </c>
      <c r="J999" s="35" t="s">
        <v>1110</v>
      </c>
      <c r="K999" s="35" t="s">
        <v>888</v>
      </c>
      <c r="L999" s="35" t="s">
        <v>1070</v>
      </c>
      <c r="M999" s="35" t="s">
        <v>536</v>
      </c>
      <c r="N999" s="35" t="s">
        <v>977</v>
      </c>
      <c r="O999" s="36">
        <v>22</v>
      </c>
      <c r="P999" s="35" t="s">
        <v>37</v>
      </c>
      <c r="Q999" s="35"/>
      <c r="R999" s="35" t="s">
        <v>4053</v>
      </c>
    </row>
    <row r="1000" spans="1:18" ht="24">
      <c r="A1000" s="32">
        <v>133</v>
      </c>
      <c r="B1000" s="33">
        <v>44668</v>
      </c>
      <c r="C1000" s="32">
        <v>2022</v>
      </c>
      <c r="D1000" s="34" t="s">
        <v>4048</v>
      </c>
      <c r="E1000" s="35" t="s">
        <v>4054</v>
      </c>
      <c r="F1000" s="35" t="s">
        <v>882</v>
      </c>
      <c r="G1000" s="34"/>
      <c r="H1000" s="35" t="s">
        <v>883</v>
      </c>
      <c r="I1000" s="35" t="s">
        <v>965</v>
      </c>
      <c r="J1000" s="35" t="s">
        <v>1110</v>
      </c>
      <c r="K1000" s="35" t="s">
        <v>888</v>
      </c>
      <c r="L1000" s="35" t="s">
        <v>1139</v>
      </c>
      <c r="M1000" s="35" t="s">
        <v>519</v>
      </c>
      <c r="N1000" s="35" t="s">
        <v>977</v>
      </c>
      <c r="O1000" s="36">
        <v>12</v>
      </c>
      <c r="P1000" s="35" t="s">
        <v>37</v>
      </c>
      <c r="Q1000" s="35"/>
      <c r="R1000" s="35" t="s">
        <v>4055</v>
      </c>
    </row>
    <row r="1001" spans="1:18">
      <c r="A1001" s="32">
        <v>15</v>
      </c>
      <c r="B1001" s="33">
        <v>44667</v>
      </c>
      <c r="C1001" s="32">
        <v>2022</v>
      </c>
      <c r="D1001" s="34" t="s">
        <v>4056</v>
      </c>
      <c r="E1001" s="35" t="s">
        <v>4057</v>
      </c>
      <c r="F1001" s="35"/>
      <c r="G1001" s="34"/>
      <c r="H1001" s="35"/>
      <c r="I1001" s="35" t="s">
        <v>1038</v>
      </c>
      <c r="J1001" s="35" t="s">
        <v>1006</v>
      </c>
      <c r="K1001" s="35" t="s">
        <v>1007</v>
      </c>
      <c r="L1001" s="35" t="s">
        <v>1008</v>
      </c>
      <c r="M1001" s="35" t="s">
        <v>526</v>
      </c>
      <c r="N1001" s="35" t="s">
        <v>968</v>
      </c>
      <c r="O1001" s="36">
        <v>13</v>
      </c>
      <c r="P1001" s="35" t="s">
        <v>37</v>
      </c>
      <c r="Q1001" s="35"/>
      <c r="R1001" s="35" t="s">
        <v>4058</v>
      </c>
    </row>
    <row r="1002" spans="1:18">
      <c r="A1002" s="32">
        <v>8</v>
      </c>
      <c r="B1002" s="33">
        <v>44666</v>
      </c>
      <c r="C1002" s="32">
        <v>2022</v>
      </c>
      <c r="D1002" s="34" t="s">
        <v>4059</v>
      </c>
      <c r="E1002" s="35" t="s">
        <v>4060</v>
      </c>
      <c r="F1002" s="35"/>
      <c r="G1002" s="34"/>
      <c r="H1002" s="35"/>
      <c r="I1002" s="35" t="s">
        <v>1038</v>
      </c>
      <c r="J1002" s="35" t="s">
        <v>1006</v>
      </c>
      <c r="K1002" s="35" t="s">
        <v>1007</v>
      </c>
      <c r="L1002" s="35" t="s">
        <v>1840</v>
      </c>
      <c r="M1002" s="35" t="s">
        <v>512</v>
      </c>
      <c r="N1002" s="35" t="s">
        <v>977</v>
      </c>
      <c r="O1002" s="36">
        <v>8</v>
      </c>
      <c r="P1002" s="35" t="s">
        <v>37</v>
      </c>
      <c r="Q1002" s="35"/>
      <c r="R1002" s="35" t="s">
        <v>4061</v>
      </c>
    </row>
    <row r="1003" spans="1:18">
      <c r="A1003" s="32">
        <v>7</v>
      </c>
      <c r="B1003" s="33">
        <v>44666</v>
      </c>
      <c r="C1003" s="32">
        <v>2022</v>
      </c>
      <c r="D1003" s="34" t="s">
        <v>4062</v>
      </c>
      <c r="E1003" s="35" t="s">
        <v>4063</v>
      </c>
      <c r="F1003" s="35"/>
      <c r="G1003" s="34"/>
      <c r="H1003" s="35"/>
      <c r="I1003" s="35" t="s">
        <v>1038</v>
      </c>
      <c r="J1003" s="35" t="s">
        <v>1006</v>
      </c>
      <c r="K1003" s="35" t="s">
        <v>1007</v>
      </c>
      <c r="L1003" s="35" t="s">
        <v>1840</v>
      </c>
      <c r="M1003" s="35" t="s">
        <v>512</v>
      </c>
      <c r="N1003" s="35" t="s">
        <v>968</v>
      </c>
      <c r="O1003" s="36">
        <v>7</v>
      </c>
      <c r="P1003" s="35" t="s">
        <v>37</v>
      </c>
      <c r="Q1003" s="35"/>
      <c r="R1003" s="35" t="s">
        <v>4064</v>
      </c>
    </row>
    <row r="1004" spans="1:18" ht="24">
      <c r="A1004" s="32">
        <v>10</v>
      </c>
      <c r="B1004" s="33">
        <v>44655</v>
      </c>
      <c r="C1004" s="32">
        <v>2022</v>
      </c>
      <c r="D1004" s="34" t="s">
        <v>4065</v>
      </c>
      <c r="E1004" s="35" t="s">
        <v>4066</v>
      </c>
      <c r="F1004" s="35" t="s">
        <v>885</v>
      </c>
      <c r="G1004" s="34"/>
      <c r="H1004" s="35" t="s">
        <v>886</v>
      </c>
      <c r="I1004" s="35" t="s">
        <v>965</v>
      </c>
      <c r="J1004" s="35" t="s">
        <v>1110</v>
      </c>
      <c r="K1004" s="35" t="s">
        <v>888</v>
      </c>
      <c r="L1004" s="35" t="s">
        <v>972</v>
      </c>
      <c r="M1004" s="35" t="s">
        <v>512</v>
      </c>
      <c r="N1004" s="35" t="s">
        <v>968</v>
      </c>
      <c r="O1004" s="36">
        <v>18</v>
      </c>
      <c r="P1004" s="35" t="s">
        <v>37</v>
      </c>
      <c r="Q1004" s="35"/>
      <c r="R1004" s="35" t="s">
        <v>4067</v>
      </c>
    </row>
    <row r="1005" spans="1:18" ht="24">
      <c r="A1005" s="32">
        <v>128</v>
      </c>
      <c r="B1005" s="33">
        <v>44655</v>
      </c>
      <c r="C1005" s="32">
        <v>2022</v>
      </c>
      <c r="D1005" s="34" t="s">
        <v>4068</v>
      </c>
      <c r="E1005" s="35" t="s">
        <v>4069</v>
      </c>
      <c r="F1005" s="35" t="s">
        <v>878</v>
      </c>
      <c r="G1005" s="34"/>
      <c r="H1005" s="35" t="s">
        <v>879</v>
      </c>
      <c r="I1005" s="35" t="s">
        <v>965</v>
      </c>
      <c r="J1005" s="35" t="s">
        <v>1110</v>
      </c>
      <c r="K1005" s="35" t="s">
        <v>888</v>
      </c>
      <c r="L1005" s="35" t="s">
        <v>4070</v>
      </c>
      <c r="M1005" s="35" t="s">
        <v>512</v>
      </c>
      <c r="N1005" s="35" t="s">
        <v>977</v>
      </c>
      <c r="O1005" s="36">
        <v>19</v>
      </c>
      <c r="P1005" s="35" t="s">
        <v>37</v>
      </c>
      <c r="Q1005" s="35"/>
      <c r="R1005" s="35" t="s">
        <v>4071</v>
      </c>
    </row>
    <row r="1006" spans="1:18">
      <c r="A1006" s="32">
        <v>1</v>
      </c>
      <c r="B1006" s="33">
        <v>44647</v>
      </c>
      <c r="C1006" s="32">
        <v>2022</v>
      </c>
      <c r="D1006" s="34" t="s">
        <v>4072</v>
      </c>
      <c r="E1006" s="35" t="s">
        <v>4073</v>
      </c>
      <c r="F1006" s="35" t="s">
        <v>882</v>
      </c>
      <c r="G1006" s="34"/>
      <c r="H1006" s="35" t="s">
        <v>883</v>
      </c>
      <c r="I1006" s="35" t="s">
        <v>965</v>
      </c>
      <c r="J1006" s="35" t="s">
        <v>1110</v>
      </c>
      <c r="K1006" s="35" t="s">
        <v>888</v>
      </c>
      <c r="L1006" s="35" t="s">
        <v>976</v>
      </c>
      <c r="M1006" s="35" t="s">
        <v>522</v>
      </c>
      <c r="N1006" s="35" t="s">
        <v>977</v>
      </c>
      <c r="O1006" s="36">
        <v>5</v>
      </c>
      <c r="P1006" s="35" t="s">
        <v>37</v>
      </c>
      <c r="Q1006" s="35"/>
      <c r="R1006" s="35" t="s">
        <v>4074</v>
      </c>
    </row>
    <row r="1007" spans="1:18" ht="36">
      <c r="A1007" s="32">
        <v>2</v>
      </c>
      <c r="B1007" s="33">
        <v>44646</v>
      </c>
      <c r="C1007" s="32">
        <v>2022</v>
      </c>
      <c r="D1007" s="34" t="s">
        <v>4075</v>
      </c>
      <c r="E1007" s="35" t="s">
        <v>4076</v>
      </c>
      <c r="F1007" s="35" t="s">
        <v>887</v>
      </c>
      <c r="G1007" s="34" t="s">
        <v>4077</v>
      </c>
      <c r="H1007" s="35" t="s">
        <v>883</v>
      </c>
      <c r="I1007" s="35" t="s">
        <v>1317</v>
      </c>
      <c r="J1007" s="35" t="s">
        <v>1291</v>
      </c>
      <c r="K1007" s="35" t="s">
        <v>897</v>
      </c>
      <c r="L1007" s="35" t="s">
        <v>976</v>
      </c>
      <c r="M1007" s="35" t="s">
        <v>522</v>
      </c>
      <c r="N1007" s="35" t="s">
        <v>968</v>
      </c>
      <c r="O1007" s="36">
        <v>12</v>
      </c>
      <c r="P1007" s="35" t="s">
        <v>37</v>
      </c>
      <c r="Q1007" s="35"/>
      <c r="R1007" s="35" t="s">
        <v>4078</v>
      </c>
    </row>
    <row r="1008" spans="1:18">
      <c r="A1008" s="32">
        <v>130</v>
      </c>
      <c r="B1008" s="33">
        <v>44645</v>
      </c>
      <c r="C1008" s="32">
        <v>2022</v>
      </c>
      <c r="D1008" s="34" t="s">
        <v>4079</v>
      </c>
      <c r="E1008" s="35" t="s">
        <v>4080</v>
      </c>
      <c r="F1008" s="35" t="s">
        <v>878</v>
      </c>
      <c r="G1008" s="34"/>
      <c r="H1008" s="35" t="s">
        <v>879</v>
      </c>
      <c r="I1008" s="35" t="s">
        <v>965</v>
      </c>
      <c r="J1008" s="35" t="s">
        <v>1110</v>
      </c>
      <c r="K1008" s="35" t="s">
        <v>888</v>
      </c>
      <c r="L1008" s="35" t="s">
        <v>976</v>
      </c>
      <c r="M1008" s="35" t="s">
        <v>522</v>
      </c>
      <c r="N1008" s="35" t="s">
        <v>968</v>
      </c>
      <c r="O1008" s="36">
        <v>9</v>
      </c>
      <c r="P1008" s="35" t="s">
        <v>37</v>
      </c>
      <c r="Q1008" s="35"/>
      <c r="R1008" s="35" t="s">
        <v>4081</v>
      </c>
    </row>
    <row r="1009" spans="1:18" ht="24">
      <c r="A1009" s="32">
        <v>4</v>
      </c>
      <c r="B1009" s="33">
        <v>44645</v>
      </c>
      <c r="C1009" s="32">
        <v>2022</v>
      </c>
      <c r="D1009" s="34" t="s">
        <v>4082</v>
      </c>
      <c r="E1009" s="35" t="s">
        <v>4083</v>
      </c>
      <c r="F1009" s="35" t="s">
        <v>884</v>
      </c>
      <c r="G1009" s="34"/>
      <c r="H1009" s="35" t="s">
        <v>883</v>
      </c>
      <c r="I1009" s="35" t="s">
        <v>965</v>
      </c>
      <c r="J1009" s="35" t="s">
        <v>1110</v>
      </c>
      <c r="K1009" s="35" t="s">
        <v>888</v>
      </c>
      <c r="L1009" s="35" t="s">
        <v>1008</v>
      </c>
      <c r="M1009" s="35" t="s">
        <v>526</v>
      </c>
      <c r="N1009" s="35" t="s">
        <v>977</v>
      </c>
      <c r="O1009" s="36">
        <v>10</v>
      </c>
      <c r="P1009" s="35" t="s">
        <v>37</v>
      </c>
      <c r="Q1009" s="35"/>
      <c r="R1009" s="35" t="s">
        <v>4084</v>
      </c>
    </row>
    <row r="1010" spans="1:18" ht="36">
      <c r="A1010" s="32">
        <v>129</v>
      </c>
      <c r="B1010" s="33">
        <v>44644</v>
      </c>
      <c r="C1010" s="32">
        <v>2022</v>
      </c>
      <c r="D1010" s="34" t="s">
        <v>4085</v>
      </c>
      <c r="E1010" s="35" t="s">
        <v>4086</v>
      </c>
      <c r="F1010" s="35"/>
      <c r="G1010" s="34"/>
      <c r="H1010" s="35" t="s">
        <v>879</v>
      </c>
      <c r="I1010" s="35" t="s">
        <v>1134</v>
      </c>
      <c r="J1010" s="35" t="s">
        <v>1135</v>
      </c>
      <c r="K1010" s="35" t="s">
        <v>888</v>
      </c>
      <c r="L1010" s="35" t="s">
        <v>976</v>
      </c>
      <c r="M1010" s="35" t="s">
        <v>522</v>
      </c>
      <c r="N1010" s="35" t="s">
        <v>968</v>
      </c>
      <c r="O1010" s="36">
        <v>5</v>
      </c>
      <c r="P1010" s="35" t="s">
        <v>37</v>
      </c>
      <c r="Q1010" s="35"/>
      <c r="R1010" s="35" t="s">
        <v>4087</v>
      </c>
    </row>
    <row r="1011" spans="1:18">
      <c r="A1011" s="32">
        <v>3</v>
      </c>
      <c r="B1011" s="33">
        <v>44643</v>
      </c>
      <c r="C1011" s="32">
        <v>2022</v>
      </c>
      <c r="D1011" s="34" t="s">
        <v>4079</v>
      </c>
      <c r="E1011" s="35" t="s">
        <v>4088</v>
      </c>
      <c r="F1011" s="35" t="s">
        <v>878</v>
      </c>
      <c r="G1011" s="34"/>
      <c r="H1011" s="35" t="s">
        <v>879</v>
      </c>
      <c r="I1011" s="35" t="s">
        <v>965</v>
      </c>
      <c r="J1011" s="35" t="s">
        <v>1110</v>
      </c>
      <c r="K1011" s="35" t="s">
        <v>888</v>
      </c>
      <c r="L1011" s="35" t="s">
        <v>1008</v>
      </c>
      <c r="M1011" s="35" t="s">
        <v>526</v>
      </c>
      <c r="N1011" s="35" t="s">
        <v>968</v>
      </c>
      <c r="O1011" s="36">
        <v>3</v>
      </c>
      <c r="P1011" s="35" t="s">
        <v>37</v>
      </c>
      <c r="Q1011" s="35"/>
      <c r="R1011" s="35" t="s">
        <v>4089</v>
      </c>
    </row>
    <row r="1012" spans="1:18" ht="24">
      <c r="A1012" s="32">
        <v>30</v>
      </c>
      <c r="B1012" s="33">
        <v>44642</v>
      </c>
      <c r="C1012" s="32">
        <v>2022</v>
      </c>
      <c r="D1012" s="34" t="s">
        <v>4090</v>
      </c>
      <c r="E1012" s="35" t="s">
        <v>4091</v>
      </c>
      <c r="F1012" s="35" t="s">
        <v>885</v>
      </c>
      <c r="G1012" s="34"/>
      <c r="H1012" s="35" t="s">
        <v>886</v>
      </c>
      <c r="I1012" s="35" t="s">
        <v>965</v>
      </c>
      <c r="J1012" s="35" t="s">
        <v>1291</v>
      </c>
      <c r="K1012" s="35" t="s">
        <v>897</v>
      </c>
      <c r="L1012" s="35" t="s">
        <v>1034</v>
      </c>
      <c r="M1012" s="35" t="s">
        <v>515</v>
      </c>
      <c r="N1012" s="35" t="s">
        <v>968</v>
      </c>
      <c r="O1012" s="36">
        <v>19</v>
      </c>
      <c r="P1012" s="35" t="s">
        <v>37</v>
      </c>
      <c r="Q1012" s="35"/>
      <c r="R1012" s="35" t="s">
        <v>4092</v>
      </c>
    </row>
    <row r="1013" spans="1:18" ht="24">
      <c r="A1013" s="32">
        <v>12</v>
      </c>
      <c r="B1013" s="33">
        <v>44642</v>
      </c>
      <c r="C1013" s="32">
        <v>2022</v>
      </c>
      <c r="D1013" s="34" t="s">
        <v>4093</v>
      </c>
      <c r="E1013" s="35" t="s">
        <v>4094</v>
      </c>
      <c r="F1013" s="35"/>
      <c r="G1013" s="34"/>
      <c r="H1013" s="35"/>
      <c r="I1013" s="35" t="s">
        <v>1005</v>
      </c>
      <c r="J1013" s="35" t="s">
        <v>1021</v>
      </c>
      <c r="K1013" s="35" t="s">
        <v>888</v>
      </c>
      <c r="L1013" s="35" t="s">
        <v>1139</v>
      </c>
      <c r="M1013" s="35" t="s">
        <v>519</v>
      </c>
      <c r="N1013" s="35" t="s">
        <v>977</v>
      </c>
      <c r="O1013" s="36">
        <v>14</v>
      </c>
      <c r="P1013" s="35" t="s">
        <v>37</v>
      </c>
      <c r="Q1013" s="35"/>
      <c r="R1013" s="35" t="s">
        <v>4095</v>
      </c>
    </row>
    <row r="1014" spans="1:18" ht="24">
      <c r="A1014" s="32">
        <v>20</v>
      </c>
      <c r="B1014" s="33">
        <v>44636</v>
      </c>
      <c r="C1014" s="32">
        <v>2022</v>
      </c>
      <c r="D1014" s="34" t="s">
        <v>4096</v>
      </c>
      <c r="E1014" s="35" t="s">
        <v>4097</v>
      </c>
      <c r="F1014" s="35"/>
      <c r="G1014" s="34"/>
      <c r="H1014" s="35"/>
      <c r="I1014" s="35" t="s">
        <v>1038</v>
      </c>
      <c r="J1014" s="35" t="s">
        <v>1006</v>
      </c>
      <c r="K1014" s="35" t="s">
        <v>1007</v>
      </c>
      <c r="L1014" s="35" t="s">
        <v>1342</v>
      </c>
      <c r="M1014" s="35" t="s">
        <v>515</v>
      </c>
      <c r="N1014" s="35" t="s">
        <v>977</v>
      </c>
      <c r="O1014" s="36">
        <v>8</v>
      </c>
      <c r="P1014" s="35" t="s">
        <v>37</v>
      </c>
      <c r="Q1014" s="35"/>
      <c r="R1014" s="35" t="s">
        <v>4098</v>
      </c>
    </row>
    <row r="1015" spans="1:18" ht="36">
      <c r="A1015" s="32">
        <v>31</v>
      </c>
      <c r="B1015" s="33">
        <v>44600</v>
      </c>
      <c r="C1015" s="32">
        <v>2022</v>
      </c>
      <c r="D1015" s="34" t="s">
        <v>4099</v>
      </c>
      <c r="E1015" s="35" t="s">
        <v>4100</v>
      </c>
      <c r="F1015" s="35" t="s">
        <v>878</v>
      </c>
      <c r="G1015" s="34"/>
      <c r="H1015" s="35" t="s">
        <v>879</v>
      </c>
      <c r="I1015" s="35" t="s">
        <v>965</v>
      </c>
      <c r="J1015" s="35" t="s">
        <v>1110</v>
      </c>
      <c r="K1015" s="35" t="s">
        <v>888</v>
      </c>
      <c r="L1015" s="35" t="s">
        <v>1034</v>
      </c>
      <c r="M1015" s="35" t="s">
        <v>515</v>
      </c>
      <c r="N1015" s="35" t="s">
        <v>977</v>
      </c>
      <c r="O1015" s="36">
        <v>9</v>
      </c>
      <c r="P1015" s="35" t="s">
        <v>37</v>
      </c>
      <c r="Q1015" s="35"/>
      <c r="R1015" s="35" t="s">
        <v>4101</v>
      </c>
    </row>
    <row r="1016" spans="1:18">
      <c r="A1016" s="32">
        <v>16</v>
      </c>
      <c r="B1016" s="33">
        <v>44589</v>
      </c>
      <c r="C1016" s="32">
        <v>2022</v>
      </c>
      <c r="D1016" s="34" t="s">
        <v>4102</v>
      </c>
      <c r="E1016" s="35" t="s">
        <v>4103</v>
      </c>
      <c r="F1016" s="35" t="s">
        <v>878</v>
      </c>
      <c r="G1016" s="34"/>
      <c r="H1016" s="35" t="s">
        <v>879</v>
      </c>
      <c r="I1016" s="35" t="s">
        <v>965</v>
      </c>
      <c r="J1016" s="35" t="s">
        <v>1291</v>
      </c>
      <c r="K1016" s="35" t="s">
        <v>897</v>
      </c>
      <c r="L1016" s="35" t="s">
        <v>1840</v>
      </c>
      <c r="M1016" s="35" t="s">
        <v>512</v>
      </c>
      <c r="N1016" s="35" t="s">
        <v>977</v>
      </c>
      <c r="O1016" s="36">
        <v>13</v>
      </c>
      <c r="P1016" s="35" t="s">
        <v>37</v>
      </c>
      <c r="Q1016" s="35"/>
      <c r="R1016" s="35" t="s">
        <v>4104</v>
      </c>
    </row>
    <row r="1017" spans="1:18">
      <c r="A1017" s="32">
        <v>45</v>
      </c>
      <c r="B1017" s="33">
        <v>44583</v>
      </c>
      <c r="C1017" s="32">
        <v>2022</v>
      </c>
      <c r="D1017" s="34" t="s">
        <v>4105</v>
      </c>
      <c r="E1017" s="35" t="s">
        <v>4106</v>
      </c>
      <c r="F1017" s="35" t="s">
        <v>907</v>
      </c>
      <c r="G1017" s="34"/>
      <c r="H1017" s="35" t="s">
        <v>879</v>
      </c>
      <c r="I1017" s="35" t="s">
        <v>965</v>
      </c>
      <c r="J1017" s="35" t="s">
        <v>1110</v>
      </c>
      <c r="K1017" s="35" t="s">
        <v>888</v>
      </c>
      <c r="L1017" s="35" t="s">
        <v>1158</v>
      </c>
      <c r="M1017" s="35" t="s">
        <v>515</v>
      </c>
      <c r="N1017" s="35" t="s">
        <v>977</v>
      </c>
      <c r="O1017" s="36">
        <v>14</v>
      </c>
      <c r="P1017" s="35" t="s">
        <v>37</v>
      </c>
      <c r="Q1017" s="35"/>
      <c r="R1017" s="35" t="s">
        <v>4107</v>
      </c>
    </row>
    <row r="1018" spans="1:18" ht="24">
      <c r="A1018" s="32">
        <v>131</v>
      </c>
      <c r="B1018" s="33">
        <v>44577</v>
      </c>
      <c r="C1018" s="32">
        <v>2022</v>
      </c>
      <c r="D1018" s="34" t="s">
        <v>4108</v>
      </c>
      <c r="E1018" s="35" t="s">
        <v>4109</v>
      </c>
      <c r="F1018" s="35" t="s">
        <v>896</v>
      </c>
      <c r="G1018" s="34"/>
      <c r="H1018" s="35" t="s">
        <v>883</v>
      </c>
      <c r="I1018" s="35" t="s">
        <v>965</v>
      </c>
      <c r="J1018" s="35" t="s">
        <v>1110</v>
      </c>
      <c r="K1018" s="35" t="s">
        <v>888</v>
      </c>
      <c r="L1018" s="35" t="s">
        <v>1034</v>
      </c>
      <c r="M1018" s="35" t="s">
        <v>515</v>
      </c>
      <c r="N1018" s="35" t="s">
        <v>977</v>
      </c>
      <c r="O1018" s="36">
        <v>16</v>
      </c>
      <c r="P1018" s="35" t="s">
        <v>37</v>
      </c>
      <c r="Q1018" s="35"/>
      <c r="R1018" s="35" t="s">
        <v>4110</v>
      </c>
    </row>
    <row r="1019" spans="1:18">
      <c r="A1019" s="32">
        <v>21</v>
      </c>
      <c r="B1019" s="33">
        <v>44565</v>
      </c>
      <c r="C1019" s="32">
        <v>2022</v>
      </c>
      <c r="D1019" s="34" t="s">
        <v>4111</v>
      </c>
      <c r="E1019" s="35" t="s">
        <v>4112</v>
      </c>
      <c r="F1019" s="35"/>
      <c r="G1019" s="34"/>
      <c r="H1019" s="35"/>
      <c r="I1019" s="35" t="s">
        <v>1038</v>
      </c>
      <c r="J1019" s="35" t="s">
        <v>1006</v>
      </c>
      <c r="K1019" s="35" t="s">
        <v>1007</v>
      </c>
      <c r="L1019" s="35" t="s">
        <v>1070</v>
      </c>
      <c r="M1019" s="35" t="s">
        <v>536</v>
      </c>
      <c r="N1019" s="35" t="s">
        <v>977</v>
      </c>
      <c r="O1019" s="36">
        <v>3</v>
      </c>
      <c r="P1019" s="35" t="s">
        <v>37</v>
      </c>
      <c r="Q1019" s="35"/>
      <c r="R1019" s="35" t="s">
        <v>4113</v>
      </c>
    </row>
    <row r="1020" spans="1:18" ht="24">
      <c r="A1020" s="32">
        <v>505</v>
      </c>
      <c r="B1020" s="33">
        <v>44560</v>
      </c>
      <c r="C1020" s="32">
        <v>2021</v>
      </c>
      <c r="D1020" s="34" t="s">
        <v>4114</v>
      </c>
      <c r="E1020" s="35" t="s">
        <v>4115</v>
      </c>
      <c r="F1020" s="35" t="s">
        <v>878</v>
      </c>
      <c r="G1020" s="34"/>
      <c r="H1020" s="35" t="s">
        <v>879</v>
      </c>
      <c r="I1020" s="35" t="s">
        <v>965</v>
      </c>
      <c r="J1020" s="35" t="s">
        <v>1110</v>
      </c>
      <c r="K1020" s="35" t="s">
        <v>888</v>
      </c>
      <c r="L1020" s="35" t="s">
        <v>1034</v>
      </c>
      <c r="M1020" s="35" t="s">
        <v>515</v>
      </c>
      <c r="N1020" s="35" t="s">
        <v>977</v>
      </c>
      <c r="O1020" s="36">
        <v>1</v>
      </c>
      <c r="P1020" s="35" t="s">
        <v>37</v>
      </c>
      <c r="Q1020" s="35"/>
      <c r="R1020" s="35" t="s">
        <v>4116</v>
      </c>
    </row>
    <row r="1021" spans="1:18">
      <c r="A1021" s="32">
        <v>17</v>
      </c>
      <c r="B1021" s="33">
        <v>44556</v>
      </c>
      <c r="C1021" s="32">
        <v>2021</v>
      </c>
      <c r="D1021" s="34" t="s">
        <v>4117</v>
      </c>
      <c r="E1021" s="35" t="s">
        <v>4118</v>
      </c>
      <c r="F1021" s="35"/>
      <c r="G1021" s="34"/>
      <c r="H1021" s="35"/>
      <c r="I1021" s="35" t="s">
        <v>1038</v>
      </c>
      <c r="J1021" s="35" t="s">
        <v>1006</v>
      </c>
      <c r="K1021" s="35" t="s">
        <v>1007</v>
      </c>
      <c r="L1021" s="35" t="s">
        <v>1840</v>
      </c>
      <c r="M1021" s="35" t="s">
        <v>512</v>
      </c>
      <c r="N1021" s="35" t="s">
        <v>977</v>
      </c>
      <c r="O1021" s="36">
        <v>6</v>
      </c>
      <c r="P1021" s="35" t="s">
        <v>37</v>
      </c>
      <c r="Q1021" s="35"/>
      <c r="R1021" s="35" t="s">
        <v>4119</v>
      </c>
    </row>
    <row r="1022" spans="1:18" ht="36">
      <c r="A1022" s="32">
        <v>38</v>
      </c>
      <c r="B1022" s="33">
        <v>44543</v>
      </c>
      <c r="C1022" s="32">
        <v>2021</v>
      </c>
      <c r="D1022" s="34" t="s">
        <v>4120</v>
      </c>
      <c r="E1022" s="35" t="s">
        <v>4121</v>
      </c>
      <c r="F1022" s="35" t="s">
        <v>909</v>
      </c>
      <c r="G1022" s="34" t="s">
        <v>882</v>
      </c>
      <c r="H1022" s="35" t="s">
        <v>883</v>
      </c>
      <c r="I1022" s="35" t="s">
        <v>1317</v>
      </c>
      <c r="J1022" s="35" t="s">
        <v>1110</v>
      </c>
      <c r="K1022" s="35" t="s">
        <v>888</v>
      </c>
      <c r="L1022" s="35" t="s">
        <v>2729</v>
      </c>
      <c r="M1022" s="35" t="s">
        <v>533</v>
      </c>
      <c r="N1022" s="35" t="s">
        <v>977</v>
      </c>
      <c r="O1022" s="36">
        <v>6</v>
      </c>
      <c r="P1022" s="35" t="s">
        <v>37</v>
      </c>
      <c r="Q1022" s="35"/>
      <c r="R1022" s="35" t="s">
        <v>4122</v>
      </c>
    </row>
    <row r="1023" spans="1:18" ht="48">
      <c r="A1023" s="32">
        <v>37</v>
      </c>
      <c r="B1023" s="33">
        <v>44543</v>
      </c>
      <c r="C1023" s="32">
        <v>2021</v>
      </c>
      <c r="D1023" s="34" t="s">
        <v>4123</v>
      </c>
      <c r="E1023" s="35" t="s">
        <v>4124</v>
      </c>
      <c r="F1023" s="35" t="s">
        <v>909</v>
      </c>
      <c r="G1023" s="34" t="s">
        <v>882</v>
      </c>
      <c r="H1023" s="35" t="s">
        <v>883</v>
      </c>
      <c r="I1023" s="35" t="s">
        <v>1317</v>
      </c>
      <c r="J1023" s="35" t="s">
        <v>1110</v>
      </c>
      <c r="K1023" s="35" t="s">
        <v>888</v>
      </c>
      <c r="L1023" s="35" t="s">
        <v>2729</v>
      </c>
      <c r="M1023" s="35" t="s">
        <v>533</v>
      </c>
      <c r="N1023" s="35" t="s">
        <v>977</v>
      </c>
      <c r="O1023" s="36">
        <v>12</v>
      </c>
      <c r="P1023" s="35" t="s">
        <v>37</v>
      </c>
      <c r="Q1023" s="35"/>
      <c r="R1023" s="35" t="s">
        <v>4125</v>
      </c>
    </row>
    <row r="1024" spans="1:18">
      <c r="A1024" s="32">
        <v>835</v>
      </c>
      <c r="B1024" s="33">
        <v>44537</v>
      </c>
      <c r="C1024" s="32">
        <v>2021</v>
      </c>
      <c r="D1024" s="34" t="s">
        <v>4126</v>
      </c>
      <c r="E1024" s="35" t="s">
        <v>4127</v>
      </c>
      <c r="F1024" s="35" t="s">
        <v>878</v>
      </c>
      <c r="G1024" s="34"/>
      <c r="H1024" s="35" t="s">
        <v>879</v>
      </c>
      <c r="I1024" s="35" t="s">
        <v>965</v>
      </c>
      <c r="J1024" s="35" t="s">
        <v>1291</v>
      </c>
      <c r="K1024" s="35" t="s">
        <v>897</v>
      </c>
      <c r="L1024" s="35" t="s">
        <v>1342</v>
      </c>
      <c r="M1024" s="35" t="s">
        <v>515</v>
      </c>
      <c r="N1024" s="35" t="s">
        <v>977</v>
      </c>
      <c r="O1024" s="36">
        <v>6</v>
      </c>
      <c r="P1024" s="35" t="s">
        <v>392</v>
      </c>
      <c r="Q1024" s="35"/>
      <c r="R1024" s="35" t="s">
        <v>4128</v>
      </c>
    </row>
    <row r="1025" spans="1:18" ht="24">
      <c r="A1025" s="32">
        <v>839</v>
      </c>
      <c r="B1025" s="33">
        <v>44530</v>
      </c>
      <c r="C1025" s="32">
        <v>2021</v>
      </c>
      <c r="D1025" s="34" t="s">
        <v>4129</v>
      </c>
      <c r="E1025" s="35" t="s">
        <v>4130</v>
      </c>
      <c r="F1025" s="35"/>
      <c r="G1025" s="34"/>
      <c r="H1025" s="35"/>
      <c r="I1025" s="35" t="s">
        <v>1005</v>
      </c>
      <c r="J1025" s="35" t="s">
        <v>1021</v>
      </c>
      <c r="K1025" s="35" t="s">
        <v>888</v>
      </c>
      <c r="L1025" s="35" t="s">
        <v>1034</v>
      </c>
      <c r="M1025" s="35" t="s">
        <v>515</v>
      </c>
      <c r="N1025" s="35" t="s">
        <v>977</v>
      </c>
      <c r="O1025" s="36">
        <v>17</v>
      </c>
      <c r="P1025" s="35" t="s">
        <v>392</v>
      </c>
      <c r="Q1025" s="35"/>
      <c r="R1025" s="35" t="s">
        <v>4131</v>
      </c>
    </row>
    <row r="1026" spans="1:18" ht="24">
      <c r="A1026" s="32">
        <v>837</v>
      </c>
      <c r="B1026" s="33">
        <v>44527</v>
      </c>
      <c r="C1026" s="32">
        <v>2021</v>
      </c>
      <c r="D1026" s="34" t="s">
        <v>4132</v>
      </c>
      <c r="E1026" s="35" t="s">
        <v>4133</v>
      </c>
      <c r="F1026" s="35"/>
      <c r="G1026" s="34"/>
      <c r="H1026" s="35"/>
      <c r="I1026" s="35" t="s">
        <v>1038</v>
      </c>
      <c r="J1026" s="35" t="s">
        <v>1006</v>
      </c>
      <c r="K1026" s="35" t="s">
        <v>1007</v>
      </c>
      <c r="L1026" s="35" t="s">
        <v>1342</v>
      </c>
      <c r="M1026" s="35" t="s">
        <v>515</v>
      </c>
      <c r="N1026" s="35" t="s">
        <v>977</v>
      </c>
      <c r="O1026" s="36">
        <v>5</v>
      </c>
      <c r="P1026" s="35" t="s">
        <v>392</v>
      </c>
      <c r="Q1026" s="35"/>
      <c r="R1026" s="35" t="s">
        <v>4134</v>
      </c>
    </row>
    <row r="1027" spans="1:18" ht="24">
      <c r="A1027" s="32">
        <v>836</v>
      </c>
      <c r="B1027" s="33">
        <v>44521</v>
      </c>
      <c r="C1027" s="32">
        <v>2021</v>
      </c>
      <c r="D1027" s="34" t="s">
        <v>4135</v>
      </c>
      <c r="E1027" s="35" t="s">
        <v>4136</v>
      </c>
      <c r="F1027" s="35"/>
      <c r="G1027" s="34"/>
      <c r="H1027" s="35"/>
      <c r="I1027" s="35" t="s">
        <v>1484</v>
      </c>
      <c r="J1027" s="35" t="s">
        <v>1485</v>
      </c>
      <c r="K1027" s="35" t="s">
        <v>888</v>
      </c>
      <c r="L1027" s="35" t="s">
        <v>1342</v>
      </c>
      <c r="M1027" s="35" t="s">
        <v>515</v>
      </c>
      <c r="N1027" s="35" t="s">
        <v>977</v>
      </c>
      <c r="O1027" s="36">
        <v>5</v>
      </c>
      <c r="P1027" s="35" t="s">
        <v>392</v>
      </c>
      <c r="Q1027" s="35"/>
      <c r="R1027" s="35" t="s">
        <v>4137</v>
      </c>
    </row>
    <row r="1028" spans="1:18">
      <c r="A1028" s="32">
        <v>843</v>
      </c>
      <c r="B1028" s="33">
        <v>44515</v>
      </c>
      <c r="C1028" s="32">
        <v>2021</v>
      </c>
      <c r="D1028" s="34" t="s">
        <v>4138</v>
      </c>
      <c r="E1028" s="35" t="s">
        <v>4139</v>
      </c>
      <c r="F1028" s="35" t="s">
        <v>889</v>
      </c>
      <c r="G1028" s="34"/>
      <c r="H1028" s="35" t="s">
        <v>890</v>
      </c>
      <c r="I1028" s="35" t="s">
        <v>965</v>
      </c>
      <c r="J1028" s="35" t="s">
        <v>1110</v>
      </c>
      <c r="K1028" s="35" t="s">
        <v>888</v>
      </c>
      <c r="L1028" s="35" t="s">
        <v>1139</v>
      </c>
      <c r="M1028" s="35" t="s">
        <v>519</v>
      </c>
      <c r="N1028" s="35" t="s">
        <v>968</v>
      </c>
      <c r="O1028" s="36">
        <v>8</v>
      </c>
      <c r="P1028" s="35" t="s">
        <v>392</v>
      </c>
      <c r="Q1028" s="35"/>
      <c r="R1028" s="35" t="s">
        <v>4140</v>
      </c>
    </row>
    <row r="1029" spans="1:18">
      <c r="A1029" s="32">
        <v>127</v>
      </c>
      <c r="B1029" s="33">
        <v>44503</v>
      </c>
      <c r="C1029" s="32">
        <v>2021</v>
      </c>
      <c r="D1029" s="34" t="s">
        <v>4141</v>
      </c>
      <c r="E1029" s="35" t="s">
        <v>4142</v>
      </c>
      <c r="F1029" s="35" t="s">
        <v>878</v>
      </c>
      <c r="G1029" s="34"/>
      <c r="H1029" s="35" t="s">
        <v>879</v>
      </c>
      <c r="I1029" s="35" t="s">
        <v>965</v>
      </c>
      <c r="J1029" s="35" t="s">
        <v>1291</v>
      </c>
      <c r="K1029" s="35" t="s">
        <v>897</v>
      </c>
      <c r="L1029" s="35" t="s">
        <v>1034</v>
      </c>
      <c r="M1029" s="35" t="s">
        <v>515</v>
      </c>
      <c r="N1029" s="35" t="s">
        <v>977</v>
      </c>
      <c r="O1029" s="36">
        <v>11</v>
      </c>
      <c r="P1029" s="35" t="s">
        <v>37</v>
      </c>
      <c r="Q1029" s="35"/>
      <c r="R1029" s="35" t="s">
        <v>4143</v>
      </c>
    </row>
    <row r="1030" spans="1:18">
      <c r="A1030" s="32">
        <v>314</v>
      </c>
      <c r="B1030" s="33">
        <v>44465</v>
      </c>
      <c r="C1030" s="32">
        <v>2021</v>
      </c>
      <c r="D1030" s="34" t="s">
        <v>4144</v>
      </c>
      <c r="E1030" s="35" t="s">
        <v>4145</v>
      </c>
      <c r="F1030" s="35"/>
      <c r="G1030" s="34"/>
      <c r="H1030" s="35"/>
      <c r="I1030" s="35" t="s">
        <v>1038</v>
      </c>
      <c r="J1030" s="35" t="s">
        <v>1006</v>
      </c>
      <c r="K1030" s="35" t="s">
        <v>1007</v>
      </c>
      <c r="L1030" s="35" t="s">
        <v>3225</v>
      </c>
      <c r="M1030" s="35" t="s">
        <v>515</v>
      </c>
      <c r="N1030" s="35" t="s">
        <v>977</v>
      </c>
      <c r="O1030" s="36">
        <v>13</v>
      </c>
      <c r="P1030" s="35" t="s">
        <v>37</v>
      </c>
      <c r="Q1030" s="35"/>
      <c r="R1030" s="35" t="s">
        <v>4146</v>
      </c>
    </row>
    <row r="1031" spans="1:18" ht="24">
      <c r="A1031" s="32">
        <v>105</v>
      </c>
      <c r="B1031" s="33">
        <v>44082</v>
      </c>
      <c r="C1031" s="32">
        <v>2020</v>
      </c>
      <c r="D1031" s="34" t="s">
        <v>4147</v>
      </c>
      <c r="E1031" s="35" t="s">
        <v>4148</v>
      </c>
      <c r="F1031" s="35" t="s">
        <v>893</v>
      </c>
      <c r="G1031" s="34"/>
      <c r="H1031" s="35" t="s">
        <v>879</v>
      </c>
      <c r="I1031" s="35" t="s">
        <v>965</v>
      </c>
      <c r="J1031" s="35" t="s">
        <v>1110</v>
      </c>
      <c r="K1031" s="35" t="s">
        <v>888</v>
      </c>
      <c r="L1031" s="35" t="s">
        <v>1342</v>
      </c>
      <c r="M1031" s="35" t="s">
        <v>515</v>
      </c>
      <c r="N1031" s="35" t="s">
        <v>977</v>
      </c>
      <c r="O1031" s="36">
        <v>11</v>
      </c>
      <c r="P1031" s="35" t="s">
        <v>37</v>
      </c>
      <c r="Q1031" s="35"/>
      <c r="R1031" s="35" t="s">
        <v>4149</v>
      </c>
    </row>
    <row r="1032" spans="1:18" ht="24">
      <c r="A1032" s="32">
        <v>46</v>
      </c>
      <c r="B1032" s="33">
        <v>44060</v>
      </c>
      <c r="C1032" s="32">
        <v>2020</v>
      </c>
      <c r="D1032" s="34" t="s">
        <v>4150</v>
      </c>
      <c r="E1032" s="35" t="s">
        <v>4151</v>
      </c>
      <c r="F1032" s="35"/>
      <c r="G1032" s="34"/>
      <c r="H1032" s="35"/>
      <c r="I1032" s="35" t="s">
        <v>1484</v>
      </c>
      <c r="J1032" s="35" t="s">
        <v>1485</v>
      </c>
      <c r="K1032" s="35" t="s">
        <v>888</v>
      </c>
      <c r="L1032" s="35" t="s">
        <v>1342</v>
      </c>
      <c r="M1032" s="35" t="s">
        <v>515</v>
      </c>
      <c r="N1032" s="35" t="s">
        <v>977</v>
      </c>
      <c r="O1032" s="36">
        <v>14</v>
      </c>
      <c r="P1032" s="35" t="s">
        <v>37</v>
      </c>
      <c r="Q1032" s="35"/>
      <c r="R1032" s="35" t="s">
        <v>4152</v>
      </c>
    </row>
    <row r="1033" spans="1:18" ht="36">
      <c r="A1033" s="32">
        <v>34</v>
      </c>
      <c r="B1033" s="33">
        <v>44000</v>
      </c>
      <c r="C1033" s="32">
        <v>2020</v>
      </c>
      <c r="D1033" s="34" t="s">
        <v>4153</v>
      </c>
      <c r="E1033" s="35" t="s">
        <v>4154</v>
      </c>
      <c r="F1033" s="35"/>
      <c r="G1033" s="34"/>
      <c r="H1033" s="35"/>
      <c r="I1033" s="35" t="s">
        <v>1038</v>
      </c>
      <c r="J1033" s="35" t="s">
        <v>1006</v>
      </c>
      <c r="K1033" s="35" t="s">
        <v>1007</v>
      </c>
      <c r="L1033" s="35" t="s">
        <v>1008</v>
      </c>
      <c r="M1033" s="35" t="s">
        <v>526</v>
      </c>
      <c r="N1033" s="35" t="s">
        <v>977</v>
      </c>
      <c r="O1033" s="36">
        <v>13</v>
      </c>
      <c r="P1033" s="35" t="s">
        <v>37</v>
      </c>
      <c r="Q1033" s="35"/>
      <c r="R1033" s="35" t="s">
        <v>4155</v>
      </c>
    </row>
    <row r="1034" spans="1:18">
      <c r="A1034" s="32">
        <v>13</v>
      </c>
      <c r="B1034" s="33">
        <v>43971</v>
      </c>
      <c r="C1034" s="32">
        <v>2020</v>
      </c>
      <c r="D1034" s="34" t="s">
        <v>4156</v>
      </c>
      <c r="E1034" s="35" t="s">
        <v>4157</v>
      </c>
      <c r="F1034" s="35" t="s">
        <v>921</v>
      </c>
      <c r="G1034" s="34"/>
      <c r="H1034" s="35" t="s">
        <v>895</v>
      </c>
      <c r="I1034" s="35" t="s">
        <v>965</v>
      </c>
      <c r="J1034" s="35" t="s">
        <v>1110</v>
      </c>
      <c r="K1034" s="35" t="s">
        <v>888</v>
      </c>
      <c r="L1034" s="35" t="s">
        <v>1127</v>
      </c>
      <c r="M1034" s="35" t="s">
        <v>515</v>
      </c>
      <c r="N1034" s="35" t="s">
        <v>968</v>
      </c>
      <c r="O1034" s="36">
        <v>11</v>
      </c>
      <c r="P1034" s="35" t="s">
        <v>37</v>
      </c>
      <c r="Q1034" s="35"/>
      <c r="R1034" s="35" t="s">
        <v>4158</v>
      </c>
    </row>
    <row r="1035" spans="1:18">
      <c r="A1035" s="32">
        <v>35</v>
      </c>
      <c r="B1035" s="33">
        <v>43964</v>
      </c>
      <c r="C1035" s="32">
        <v>2020</v>
      </c>
      <c r="D1035" s="34" t="s">
        <v>4159</v>
      </c>
      <c r="E1035" s="35" t="s">
        <v>4160</v>
      </c>
      <c r="F1035" s="35"/>
      <c r="G1035" s="34"/>
      <c r="H1035" s="35"/>
      <c r="I1035" s="35" t="s">
        <v>1038</v>
      </c>
      <c r="J1035" s="35" t="s">
        <v>1006</v>
      </c>
      <c r="K1035" s="35" t="s">
        <v>1007</v>
      </c>
      <c r="L1035" s="35" t="s">
        <v>1008</v>
      </c>
      <c r="M1035" s="35" t="s">
        <v>526</v>
      </c>
      <c r="N1035" s="35" t="s">
        <v>968</v>
      </c>
      <c r="O1035" s="36">
        <v>5</v>
      </c>
      <c r="P1035" s="35" t="s">
        <v>37</v>
      </c>
      <c r="Q1035" s="35"/>
      <c r="R1035" s="35" t="s">
        <v>4161</v>
      </c>
    </row>
    <row r="1036" spans="1:18" ht="24">
      <c r="A1036" s="32">
        <v>25</v>
      </c>
      <c r="B1036" s="33">
        <v>43964</v>
      </c>
      <c r="C1036" s="32">
        <v>2020</v>
      </c>
      <c r="D1036" s="34" t="s">
        <v>4162</v>
      </c>
      <c r="E1036" s="35" t="s">
        <v>4163</v>
      </c>
      <c r="F1036" s="35"/>
      <c r="G1036" s="34"/>
      <c r="H1036" s="35"/>
      <c r="I1036" s="35" t="s">
        <v>1038</v>
      </c>
      <c r="J1036" s="35" t="s">
        <v>1006</v>
      </c>
      <c r="K1036" s="35" t="s">
        <v>1007</v>
      </c>
      <c r="L1036" s="35" t="s">
        <v>1070</v>
      </c>
      <c r="M1036" s="35" t="s">
        <v>536</v>
      </c>
      <c r="N1036" s="35" t="s">
        <v>977</v>
      </c>
      <c r="O1036" s="36">
        <v>6</v>
      </c>
      <c r="P1036" s="35" t="s">
        <v>37</v>
      </c>
      <c r="Q1036" s="35"/>
      <c r="R1036" s="35" t="s">
        <v>4164</v>
      </c>
    </row>
    <row r="1037" spans="1:18">
      <c r="A1037" s="32">
        <v>24</v>
      </c>
      <c r="B1037" s="33">
        <v>43918</v>
      </c>
      <c r="C1037" s="32">
        <v>2020</v>
      </c>
      <c r="D1037" s="34" t="s">
        <v>4165</v>
      </c>
      <c r="E1037" s="35" t="s">
        <v>4166</v>
      </c>
      <c r="F1037" s="35" t="s">
        <v>878</v>
      </c>
      <c r="G1037" s="34"/>
      <c r="H1037" s="35" t="s">
        <v>879</v>
      </c>
      <c r="I1037" s="35" t="s">
        <v>965</v>
      </c>
      <c r="J1037" s="35" t="s">
        <v>1110</v>
      </c>
      <c r="K1037" s="35" t="s">
        <v>888</v>
      </c>
      <c r="L1037" s="35" t="s">
        <v>1008</v>
      </c>
      <c r="M1037" s="35" t="s">
        <v>526</v>
      </c>
      <c r="N1037" s="35" t="s">
        <v>977</v>
      </c>
      <c r="O1037" s="36">
        <v>14</v>
      </c>
      <c r="P1037" s="35" t="s">
        <v>37</v>
      </c>
      <c r="Q1037" s="35"/>
      <c r="R1037" s="35" t="s">
        <v>4167</v>
      </c>
    </row>
    <row r="1038" spans="1:18" ht="24">
      <c r="A1038" s="32">
        <v>36</v>
      </c>
      <c r="B1038" s="33">
        <v>43799</v>
      </c>
      <c r="C1038" s="32">
        <v>2019</v>
      </c>
      <c r="D1038" s="34" t="s">
        <v>4168</v>
      </c>
      <c r="E1038" s="35" t="s">
        <v>4169</v>
      </c>
      <c r="F1038" s="35" t="s">
        <v>887</v>
      </c>
      <c r="G1038" s="34"/>
      <c r="H1038" s="35" t="s">
        <v>883</v>
      </c>
      <c r="I1038" s="35" t="s">
        <v>965</v>
      </c>
      <c r="J1038" s="35" t="s">
        <v>1110</v>
      </c>
      <c r="K1038" s="35" t="s">
        <v>888</v>
      </c>
      <c r="L1038" s="35" t="s">
        <v>1127</v>
      </c>
      <c r="M1038" s="35" t="s">
        <v>515</v>
      </c>
      <c r="N1038" s="35" t="s">
        <v>977</v>
      </c>
      <c r="O1038" s="36">
        <v>10</v>
      </c>
      <c r="P1038" s="35" t="s">
        <v>37</v>
      </c>
      <c r="Q1038" s="35"/>
      <c r="R1038" s="35" t="s">
        <v>4170</v>
      </c>
    </row>
    <row r="1039" spans="1:18">
      <c r="A1039" s="32">
        <v>842</v>
      </c>
      <c r="B1039" s="33">
        <v>43784</v>
      </c>
      <c r="C1039" s="32">
        <v>2019</v>
      </c>
      <c r="D1039" s="34" t="s">
        <v>4171</v>
      </c>
      <c r="E1039" s="35" t="s">
        <v>4172</v>
      </c>
      <c r="F1039" s="35"/>
      <c r="G1039" s="34"/>
      <c r="H1039" s="35"/>
      <c r="I1039" s="35" t="s">
        <v>1038</v>
      </c>
      <c r="J1039" s="35" t="s">
        <v>1006</v>
      </c>
      <c r="K1039" s="35" t="s">
        <v>1007</v>
      </c>
      <c r="L1039" s="35" t="s">
        <v>1139</v>
      </c>
      <c r="M1039" s="35" t="s">
        <v>519</v>
      </c>
      <c r="N1039" s="35" t="s">
        <v>977</v>
      </c>
      <c r="O1039" s="36">
        <v>12</v>
      </c>
      <c r="P1039" s="35" t="s">
        <v>392</v>
      </c>
      <c r="Q1039" s="35"/>
      <c r="R1039" s="35" t="s">
        <v>4173</v>
      </c>
    </row>
    <row r="1040" spans="1:18">
      <c r="A1040" s="32">
        <v>104</v>
      </c>
      <c r="B1040" s="33">
        <v>43784</v>
      </c>
      <c r="C1040" s="32">
        <v>2019</v>
      </c>
      <c r="D1040" s="34" t="s">
        <v>4174</v>
      </c>
      <c r="E1040" s="35" t="s">
        <v>4175</v>
      </c>
      <c r="F1040" s="35"/>
      <c r="G1040" s="34"/>
      <c r="H1040" s="35"/>
      <c r="I1040" s="35" t="s">
        <v>1038</v>
      </c>
      <c r="J1040" s="35" t="s">
        <v>1006</v>
      </c>
      <c r="K1040" s="35" t="s">
        <v>1007</v>
      </c>
      <c r="L1040" s="35" t="s">
        <v>1086</v>
      </c>
      <c r="M1040" s="35" t="s">
        <v>512</v>
      </c>
      <c r="N1040" s="35" t="s">
        <v>977</v>
      </c>
      <c r="O1040" s="36">
        <v>14</v>
      </c>
      <c r="P1040" s="35" t="s">
        <v>37</v>
      </c>
      <c r="Q1040" s="35"/>
      <c r="R1040" s="35" t="s">
        <v>4176</v>
      </c>
    </row>
    <row r="1041" spans="1:18" ht="24">
      <c r="A1041" s="32">
        <v>838</v>
      </c>
      <c r="B1041" s="33">
        <v>43784</v>
      </c>
      <c r="C1041" s="32">
        <v>2019</v>
      </c>
      <c r="D1041" s="34" t="s">
        <v>4177</v>
      </c>
      <c r="E1041" s="35" t="s">
        <v>4178</v>
      </c>
      <c r="F1041" s="35"/>
      <c r="G1041" s="34"/>
      <c r="H1041" s="35"/>
      <c r="I1041" s="35" t="s">
        <v>1038</v>
      </c>
      <c r="J1041" s="35" t="s">
        <v>1006</v>
      </c>
      <c r="K1041" s="35" t="s">
        <v>1007</v>
      </c>
      <c r="L1041" s="35" t="s">
        <v>1139</v>
      </c>
      <c r="M1041" s="35" t="s">
        <v>519</v>
      </c>
      <c r="N1041" s="35" t="s">
        <v>977</v>
      </c>
      <c r="O1041" s="36">
        <v>9</v>
      </c>
      <c r="P1041" s="35" t="s">
        <v>392</v>
      </c>
      <c r="Q1041" s="35"/>
      <c r="R1041" s="35" t="s">
        <v>4179</v>
      </c>
    </row>
    <row r="1042" spans="1:18" ht="24">
      <c r="A1042" s="32">
        <v>23</v>
      </c>
      <c r="B1042" s="33">
        <v>43784</v>
      </c>
      <c r="C1042" s="32">
        <v>2019</v>
      </c>
      <c r="D1042" s="34" t="s">
        <v>4180</v>
      </c>
      <c r="E1042" s="35" t="s">
        <v>4181</v>
      </c>
      <c r="F1042" s="35" t="s">
        <v>913</v>
      </c>
      <c r="G1042" s="34"/>
      <c r="H1042" s="35" t="s">
        <v>895</v>
      </c>
      <c r="I1042" s="35" t="s">
        <v>965</v>
      </c>
      <c r="J1042" s="35" t="s">
        <v>1110</v>
      </c>
      <c r="K1042" s="35" t="s">
        <v>888</v>
      </c>
      <c r="L1042" s="35" t="s">
        <v>1008</v>
      </c>
      <c r="M1042" s="35" t="s">
        <v>526</v>
      </c>
      <c r="N1042" s="35" t="s">
        <v>977</v>
      </c>
      <c r="O1042" s="36">
        <v>5</v>
      </c>
      <c r="P1042" s="35" t="s">
        <v>37</v>
      </c>
      <c r="Q1042" s="35"/>
      <c r="R1042" s="35" t="s">
        <v>4182</v>
      </c>
    </row>
    <row r="1043" spans="1:18">
      <c r="A1043" s="32">
        <v>126</v>
      </c>
      <c r="B1043" s="33">
        <v>43784</v>
      </c>
      <c r="C1043" s="32">
        <v>2019</v>
      </c>
      <c r="D1043" s="34" t="s">
        <v>4183</v>
      </c>
      <c r="E1043" s="35" t="s">
        <v>4184</v>
      </c>
      <c r="F1043" s="35"/>
      <c r="G1043" s="34"/>
      <c r="H1043" s="35"/>
      <c r="I1043" s="35" t="s">
        <v>1038</v>
      </c>
      <c r="J1043" s="35" t="s">
        <v>1006</v>
      </c>
      <c r="K1043" s="35" t="s">
        <v>1007</v>
      </c>
      <c r="L1043" s="35" t="s">
        <v>1840</v>
      </c>
      <c r="M1043" s="35" t="s">
        <v>530</v>
      </c>
      <c r="N1043" s="35" t="s">
        <v>977</v>
      </c>
      <c r="O1043" s="36">
        <v>7</v>
      </c>
      <c r="P1043" s="35" t="s">
        <v>37</v>
      </c>
      <c r="Q1043" s="35"/>
      <c r="R1043" s="35" t="s">
        <v>4185</v>
      </c>
    </row>
    <row r="1044" spans="1:18">
      <c r="A1044" s="32">
        <v>125</v>
      </c>
      <c r="B1044" s="33">
        <v>43784</v>
      </c>
      <c r="C1044" s="32">
        <v>2019</v>
      </c>
      <c r="D1044" s="34" t="s">
        <v>4186</v>
      </c>
      <c r="E1044" s="35" t="s">
        <v>4187</v>
      </c>
      <c r="F1044" s="35"/>
      <c r="G1044" s="34"/>
      <c r="H1044" s="35"/>
      <c r="I1044" s="35" t="s">
        <v>1038</v>
      </c>
      <c r="J1044" s="35" t="s">
        <v>1006</v>
      </c>
      <c r="K1044" s="35" t="s">
        <v>1007</v>
      </c>
      <c r="L1044" s="35" t="s">
        <v>1840</v>
      </c>
      <c r="M1044" s="35" t="s">
        <v>512</v>
      </c>
      <c r="N1044" s="35" t="s">
        <v>968</v>
      </c>
      <c r="O1044" s="36">
        <v>9</v>
      </c>
      <c r="P1044" s="35" t="s">
        <v>37</v>
      </c>
      <c r="Q1044" s="35"/>
      <c r="R1044" s="35" t="s">
        <v>4188</v>
      </c>
    </row>
    <row r="1045" spans="1:18" ht="24">
      <c r="A1045" s="32">
        <v>19</v>
      </c>
      <c r="B1045" s="33">
        <v>43707</v>
      </c>
      <c r="C1045" s="32">
        <v>2019</v>
      </c>
      <c r="D1045" s="34" t="s">
        <v>4189</v>
      </c>
      <c r="E1045" s="35" t="s">
        <v>4190</v>
      </c>
      <c r="F1045" s="35" t="s">
        <v>887</v>
      </c>
      <c r="G1045" s="34"/>
      <c r="H1045" s="35" t="s">
        <v>883</v>
      </c>
      <c r="I1045" s="35" t="s">
        <v>965</v>
      </c>
      <c r="J1045" s="35" t="s">
        <v>1110</v>
      </c>
      <c r="K1045" s="35" t="s">
        <v>888</v>
      </c>
      <c r="L1045" s="35" t="s">
        <v>976</v>
      </c>
      <c r="M1045" s="35" t="s">
        <v>522</v>
      </c>
      <c r="N1045" s="35" t="s">
        <v>977</v>
      </c>
      <c r="O1045" s="36">
        <v>49</v>
      </c>
      <c r="P1045" s="35" t="s">
        <v>37</v>
      </c>
      <c r="Q1045" s="35"/>
      <c r="R1045" s="35" t="s">
        <v>4191</v>
      </c>
    </row>
  </sheetData>
  <conditionalFormatting sqref="K2:K1045">
    <cfRule type="containsText" dxfId="4" priority="1" operator="containsText" text="À vérifier"/>
    <cfRule type="containsText" dxfId="3" priority="2" operator="containsText" text="Moyenn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
  <sheetViews>
    <sheetView showGridLines="0" zoomScale="80" zoomScaleNormal="80" workbookViewId="0">
      <selection sqref="A1:H1"/>
    </sheetView>
  </sheetViews>
  <sheetFormatPr defaultRowHeight="14"/>
  <cols>
    <col min="1" max="1" width="20" customWidth="1"/>
    <col min="2" max="2" width="10" customWidth="1"/>
    <col min="3" max="3" width="13.33203125" customWidth="1"/>
    <col min="4" max="4" width="8.9140625" customWidth="1"/>
    <col min="5" max="5" width="13.33203125" customWidth="1"/>
    <col min="6" max="6" width="12.75" customWidth="1"/>
    <col min="7" max="7" width="12.25" customWidth="1"/>
    <col min="8" max="8" width="2.75" customWidth="1"/>
  </cols>
  <sheetData>
    <row r="1" spans="1:8" ht="23">
      <c r="A1" s="113" t="s">
        <v>4192</v>
      </c>
      <c r="B1" s="113"/>
      <c r="C1" s="113"/>
      <c r="D1" s="113"/>
      <c r="E1" s="113"/>
      <c r="F1" s="113"/>
      <c r="G1" s="113"/>
      <c r="H1" s="113"/>
    </row>
    <row r="2" spans="1:8">
      <c r="A2" s="114" t="s">
        <v>4193</v>
      </c>
      <c r="B2" s="114"/>
      <c r="C2" s="114"/>
      <c r="D2" s="114"/>
      <c r="E2" s="114"/>
      <c r="F2" s="114"/>
      <c r="G2" s="114"/>
      <c r="H2" s="114"/>
    </row>
    <row r="3" spans="1:8">
      <c r="A3" s="11"/>
      <c r="B3" s="11"/>
      <c r="C3" s="11"/>
      <c r="D3" s="11"/>
      <c r="E3" s="11"/>
      <c r="F3" s="11"/>
      <c r="G3" s="11"/>
      <c r="H3" s="11"/>
    </row>
    <row r="4" spans="1:8" ht="26">
      <c r="A4" s="4" t="s">
        <v>7</v>
      </c>
      <c r="B4" s="5" t="s">
        <v>4194</v>
      </c>
      <c r="C4" s="5" t="s">
        <v>3</v>
      </c>
      <c r="D4" s="5" t="s">
        <v>4195</v>
      </c>
      <c r="E4" s="5" t="s">
        <v>4196</v>
      </c>
      <c r="F4" s="5" t="s">
        <v>868</v>
      </c>
      <c r="G4" s="6" t="s">
        <v>5</v>
      </c>
      <c r="H4" s="11"/>
    </row>
    <row r="5" spans="1:8">
      <c r="A5" s="37" t="s">
        <v>879</v>
      </c>
      <c r="B5" s="38">
        <v>9</v>
      </c>
      <c r="C5" s="38">
        <f>SUMIF('Classement 55'!$C$5:$C$59,A5,'Classement 55'!$D$5:$D$59)</f>
        <v>163</v>
      </c>
      <c r="D5" s="39">
        <f>IFERROR(C5/SUM($C$5:$C$9),0)</f>
        <v>0.29582577132486387</v>
      </c>
      <c r="E5" s="40">
        <f>IFERROR(C5/B5,0)</f>
        <v>18.111111111111111</v>
      </c>
      <c r="F5" s="38">
        <f>SUMIF('Classement 55'!$C$5:$C$59,A5,'Classement 55'!$J$5:$J$59)</f>
        <v>48</v>
      </c>
      <c r="G5" s="38">
        <f>COUNTIFS('Classement 55'!$C$5:$C$59,A5,'Classement 55'!$D$5:$D$59,0)</f>
        <v>1</v>
      </c>
      <c r="H5" s="11"/>
    </row>
    <row r="6" spans="1:8">
      <c r="A6" s="37" t="s">
        <v>883</v>
      </c>
      <c r="B6" s="38">
        <v>15</v>
      </c>
      <c r="C6" s="38">
        <f>SUMIF('Classement 55'!$C$5:$C$59,A6,'Classement 55'!$D$5:$D$59)</f>
        <v>214</v>
      </c>
      <c r="D6" s="39">
        <f>IFERROR(C6/SUM($C$5:$C$9),0)</f>
        <v>0.38838475499092556</v>
      </c>
      <c r="E6" s="40">
        <f>IFERROR(C6/B6,0)</f>
        <v>14.266666666666667</v>
      </c>
      <c r="F6" s="38">
        <f>SUMIF('Classement 55'!$C$5:$C$59,A6,'Classement 55'!$J$5:$J$59)</f>
        <v>68</v>
      </c>
      <c r="G6" s="38">
        <f>COUNTIFS('Classement 55'!$C$5:$C$59,A6,'Classement 55'!$D$5:$D$59,0)</f>
        <v>0</v>
      </c>
      <c r="H6" s="11"/>
    </row>
    <row r="7" spans="1:8">
      <c r="A7" s="37" t="s">
        <v>886</v>
      </c>
      <c r="B7" s="38">
        <v>13</v>
      </c>
      <c r="C7" s="38">
        <f>SUMIF('Classement 55'!$C$5:$C$59,A7,'Classement 55'!$D$5:$D$59)</f>
        <v>96</v>
      </c>
      <c r="D7" s="39">
        <f>IFERROR(C7/SUM($C$5:$C$9),0)</f>
        <v>0.17422867513611615</v>
      </c>
      <c r="E7" s="40">
        <f>IFERROR(C7/B7,0)</f>
        <v>7.384615384615385</v>
      </c>
      <c r="F7" s="38">
        <f>SUMIF('Classement 55'!$C$5:$C$59,A7,'Classement 55'!$J$5:$J$59)</f>
        <v>45</v>
      </c>
      <c r="G7" s="38">
        <f>COUNTIFS('Classement 55'!$C$5:$C$59,A7,'Classement 55'!$D$5:$D$59,0)</f>
        <v>1</v>
      </c>
      <c r="H7" s="11"/>
    </row>
    <row r="8" spans="1:8">
      <c r="A8" s="37" t="s">
        <v>890</v>
      </c>
      <c r="B8" s="38">
        <v>10</v>
      </c>
      <c r="C8" s="38">
        <f>SUMIF('Classement 55'!$C$5:$C$59,A8,'Classement 55'!$D$5:$D$59)</f>
        <v>41</v>
      </c>
      <c r="D8" s="39">
        <f>IFERROR(C8/SUM($C$5:$C$9),0)</f>
        <v>7.441016333938294E-2</v>
      </c>
      <c r="E8" s="40">
        <f>IFERROR(C8/B8,0)</f>
        <v>4.0999999999999996</v>
      </c>
      <c r="F8" s="38">
        <f>SUMIF('Classement 55'!$C$5:$C$59,A8,'Classement 55'!$J$5:$J$59)</f>
        <v>27</v>
      </c>
      <c r="G8" s="38">
        <f>COUNTIFS('Classement 55'!$C$5:$C$59,A8,'Classement 55'!$D$5:$D$59,0)</f>
        <v>0</v>
      </c>
      <c r="H8" s="11"/>
    </row>
    <row r="9" spans="1:8">
      <c r="A9" s="37" t="s">
        <v>895</v>
      </c>
      <c r="B9" s="38">
        <v>8</v>
      </c>
      <c r="C9" s="38">
        <f>SUMIF('Classement 55'!$C$5:$C$59,A9,'Classement 55'!$D$5:$D$59)</f>
        <v>37</v>
      </c>
      <c r="D9" s="39">
        <f>IFERROR(C9/SUM($C$5:$C$9),0)</f>
        <v>6.7150635208711437E-2</v>
      </c>
      <c r="E9" s="40">
        <f>IFERROR(C9/B9,0)</f>
        <v>4.625</v>
      </c>
      <c r="F9" s="38">
        <f>SUMIF('Classement 55'!$C$5:$C$59,A9,'Classement 55'!$J$5:$J$59)</f>
        <v>18</v>
      </c>
      <c r="G9" s="38">
        <f>COUNTIFS('Classement 55'!$C$5:$C$59,A9,'Classement 55'!$D$5:$D$59,0)</f>
        <v>2</v>
      </c>
      <c r="H9" s="11"/>
    </row>
  </sheetData>
  <mergeCells count="2">
    <mergeCell ref="A1:H1"/>
    <mergeCell ref="A2:H2"/>
  </mergeCells>
  <conditionalFormatting sqref="C5:C9">
    <cfRule type="dataBar" priority="1">
      <dataBar>
        <cfvo type="min"/>
        <cfvo type="max"/>
        <color rgb="FF354E84"/>
      </dataBar>
    </cfRule>
    <cfRule type="dataBar" priority="2">
      <dataBar>
        <cfvo type="min"/>
        <cfvo type="max"/>
        <color rgb="FF354E84"/>
      </dataBar>
      <extLst>
        <ext xmlns:x14="http://schemas.microsoft.com/office/spreadsheetml/2009/9/main" uri="{B025F937-C7B1-47D3-B67F-A62EFF666E3E}">
          <x14:id>{358EC631-2851-0C04-7721-0655F0F16B4D}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58EC631-2851-0C04-7721-0655F0F16B4D}">
            <x14:dataBar>
              <x14:cfvo type="min"/>
              <x14:cfvo type="max"/>
              <x14:negativeFillColor auto="1"/>
              <x14:axisColor auto="1"/>
            </x14:dataBar>
          </x14:cfRule>
          <xm:sqref>C5:C9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0"/>
  <sheetViews>
    <sheetView showGridLines="0" zoomScale="80" zoomScaleNormal="80" workbookViewId="0">
      <selection sqref="A1:N1"/>
    </sheetView>
  </sheetViews>
  <sheetFormatPr defaultRowHeight="14"/>
  <cols>
    <col min="1" max="1" width="28.9140625" customWidth="1"/>
    <col min="2" max="2" width="9.4140625" customWidth="1"/>
    <col min="3" max="3" width="8.9140625" customWidth="1"/>
    <col min="4" max="4" width="2.75" customWidth="1"/>
    <col min="5" max="5" width="8.9140625" customWidth="1"/>
    <col min="6" max="6" width="9.4140625" customWidth="1"/>
    <col min="7" max="7" width="10" customWidth="1"/>
    <col min="8" max="8" width="2.75" customWidth="1"/>
    <col min="9" max="9" width="21.08203125" customWidth="1"/>
    <col min="10" max="10" width="9.4140625" customWidth="1"/>
    <col min="11" max="11" width="8.9140625" customWidth="1"/>
    <col min="12" max="14" width="2.75" customWidth="1"/>
  </cols>
  <sheetData>
    <row r="1" spans="1:14" ht="23">
      <c r="A1" s="113" t="s">
        <v>4197</v>
      </c>
      <c r="B1" s="113"/>
      <c r="C1" s="113"/>
      <c r="D1" s="113"/>
      <c r="E1" s="113"/>
      <c r="F1" s="113"/>
      <c r="G1" s="113"/>
      <c r="H1" s="113"/>
      <c r="I1" s="113"/>
      <c r="J1" s="113"/>
      <c r="K1" s="113"/>
      <c r="L1" s="113"/>
      <c r="M1" s="113"/>
      <c r="N1" s="113"/>
    </row>
    <row r="2" spans="1:14">
      <c r="A2" s="114" t="s">
        <v>4198</v>
      </c>
      <c r="B2" s="114"/>
      <c r="C2" s="114"/>
      <c r="D2" s="114"/>
      <c r="E2" s="114"/>
      <c r="F2" s="114"/>
      <c r="G2" s="114"/>
      <c r="H2" s="114"/>
      <c r="I2" s="114"/>
      <c r="J2" s="114"/>
      <c r="K2" s="114"/>
      <c r="L2" s="114"/>
      <c r="M2" s="114"/>
      <c r="N2" s="114"/>
    </row>
    <row r="3" spans="1:14">
      <c r="A3" s="11"/>
      <c r="B3" s="11"/>
      <c r="C3" s="11"/>
      <c r="D3" s="11"/>
      <c r="E3" s="11"/>
      <c r="F3" s="11"/>
      <c r="G3" s="11"/>
      <c r="H3" s="11"/>
      <c r="I3" s="11"/>
      <c r="J3" s="11"/>
      <c r="K3" s="11"/>
      <c r="L3" s="11"/>
      <c r="M3" s="11"/>
      <c r="N3" s="11"/>
    </row>
    <row r="4" spans="1:14">
      <c r="A4" s="152" t="s">
        <v>4199</v>
      </c>
      <c r="B4" s="152" t="s">
        <v>4199</v>
      </c>
      <c r="C4" s="152" t="s">
        <v>4199</v>
      </c>
      <c r="D4" s="11"/>
      <c r="E4" s="152" t="s">
        <v>4200</v>
      </c>
      <c r="F4" s="152" t="s">
        <v>4200</v>
      </c>
      <c r="G4" s="152" t="s">
        <v>4200</v>
      </c>
      <c r="H4" s="11"/>
      <c r="I4" s="152" t="s">
        <v>4201</v>
      </c>
      <c r="J4" s="152" t="s">
        <v>4201</v>
      </c>
      <c r="K4" s="152" t="s">
        <v>4201</v>
      </c>
      <c r="L4" s="11"/>
      <c r="M4" s="11"/>
      <c r="N4" s="11"/>
    </row>
    <row r="5" spans="1:14">
      <c r="A5" s="4" t="s">
        <v>959</v>
      </c>
      <c r="B5" s="5" t="s">
        <v>8</v>
      </c>
      <c r="C5" s="6" t="s">
        <v>4195</v>
      </c>
      <c r="D5" s="37"/>
      <c r="E5" s="4" t="s">
        <v>950</v>
      </c>
      <c r="F5" s="5" t="s">
        <v>8</v>
      </c>
      <c r="G5" s="6" t="s">
        <v>4202</v>
      </c>
      <c r="H5" s="37"/>
      <c r="I5" s="4" t="s">
        <v>955</v>
      </c>
      <c r="J5" s="5" t="s">
        <v>8</v>
      </c>
      <c r="K5" s="6" t="s">
        <v>4195</v>
      </c>
      <c r="L5" s="11"/>
      <c r="M5" s="11"/>
      <c r="N5" s="11"/>
    </row>
    <row r="6" spans="1:14">
      <c r="A6" s="37" t="s">
        <v>512</v>
      </c>
      <c r="B6" s="37">
        <f>COUNTIF(Corpus!$M$2:$M$1045,A6)</f>
        <v>315</v>
      </c>
      <c r="C6" s="39">
        <f t="shared" ref="C6:C13" si="0">B6/SUM($B$6:$B$13)</f>
        <v>0.30172413793103448</v>
      </c>
      <c r="D6" s="37"/>
      <c r="E6" s="37">
        <v>2019</v>
      </c>
      <c r="F6" s="37">
        <f>COUNTIF(Corpus!$C$2:$C$1045,E6)</f>
        <v>8</v>
      </c>
      <c r="G6" s="37"/>
      <c r="H6" s="37"/>
      <c r="I6" s="37" t="s">
        <v>965</v>
      </c>
      <c r="J6" s="37">
        <f>COUNTIF(Corpus!$I$2:$I$1045,I6)</f>
        <v>551</v>
      </c>
      <c r="K6" s="39">
        <f t="shared" ref="K6:K11" si="1">J6/SUM($J$6:$J$11)</f>
        <v>0.52777777777777779</v>
      </c>
      <c r="L6" s="11"/>
      <c r="M6" s="11"/>
      <c r="N6" s="11"/>
    </row>
    <row r="7" spans="1:14">
      <c r="A7" s="37" t="s">
        <v>515</v>
      </c>
      <c r="B7" s="37">
        <f>COUNTIF(Corpus!$M$2:$M$1045,A7)</f>
        <v>224</v>
      </c>
      <c r="C7" s="39">
        <f t="shared" si="0"/>
        <v>0.21455938697318008</v>
      </c>
      <c r="D7" s="37"/>
      <c r="E7" s="37">
        <v>2020</v>
      </c>
      <c r="F7" s="37">
        <f>COUNTIF(Corpus!$C$2:$C$1045,E7)</f>
        <v>7</v>
      </c>
      <c r="G7" s="39">
        <f t="shared" ref="G7:G13" si="2">IFERROR(F7/F6-1,0)</f>
        <v>-0.125</v>
      </c>
      <c r="H7" s="37"/>
      <c r="I7" s="37" t="s">
        <v>1038</v>
      </c>
      <c r="J7" s="37">
        <f>COUNTIF(Corpus!$I$2:$I$1045,I7)</f>
        <v>196</v>
      </c>
      <c r="K7" s="39">
        <f t="shared" si="1"/>
        <v>0.18773946360153257</v>
      </c>
      <c r="L7" s="11"/>
      <c r="M7" s="11"/>
      <c r="N7" s="11"/>
    </row>
    <row r="8" spans="1:14">
      <c r="A8" s="37" t="s">
        <v>519</v>
      </c>
      <c r="B8" s="37">
        <f>COUNTIF(Corpus!$M$2:$M$1045,A8)</f>
        <v>139</v>
      </c>
      <c r="C8" s="39">
        <f t="shared" si="0"/>
        <v>0.13314176245210729</v>
      </c>
      <c r="D8" s="37"/>
      <c r="E8" s="37">
        <v>2021</v>
      </c>
      <c r="F8" s="37">
        <f>COUNTIF(Corpus!$C$2:$C$1045,E8)</f>
        <v>11</v>
      </c>
      <c r="G8" s="39">
        <f t="shared" si="2"/>
        <v>0.5714285714285714</v>
      </c>
      <c r="H8" s="37"/>
      <c r="I8" s="37" t="s">
        <v>1005</v>
      </c>
      <c r="J8" s="37">
        <f>COUNTIF(Corpus!$I$2:$I$1045,I8)</f>
        <v>159</v>
      </c>
      <c r="K8" s="39">
        <f t="shared" si="1"/>
        <v>0.15229885057471265</v>
      </c>
      <c r="L8" s="11"/>
      <c r="M8" s="11"/>
      <c r="N8" s="11"/>
    </row>
    <row r="9" spans="1:14">
      <c r="A9" s="37" t="s">
        <v>526</v>
      </c>
      <c r="B9" s="37">
        <f>COUNTIF(Corpus!$M$2:$M$1045,A9)</f>
        <v>107</v>
      </c>
      <c r="C9" s="39">
        <f t="shared" si="0"/>
        <v>0.1024904214559387</v>
      </c>
      <c r="D9" s="37"/>
      <c r="E9" s="37">
        <v>2022</v>
      </c>
      <c r="F9" s="37">
        <f>COUNTIF(Corpus!$C$2:$C$1045,E9)</f>
        <v>70</v>
      </c>
      <c r="G9" s="39">
        <f t="shared" si="2"/>
        <v>5.3636363636363633</v>
      </c>
      <c r="H9" s="37"/>
      <c r="I9" s="37" t="s">
        <v>1317</v>
      </c>
      <c r="J9" s="37">
        <f>COUNTIF(Corpus!$I$2:$I$1045,I9)</f>
        <v>73</v>
      </c>
      <c r="K9" s="39">
        <f t="shared" si="1"/>
        <v>6.9923371647509572E-2</v>
      </c>
      <c r="L9" s="11"/>
      <c r="M9" s="11"/>
      <c r="N9" s="11"/>
    </row>
    <row r="10" spans="1:14">
      <c r="A10" s="37" t="s">
        <v>522</v>
      </c>
      <c r="B10" s="37">
        <f>COUNTIF(Corpus!$M$2:$M$1045,A10)</f>
        <v>104</v>
      </c>
      <c r="C10" s="39">
        <f t="shared" si="0"/>
        <v>9.9616858237547887E-2</v>
      </c>
      <c r="D10" s="37"/>
      <c r="E10" s="37">
        <v>2023</v>
      </c>
      <c r="F10" s="37">
        <f>COUNTIF(Corpus!$C$2:$C$1045,E10)</f>
        <v>138</v>
      </c>
      <c r="G10" s="39">
        <f t="shared" si="2"/>
        <v>0.97142857142857153</v>
      </c>
      <c r="H10" s="37"/>
      <c r="I10" s="37" t="s">
        <v>1134</v>
      </c>
      <c r="J10" s="37">
        <f>COUNTIF(Corpus!$I$2:$I$1045,I10)</f>
        <v>49</v>
      </c>
      <c r="K10" s="39">
        <f t="shared" si="1"/>
        <v>4.6934865900383142E-2</v>
      </c>
      <c r="L10" s="11"/>
      <c r="M10" s="11"/>
      <c r="N10" s="11"/>
    </row>
    <row r="11" spans="1:14">
      <c r="A11" s="37" t="s">
        <v>530</v>
      </c>
      <c r="B11" s="37">
        <f>COUNTIF(Corpus!$M$2:$M$1045,A11)</f>
        <v>73</v>
      </c>
      <c r="C11" s="39">
        <f t="shared" si="0"/>
        <v>6.9923371647509572E-2</v>
      </c>
      <c r="D11" s="37"/>
      <c r="E11" s="37">
        <v>2024</v>
      </c>
      <c r="F11" s="37">
        <f>COUNTIF(Corpus!$C$2:$C$1045,E11)</f>
        <v>267</v>
      </c>
      <c r="G11" s="39">
        <f t="shared" si="2"/>
        <v>0.93478260869565211</v>
      </c>
      <c r="H11" s="37"/>
      <c r="I11" s="37" t="s">
        <v>1484</v>
      </c>
      <c r="J11" s="37">
        <f>COUNTIF(Corpus!$I$2:$I$1045,I11)</f>
        <v>16</v>
      </c>
      <c r="K11" s="39">
        <f t="shared" si="1"/>
        <v>1.532567049808429E-2</v>
      </c>
      <c r="L11" s="11"/>
      <c r="M11" s="11"/>
      <c r="N11" s="11"/>
    </row>
    <row r="12" spans="1:14">
      <c r="A12" s="37" t="s">
        <v>533</v>
      </c>
      <c r="B12" s="37">
        <f>COUNTIF(Corpus!$M$2:$M$1045,A12)</f>
        <v>67</v>
      </c>
      <c r="C12" s="39">
        <f t="shared" si="0"/>
        <v>6.417624521072797E-2</v>
      </c>
      <c r="D12" s="37"/>
      <c r="E12" s="37">
        <v>2025</v>
      </c>
      <c r="F12" s="37">
        <f>COUNTIF(Corpus!$C$2:$C$1045,E12)</f>
        <v>242</v>
      </c>
      <c r="G12" s="39">
        <f t="shared" si="2"/>
        <v>-9.3632958801498134E-2</v>
      </c>
      <c r="H12" s="37"/>
      <c r="I12" s="37"/>
      <c r="J12" s="37"/>
      <c r="K12" s="37"/>
      <c r="L12" s="11"/>
      <c r="M12" s="11"/>
      <c r="N12" s="11"/>
    </row>
    <row r="13" spans="1:14">
      <c r="A13" s="37" t="s">
        <v>536</v>
      </c>
      <c r="B13" s="37">
        <f>COUNTIF(Corpus!$M$2:$M$1045,A13)</f>
        <v>15</v>
      </c>
      <c r="C13" s="39">
        <f t="shared" si="0"/>
        <v>1.4367816091954023E-2</v>
      </c>
      <c r="D13" s="37"/>
      <c r="E13" s="37">
        <v>2026</v>
      </c>
      <c r="F13" s="37">
        <f>COUNTIF(Corpus!$C$2:$C$1045,E13)</f>
        <v>301</v>
      </c>
      <c r="G13" s="39">
        <f t="shared" si="2"/>
        <v>0.24380165289256195</v>
      </c>
      <c r="H13" s="37"/>
      <c r="I13" s="37"/>
      <c r="J13" s="37"/>
      <c r="K13" s="37"/>
      <c r="L13" s="11"/>
      <c r="M13" s="11"/>
      <c r="N13" s="11"/>
    </row>
    <row r="14" spans="1:14">
      <c r="A14" s="37"/>
      <c r="B14" s="37"/>
      <c r="C14" s="37"/>
      <c r="D14" s="37"/>
      <c r="E14" s="37"/>
      <c r="F14" s="37"/>
      <c r="G14" s="37"/>
      <c r="H14" s="37"/>
      <c r="I14" s="37"/>
      <c r="J14" s="37"/>
      <c r="K14" s="37"/>
      <c r="L14" s="11"/>
      <c r="M14" s="11"/>
      <c r="N14" s="11"/>
    </row>
    <row r="15" spans="1:14">
      <c r="A15" s="37"/>
      <c r="B15" s="37"/>
      <c r="C15" s="37"/>
      <c r="D15" s="37"/>
      <c r="E15" s="37"/>
      <c r="F15" s="37"/>
      <c r="G15" s="37"/>
      <c r="H15" s="37"/>
      <c r="I15" s="37"/>
      <c r="J15" s="37"/>
      <c r="K15" s="37"/>
      <c r="L15" s="11"/>
      <c r="M15" s="11"/>
      <c r="N15" s="11"/>
    </row>
    <row r="16" spans="1:14">
      <c r="A16" s="37"/>
      <c r="B16" s="37"/>
      <c r="C16" s="37"/>
      <c r="D16" s="37"/>
      <c r="E16" s="37"/>
      <c r="F16" s="37"/>
      <c r="G16" s="37"/>
      <c r="H16" s="37"/>
      <c r="I16" s="37"/>
      <c r="J16" s="37"/>
      <c r="K16" s="37"/>
      <c r="L16" s="11"/>
      <c r="M16" s="11"/>
      <c r="N16" s="11"/>
    </row>
    <row r="17" spans="1:14">
      <c r="A17" s="37"/>
      <c r="B17" s="37"/>
      <c r="C17" s="37"/>
      <c r="D17" s="37"/>
      <c r="E17" s="37"/>
      <c r="F17" s="37"/>
      <c r="G17" s="37"/>
      <c r="H17" s="37"/>
      <c r="I17" s="37"/>
      <c r="J17" s="37"/>
      <c r="K17" s="37"/>
      <c r="L17" s="11"/>
      <c r="M17" s="11"/>
      <c r="N17" s="11"/>
    </row>
    <row r="18" spans="1:14">
      <c r="A18" s="37"/>
      <c r="B18" s="37"/>
      <c r="C18" s="37"/>
      <c r="D18" s="37"/>
      <c r="E18" s="37"/>
      <c r="F18" s="37"/>
      <c r="G18" s="37"/>
      <c r="H18" s="37"/>
      <c r="I18" s="37"/>
      <c r="J18" s="37"/>
      <c r="K18" s="37"/>
      <c r="L18" s="11"/>
      <c r="M18" s="11"/>
      <c r="N18" s="11"/>
    </row>
    <row r="19" spans="1:14">
      <c r="A19" s="37"/>
      <c r="B19" s="37"/>
      <c r="C19" s="37"/>
      <c r="D19" s="37"/>
      <c r="E19" s="37"/>
      <c r="F19" s="37"/>
      <c r="G19" s="37"/>
      <c r="H19" s="37"/>
      <c r="I19" s="37"/>
      <c r="J19" s="37"/>
      <c r="K19" s="37"/>
      <c r="L19" s="11"/>
      <c r="M19" s="11"/>
      <c r="N19" s="11"/>
    </row>
    <row r="20" spans="1:14">
      <c r="A20" s="37"/>
      <c r="B20" s="37"/>
      <c r="C20" s="37"/>
      <c r="D20" s="37"/>
      <c r="E20" s="37"/>
      <c r="F20" s="37"/>
      <c r="G20" s="37"/>
      <c r="H20" s="37"/>
      <c r="I20" s="37"/>
      <c r="J20" s="37"/>
      <c r="K20" s="37"/>
      <c r="L20" s="11"/>
      <c r="M20" s="11"/>
      <c r="N20" s="11"/>
    </row>
  </sheetData>
  <mergeCells count="5">
    <mergeCell ref="A1:N1"/>
    <mergeCell ref="A2:N2"/>
    <mergeCell ref="A4:C4"/>
    <mergeCell ref="E4:G4"/>
    <mergeCell ref="I4:K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20"/>
  <sheetViews>
    <sheetView showGridLines="0" zoomScale="80" zoomScaleNormal="80" workbookViewId="0">
      <selection sqref="A1:P1"/>
    </sheetView>
  </sheetViews>
  <sheetFormatPr defaultRowHeight="14"/>
  <cols>
    <col min="1" max="1" width="16.6640625" customWidth="1"/>
    <col min="2" max="2" width="8.9140625" customWidth="1"/>
    <col min="3" max="3" width="9.4140625" customWidth="1"/>
    <col min="4" max="4" width="10" customWidth="1"/>
    <col min="5" max="5" width="8.9140625" customWidth="1"/>
    <col min="6" max="6" width="10" customWidth="1"/>
    <col min="7" max="7" width="9.4140625" customWidth="1"/>
    <col min="8" max="8" width="10" customWidth="1"/>
    <col min="9" max="9" width="11.08203125" customWidth="1"/>
    <col min="10" max="10" width="11.6640625" customWidth="1"/>
    <col min="11" max="11" width="9.4140625" customWidth="1"/>
    <col min="12" max="12" width="11.08203125" customWidth="1"/>
    <col min="13" max="13" width="8.33203125" customWidth="1"/>
    <col min="14" max="14" width="10" customWidth="1"/>
    <col min="15" max="15" width="25.58203125" customWidth="1"/>
    <col min="16" max="16" width="42.25" customWidth="1"/>
  </cols>
  <sheetData>
    <row r="1" spans="1:16" ht="23">
      <c r="A1" s="113" t="s">
        <v>4203</v>
      </c>
      <c r="B1" s="113"/>
      <c r="C1" s="113"/>
      <c r="D1" s="113"/>
      <c r="E1" s="113"/>
      <c r="F1" s="113"/>
      <c r="G1" s="113"/>
      <c r="H1" s="113"/>
      <c r="I1" s="113"/>
      <c r="J1" s="113"/>
      <c r="K1" s="113"/>
      <c r="L1" s="113"/>
      <c r="M1" s="113"/>
      <c r="N1" s="113"/>
      <c r="O1" s="113"/>
      <c r="P1" s="113"/>
    </row>
    <row r="2" spans="1:16">
      <c r="A2" s="114" t="s">
        <v>4204</v>
      </c>
      <c r="B2" s="114"/>
      <c r="C2" s="114"/>
      <c r="D2" s="114"/>
      <c r="E2" s="114"/>
      <c r="F2" s="114"/>
      <c r="G2" s="114"/>
      <c r="H2" s="114"/>
      <c r="I2" s="114"/>
      <c r="J2" s="114"/>
      <c r="K2" s="114"/>
      <c r="L2" s="114"/>
      <c r="M2" s="114"/>
      <c r="N2" s="114"/>
      <c r="O2" s="114"/>
      <c r="P2" s="114"/>
    </row>
    <row r="3" spans="1:16">
      <c r="A3" s="11"/>
      <c r="B3" s="11"/>
      <c r="C3" s="11"/>
      <c r="D3" s="11"/>
      <c r="E3" s="11"/>
      <c r="F3" s="11"/>
      <c r="G3" s="11"/>
      <c r="H3" s="11"/>
      <c r="I3" s="11"/>
      <c r="J3" s="11"/>
      <c r="K3" s="11"/>
      <c r="L3" s="11"/>
      <c r="M3" s="11"/>
      <c r="N3" s="11"/>
      <c r="O3" s="11"/>
      <c r="P3" s="11"/>
    </row>
    <row r="4" spans="1:16" ht="26">
      <c r="A4" s="4" t="s">
        <v>28</v>
      </c>
      <c r="B4" s="5" t="s">
        <v>8</v>
      </c>
      <c r="C4" s="5" t="s">
        <v>4205</v>
      </c>
      <c r="D4" s="5" t="s">
        <v>29</v>
      </c>
      <c r="E4" s="5" t="s">
        <v>4206</v>
      </c>
      <c r="F4" s="5" t="s">
        <v>30</v>
      </c>
      <c r="G4" s="5" t="s">
        <v>4207</v>
      </c>
      <c r="H4" s="5" t="s">
        <v>339</v>
      </c>
      <c r="I4" s="5" t="s">
        <v>4208</v>
      </c>
      <c r="J4" s="5" t="s">
        <v>217</v>
      </c>
      <c r="K4" s="5" t="s">
        <v>867</v>
      </c>
      <c r="L4" s="5" t="s">
        <v>338</v>
      </c>
      <c r="M4" s="5" t="s">
        <v>4209</v>
      </c>
      <c r="N4" s="5" t="s">
        <v>4</v>
      </c>
      <c r="O4" s="5" t="s">
        <v>874</v>
      </c>
      <c r="P4" s="6" t="s">
        <v>4210</v>
      </c>
    </row>
    <row r="5" spans="1:16" ht="25.5" customHeight="1">
      <c r="A5" s="35" t="s">
        <v>37</v>
      </c>
      <c r="B5" s="35">
        <v>798</v>
      </c>
      <c r="C5" s="41">
        <v>0.76436781609195403</v>
      </c>
      <c r="D5" s="35">
        <v>17485</v>
      </c>
      <c r="E5" s="41">
        <v>0.76735714912665676</v>
      </c>
      <c r="F5" s="42">
        <v>21.911027568922307</v>
      </c>
      <c r="G5" s="42">
        <v>16</v>
      </c>
      <c r="H5" s="42">
        <v>48.585964912280701</v>
      </c>
      <c r="I5" s="42">
        <v>183</v>
      </c>
      <c r="J5" s="42">
        <v>22.781954887218046</v>
      </c>
      <c r="K5" s="35">
        <v>241</v>
      </c>
      <c r="L5" s="35">
        <v>147</v>
      </c>
      <c r="M5" s="41">
        <v>0.39223057644110276</v>
      </c>
      <c r="N5" s="35">
        <v>49</v>
      </c>
      <c r="O5" s="35" t="s">
        <v>512</v>
      </c>
      <c r="P5" s="34" t="s">
        <v>4211</v>
      </c>
    </row>
    <row r="6" spans="1:16" ht="25.5" customHeight="1">
      <c r="A6" s="35" t="s">
        <v>371</v>
      </c>
      <c r="B6" s="35">
        <v>87</v>
      </c>
      <c r="C6" s="41">
        <v>8.3333333333333329E-2</v>
      </c>
      <c r="D6" s="35">
        <v>1758</v>
      </c>
      <c r="E6" s="41">
        <v>7.7152637584481695E-2</v>
      </c>
      <c r="F6" s="42">
        <v>20.206896551724139</v>
      </c>
      <c r="G6" s="42">
        <v>17</v>
      </c>
      <c r="H6" s="42">
        <v>51.087356321839081</v>
      </c>
      <c r="I6" s="42">
        <v>11</v>
      </c>
      <c r="J6" s="42">
        <v>17.931034482758619</v>
      </c>
      <c r="K6" s="35">
        <v>4</v>
      </c>
      <c r="L6" s="35">
        <v>0</v>
      </c>
      <c r="M6" s="41">
        <v>0.34482758620689657</v>
      </c>
      <c r="N6" s="35">
        <v>17</v>
      </c>
      <c r="O6" s="35" t="s">
        <v>512</v>
      </c>
      <c r="P6" s="34" t="s">
        <v>4212</v>
      </c>
    </row>
    <row r="7" spans="1:16" ht="25.5" customHeight="1">
      <c r="A7" s="35" t="s">
        <v>360</v>
      </c>
      <c r="B7" s="35">
        <v>85</v>
      </c>
      <c r="C7" s="41">
        <v>8.141762452107279E-2</v>
      </c>
      <c r="D7" s="35">
        <v>2074</v>
      </c>
      <c r="E7" s="41">
        <v>9.1020802246993771E-2</v>
      </c>
      <c r="F7" s="42">
        <v>24.4</v>
      </c>
      <c r="G7" s="42">
        <v>23</v>
      </c>
      <c r="H7" s="42">
        <v>63.330588235294123</v>
      </c>
      <c r="I7" s="42">
        <v>33</v>
      </c>
      <c r="J7" s="42">
        <v>20.470588235294116</v>
      </c>
      <c r="K7" s="35">
        <v>45</v>
      </c>
      <c r="L7" s="35">
        <v>29</v>
      </c>
      <c r="M7" s="41">
        <v>0.37647058823529411</v>
      </c>
      <c r="N7" s="35">
        <v>21</v>
      </c>
      <c r="O7" s="35" t="s">
        <v>512</v>
      </c>
      <c r="P7" s="34" t="s">
        <v>4213</v>
      </c>
    </row>
    <row r="8" spans="1:16" ht="25.5" customHeight="1">
      <c r="A8" s="35" t="s">
        <v>382</v>
      </c>
      <c r="B8" s="35">
        <v>67</v>
      </c>
      <c r="C8" s="41">
        <v>6.417624521072797E-2</v>
      </c>
      <c r="D8" s="35">
        <v>1407</v>
      </c>
      <c r="E8" s="41">
        <v>6.1748442025805317E-2</v>
      </c>
      <c r="F8" s="42">
        <v>21</v>
      </c>
      <c r="G8" s="42">
        <v>18</v>
      </c>
      <c r="H8" s="42">
        <v>51.950746268656715</v>
      </c>
      <c r="I8" s="42">
        <v>13</v>
      </c>
      <c r="J8" s="42">
        <v>17.313432835820894</v>
      </c>
      <c r="K8" s="35">
        <v>11</v>
      </c>
      <c r="L8" s="35">
        <v>0</v>
      </c>
      <c r="M8" s="41">
        <v>0.13432835820895522</v>
      </c>
      <c r="N8" s="35">
        <v>13</v>
      </c>
      <c r="O8" s="35" t="s">
        <v>512</v>
      </c>
      <c r="P8" s="34" t="s">
        <v>4214</v>
      </c>
    </row>
    <row r="9" spans="1:16" ht="25.5" customHeight="1">
      <c r="A9" s="35" t="s">
        <v>392</v>
      </c>
      <c r="B9" s="35">
        <v>7</v>
      </c>
      <c r="C9" s="41">
        <v>6.7049808429118776E-3</v>
      </c>
      <c r="D9" s="35">
        <v>62</v>
      </c>
      <c r="E9" s="41">
        <v>2.7209690160624944E-3</v>
      </c>
      <c r="F9" s="42">
        <v>8.8571428571428577</v>
      </c>
      <c r="G9" s="42">
        <v>8</v>
      </c>
      <c r="H9" s="42">
        <v>17.085714285714285</v>
      </c>
      <c r="I9" s="42">
        <v>0</v>
      </c>
      <c r="J9" s="42">
        <v>21.428571428571427</v>
      </c>
      <c r="K9" s="35">
        <v>0</v>
      </c>
      <c r="L9" s="35">
        <v>0</v>
      </c>
      <c r="M9" s="41">
        <v>0.14285714285714285</v>
      </c>
      <c r="N9" s="35">
        <v>2</v>
      </c>
      <c r="O9" s="35" t="s">
        <v>515</v>
      </c>
      <c r="P9" s="34" t="s">
        <v>4215</v>
      </c>
    </row>
    <row r="10" spans="1:16">
      <c r="A10" s="11"/>
      <c r="B10" s="11"/>
      <c r="C10" s="11"/>
      <c r="D10" s="11"/>
      <c r="E10" s="11"/>
      <c r="F10" s="11"/>
      <c r="G10" s="11"/>
      <c r="H10" s="11"/>
      <c r="I10" s="11"/>
      <c r="J10" s="11"/>
      <c r="K10" s="11"/>
      <c r="L10" s="11"/>
      <c r="M10" s="11"/>
      <c r="N10" s="11"/>
      <c r="O10" s="11"/>
      <c r="P10" s="11"/>
    </row>
    <row r="11" spans="1:16">
      <c r="A11" s="11"/>
      <c r="B11" s="11"/>
      <c r="C11" s="11"/>
      <c r="D11" s="11"/>
      <c r="E11" s="11"/>
      <c r="F11" s="11"/>
      <c r="G11" s="11"/>
      <c r="H11" s="11"/>
      <c r="I11" s="11"/>
      <c r="J11" s="11"/>
      <c r="K11" s="11"/>
      <c r="L11" s="11"/>
      <c r="M11" s="11"/>
      <c r="N11" s="11"/>
      <c r="O11" s="11"/>
      <c r="P11" s="11"/>
    </row>
    <row r="12" spans="1:16">
      <c r="A12" s="152" t="s">
        <v>4216</v>
      </c>
      <c r="B12" s="152" t="s">
        <v>4216</v>
      </c>
      <c r="C12" s="152" t="s">
        <v>4216</v>
      </c>
      <c r="D12" s="152" t="s">
        <v>4216</v>
      </c>
      <c r="E12" s="152" t="s">
        <v>4216</v>
      </c>
      <c r="F12" s="152" t="s">
        <v>4216</v>
      </c>
      <c r="G12" s="152" t="s">
        <v>4216</v>
      </c>
      <c r="H12" s="152" t="s">
        <v>4216</v>
      </c>
      <c r="I12" s="11"/>
      <c r="J12" s="11"/>
      <c r="K12" s="11"/>
      <c r="L12" s="11"/>
      <c r="M12" s="11"/>
      <c r="N12" s="11"/>
      <c r="O12" s="11"/>
      <c r="P12" s="11"/>
    </row>
    <row r="13" spans="1:16">
      <c r="A13" s="153" t="s">
        <v>4217</v>
      </c>
      <c r="B13" s="154"/>
      <c r="C13" s="154"/>
      <c r="D13" s="154"/>
      <c r="E13" s="154"/>
      <c r="F13" s="154"/>
      <c r="G13" s="154"/>
      <c r="H13" s="155"/>
      <c r="I13" s="11"/>
      <c r="J13" s="11"/>
      <c r="K13" s="11"/>
      <c r="L13" s="11"/>
      <c r="M13" s="11"/>
      <c r="N13" s="11"/>
      <c r="O13" s="11"/>
      <c r="P13" s="11"/>
    </row>
    <row r="14" spans="1:16">
      <c r="A14" s="156"/>
      <c r="B14" s="157"/>
      <c r="C14" s="157"/>
      <c r="D14" s="157"/>
      <c r="E14" s="157"/>
      <c r="F14" s="157"/>
      <c r="G14" s="157"/>
      <c r="H14" s="158"/>
      <c r="I14" s="11"/>
      <c r="J14" s="11"/>
      <c r="K14" s="11"/>
      <c r="L14" s="11"/>
      <c r="M14" s="11"/>
      <c r="N14" s="11"/>
      <c r="O14" s="11"/>
      <c r="P14" s="11"/>
    </row>
    <row r="15" spans="1:16">
      <c r="A15" s="156"/>
      <c r="B15" s="157"/>
      <c r="C15" s="157"/>
      <c r="D15" s="157"/>
      <c r="E15" s="157"/>
      <c r="F15" s="157"/>
      <c r="G15" s="157"/>
      <c r="H15" s="158"/>
      <c r="I15" s="11"/>
      <c r="J15" s="11"/>
      <c r="K15" s="11"/>
      <c r="L15" s="11"/>
      <c r="M15" s="11"/>
      <c r="N15" s="11"/>
      <c r="O15" s="11"/>
      <c r="P15" s="11"/>
    </row>
    <row r="16" spans="1:16">
      <c r="A16" s="156"/>
      <c r="B16" s="157"/>
      <c r="C16" s="157"/>
      <c r="D16" s="157"/>
      <c r="E16" s="157"/>
      <c r="F16" s="157"/>
      <c r="G16" s="157"/>
      <c r="H16" s="158"/>
      <c r="I16" s="11"/>
      <c r="J16" s="11"/>
      <c r="K16" s="11"/>
      <c r="L16" s="11"/>
      <c r="M16" s="11"/>
      <c r="N16" s="11"/>
      <c r="O16" s="11"/>
      <c r="P16" s="11"/>
    </row>
    <row r="17" spans="1:16">
      <c r="A17" s="156"/>
      <c r="B17" s="157"/>
      <c r="C17" s="157"/>
      <c r="D17" s="157"/>
      <c r="E17" s="157"/>
      <c r="F17" s="157"/>
      <c r="G17" s="157"/>
      <c r="H17" s="158"/>
      <c r="I17" s="11"/>
      <c r="J17" s="11"/>
      <c r="K17" s="11"/>
      <c r="L17" s="11"/>
      <c r="M17" s="11"/>
      <c r="N17" s="11"/>
      <c r="O17" s="11"/>
      <c r="P17" s="11"/>
    </row>
    <row r="18" spans="1:16">
      <c r="A18" s="156"/>
      <c r="B18" s="157"/>
      <c r="C18" s="157"/>
      <c r="D18" s="157"/>
      <c r="E18" s="157"/>
      <c r="F18" s="157"/>
      <c r="G18" s="157"/>
      <c r="H18" s="158"/>
      <c r="I18" s="11"/>
      <c r="J18" s="11"/>
      <c r="K18" s="11"/>
      <c r="L18" s="11"/>
      <c r="M18" s="11"/>
      <c r="N18" s="11"/>
      <c r="O18" s="11"/>
      <c r="P18" s="11"/>
    </row>
    <row r="19" spans="1:16">
      <c r="A19" s="156"/>
      <c r="B19" s="157"/>
      <c r="C19" s="157"/>
      <c r="D19" s="157"/>
      <c r="E19" s="157"/>
      <c r="F19" s="157"/>
      <c r="G19" s="157"/>
      <c r="H19" s="158"/>
      <c r="I19" s="11"/>
      <c r="J19" s="11"/>
      <c r="K19" s="11"/>
      <c r="L19" s="11"/>
      <c r="M19" s="11"/>
      <c r="N19" s="11"/>
      <c r="O19" s="11"/>
      <c r="P19" s="11"/>
    </row>
    <row r="20" spans="1:16">
      <c r="A20" s="159"/>
      <c r="B20" s="160"/>
      <c r="C20" s="160"/>
      <c r="D20" s="160"/>
      <c r="E20" s="160"/>
      <c r="F20" s="160"/>
      <c r="G20" s="160"/>
      <c r="H20" s="161"/>
      <c r="I20" s="11"/>
      <c r="J20" s="11"/>
      <c r="K20" s="11"/>
      <c r="L20" s="11"/>
      <c r="M20" s="11"/>
      <c r="N20" s="11"/>
      <c r="O20" s="11"/>
      <c r="P20" s="11"/>
    </row>
  </sheetData>
  <mergeCells count="4">
    <mergeCell ref="A1:P1"/>
    <mergeCell ref="A2:P2"/>
    <mergeCell ref="A12:H12"/>
    <mergeCell ref="A13:H20"/>
  </mergeCells>
  <conditionalFormatting sqref="B5:B9">
    <cfRule type="dataBar" priority="1">
      <dataBar>
        <cfvo type="min"/>
        <cfvo type="max"/>
        <color rgb="FF7AC142"/>
      </dataBar>
    </cfRule>
    <cfRule type="dataBar" priority="3">
      <dataBar>
        <cfvo type="min"/>
        <cfvo type="max"/>
        <color rgb="FF7AC142"/>
      </dataBar>
      <extLst>
        <ext xmlns:x14="http://schemas.microsoft.com/office/spreadsheetml/2009/9/main" uri="{B025F937-C7B1-47D3-B67F-A62EFF666E3E}">
          <x14:id>{341F2AB0-7D1B-09AE-BED2-A1FD153C8389}</x14:id>
        </ext>
      </extLst>
    </cfRule>
  </conditionalFormatting>
  <conditionalFormatting sqref="D5:D9">
    <cfRule type="dataBar" priority="2">
      <dataBar>
        <cfvo type="min"/>
        <cfvo type="max"/>
        <color rgb="FF354E84"/>
      </dataBar>
    </cfRule>
    <cfRule type="dataBar" priority="4">
      <dataBar>
        <cfvo type="min"/>
        <cfvo type="max"/>
        <color rgb="FF354E84"/>
      </dataBar>
      <extLst>
        <ext xmlns:x14="http://schemas.microsoft.com/office/spreadsheetml/2009/9/main" uri="{B025F937-C7B1-47D3-B67F-A62EFF666E3E}">
          <x14:id>{8E331074-D107-288E-8781-370FE8BB21DE}</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41F2AB0-7D1B-09AE-BED2-A1FD153C8389}">
            <x14:dataBar>
              <x14:cfvo type="min"/>
              <x14:cfvo type="max"/>
              <x14:negativeFillColor auto="1"/>
              <x14:axisColor auto="1"/>
            </x14:dataBar>
          </x14:cfRule>
          <xm:sqref>B5:B9</xm:sqref>
        </x14:conditionalFormatting>
        <x14:conditionalFormatting xmlns:xm="http://schemas.microsoft.com/office/excel/2006/main">
          <x14:cfRule type="dataBar" id="{8E331074-D107-288E-8781-370FE8BB21DE}">
            <x14:dataBar>
              <x14:cfvo type="min"/>
              <x14:cfvo type="max"/>
              <x14:negativeFillColor auto="1"/>
              <x14:axisColor auto="1"/>
            </x14:dataBar>
          </x14:cfRule>
          <xm:sqref>D5:D9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3"/>
  <sheetViews>
    <sheetView showGridLines="0" topLeftCell="A22" zoomScale="80" zoomScaleNormal="80" workbookViewId="0">
      <selection sqref="A1:P1"/>
    </sheetView>
  </sheetViews>
  <sheetFormatPr defaultRowHeight="14"/>
  <cols>
    <col min="1" max="1" width="27.25" customWidth="1"/>
    <col min="2" max="2" width="9.4140625" customWidth="1"/>
    <col min="3" max="3" width="19.4140625" customWidth="1"/>
    <col min="4" max="4" width="28.9140625" customWidth="1"/>
    <col min="5" max="6" width="10" customWidth="1"/>
    <col min="7" max="7" width="2.75" customWidth="1"/>
    <col min="8" max="11" width="10.58203125" customWidth="1"/>
    <col min="12" max="12" width="2.75" customWidth="1"/>
    <col min="13" max="16" width="10.58203125" customWidth="1"/>
  </cols>
  <sheetData>
    <row r="1" spans="1:16" ht="23">
      <c r="A1" s="113" t="s">
        <v>4218</v>
      </c>
      <c r="B1" s="113"/>
      <c r="C1" s="113"/>
      <c r="D1" s="113"/>
      <c r="E1" s="113"/>
      <c r="F1" s="113"/>
      <c r="G1" s="113"/>
      <c r="H1" s="113"/>
      <c r="I1" s="113"/>
      <c r="J1" s="113"/>
      <c r="K1" s="113"/>
      <c r="L1" s="113"/>
      <c r="M1" s="113"/>
      <c r="N1" s="113"/>
      <c r="O1" s="113"/>
      <c r="P1" s="113"/>
    </row>
    <row r="2" spans="1:16">
      <c r="A2" s="114" t="s">
        <v>4219</v>
      </c>
      <c r="B2" s="114"/>
      <c r="C2" s="114"/>
      <c r="D2" s="114"/>
      <c r="E2" s="114"/>
      <c r="F2" s="114"/>
      <c r="G2" s="114"/>
      <c r="H2" s="114"/>
      <c r="I2" s="114"/>
      <c r="J2" s="114"/>
      <c r="K2" s="114"/>
      <c r="L2" s="114"/>
      <c r="M2" s="114"/>
      <c r="N2" s="114"/>
      <c r="O2" s="114"/>
      <c r="P2" s="114"/>
    </row>
    <row r="3" spans="1:16">
      <c r="A3" s="11"/>
      <c r="B3" s="11"/>
      <c r="C3" s="11"/>
      <c r="D3" s="11"/>
      <c r="E3" s="11"/>
      <c r="F3" s="11"/>
      <c r="G3" s="11"/>
      <c r="H3" s="11"/>
      <c r="I3" s="11"/>
      <c r="J3" s="11"/>
      <c r="K3" s="11"/>
      <c r="L3" s="11"/>
      <c r="M3" s="11"/>
      <c r="N3" s="11"/>
      <c r="O3" s="11"/>
      <c r="P3" s="11"/>
    </row>
    <row r="4" spans="1:16">
      <c r="A4" s="115">
        <v>22786</v>
      </c>
      <c r="B4" s="116"/>
      <c r="C4" s="117"/>
      <c r="D4" s="11"/>
      <c r="E4" s="207">
        <v>21.825670498084293</v>
      </c>
      <c r="F4" s="208"/>
      <c r="G4" s="209"/>
      <c r="H4" s="11"/>
      <c r="I4" s="242">
        <v>16.5</v>
      </c>
      <c r="J4" s="243"/>
      <c r="K4" s="244"/>
      <c r="L4" s="11"/>
      <c r="M4" s="189">
        <v>226</v>
      </c>
      <c r="N4" s="190"/>
      <c r="O4" s="190"/>
      <c r="P4" s="191"/>
    </row>
    <row r="5" spans="1:16">
      <c r="A5" s="118"/>
      <c r="B5" s="119"/>
      <c r="C5" s="120"/>
      <c r="D5" s="11"/>
      <c r="E5" s="210"/>
      <c r="F5" s="211"/>
      <c r="G5" s="212"/>
      <c r="H5" s="11"/>
      <c r="I5" s="245"/>
      <c r="J5" s="246"/>
      <c r="K5" s="247"/>
      <c r="L5" s="11"/>
      <c r="M5" s="192"/>
      <c r="N5" s="193"/>
      <c r="O5" s="193"/>
      <c r="P5" s="194"/>
    </row>
    <row r="6" spans="1:16">
      <c r="A6" s="118"/>
      <c r="B6" s="119"/>
      <c r="C6" s="120"/>
      <c r="D6" s="11"/>
      <c r="E6" s="210"/>
      <c r="F6" s="211"/>
      <c r="G6" s="212"/>
      <c r="H6" s="11"/>
      <c r="I6" s="245"/>
      <c r="J6" s="246"/>
      <c r="K6" s="247"/>
      <c r="L6" s="11"/>
      <c r="M6" s="192"/>
      <c r="N6" s="193"/>
      <c r="O6" s="193"/>
      <c r="P6" s="194"/>
    </row>
    <row r="7" spans="1:16">
      <c r="A7" s="121"/>
      <c r="B7" s="122"/>
      <c r="C7" s="123"/>
      <c r="D7" s="11"/>
      <c r="E7" s="213"/>
      <c r="F7" s="214"/>
      <c r="G7" s="215"/>
      <c r="H7" s="11"/>
      <c r="I7" s="248"/>
      <c r="J7" s="249"/>
      <c r="K7" s="250"/>
      <c r="L7" s="11"/>
      <c r="M7" s="195"/>
      <c r="N7" s="196"/>
      <c r="O7" s="196"/>
      <c r="P7" s="197"/>
    </row>
    <row r="8" spans="1:16">
      <c r="A8" s="124" t="s">
        <v>23</v>
      </c>
      <c r="B8" s="124"/>
      <c r="C8" s="124"/>
      <c r="D8" s="11"/>
      <c r="E8" s="124" t="s">
        <v>4220</v>
      </c>
      <c r="F8" s="124"/>
      <c r="G8" s="124"/>
      <c r="H8" s="11"/>
      <c r="I8" s="124" t="s">
        <v>4221</v>
      </c>
      <c r="J8" s="124"/>
      <c r="K8" s="124"/>
      <c r="L8" s="11"/>
      <c r="M8" s="124" t="s">
        <v>4222</v>
      </c>
      <c r="N8" s="124"/>
      <c r="O8" s="124"/>
      <c r="P8" s="124"/>
    </row>
    <row r="9" spans="1:16">
      <c r="A9" s="11"/>
      <c r="B9" s="11"/>
      <c r="C9" s="11"/>
      <c r="D9" s="11"/>
      <c r="E9" s="11"/>
      <c r="F9" s="11"/>
      <c r="G9" s="11"/>
      <c r="H9" s="11"/>
      <c r="I9" s="11"/>
      <c r="J9" s="11"/>
      <c r="K9" s="11"/>
      <c r="L9" s="11"/>
      <c r="M9" s="11"/>
      <c r="N9" s="11"/>
      <c r="O9" s="11"/>
      <c r="P9" s="11"/>
    </row>
    <row r="10" spans="1:16">
      <c r="A10" s="152" t="s">
        <v>4223</v>
      </c>
      <c r="B10" s="152" t="s">
        <v>4223</v>
      </c>
      <c r="C10" s="152" t="s">
        <v>4223</v>
      </c>
      <c r="D10" s="152" t="s">
        <v>4223</v>
      </c>
      <c r="E10" s="152" t="s">
        <v>4223</v>
      </c>
      <c r="F10" s="152" t="s">
        <v>4223</v>
      </c>
      <c r="G10" s="11"/>
      <c r="H10" s="11"/>
      <c r="I10" s="11"/>
      <c r="J10" s="11"/>
      <c r="K10" s="11"/>
      <c r="L10" s="11"/>
      <c r="M10" s="11"/>
      <c r="N10" s="11"/>
      <c r="O10" s="11"/>
      <c r="P10" s="11"/>
    </row>
    <row r="11" spans="1:16" ht="26">
      <c r="A11" s="1" t="s">
        <v>950</v>
      </c>
      <c r="B11" s="2" t="s">
        <v>8</v>
      </c>
      <c r="C11" s="2" t="s">
        <v>29</v>
      </c>
      <c r="D11" s="2" t="s">
        <v>30</v>
      </c>
      <c r="E11" s="2" t="s">
        <v>339</v>
      </c>
      <c r="F11" s="3" t="s">
        <v>4224</v>
      </c>
      <c r="G11" s="11"/>
      <c r="H11" s="11"/>
      <c r="I11" s="11"/>
      <c r="J11" s="11"/>
      <c r="K11" s="11"/>
      <c r="L11" s="11"/>
      <c r="M11" s="11"/>
      <c r="N11" s="11"/>
      <c r="O11" s="11"/>
      <c r="P11" s="11"/>
    </row>
    <row r="12" spans="1:16">
      <c r="A12" s="11">
        <v>2019</v>
      </c>
      <c r="B12" s="12">
        <v>8</v>
      </c>
      <c r="C12" s="12">
        <v>115</v>
      </c>
      <c r="D12" s="13">
        <v>14.375</v>
      </c>
      <c r="E12" s="13">
        <v>24.162500000000001</v>
      </c>
      <c r="F12" s="13">
        <v>18.75</v>
      </c>
      <c r="G12" s="11"/>
      <c r="H12" s="11"/>
      <c r="I12" s="11"/>
      <c r="J12" s="11"/>
      <c r="K12" s="11"/>
      <c r="L12" s="11"/>
      <c r="M12" s="11"/>
      <c r="N12" s="11"/>
      <c r="O12" s="11"/>
      <c r="P12" s="11"/>
    </row>
    <row r="13" spans="1:16">
      <c r="A13" s="11">
        <v>2020</v>
      </c>
      <c r="B13" s="12">
        <v>7</v>
      </c>
      <c r="C13" s="12">
        <v>74</v>
      </c>
      <c r="D13" s="13">
        <v>10.571428571428571</v>
      </c>
      <c r="E13" s="13">
        <v>21.25714285714286</v>
      </c>
      <c r="F13" s="13">
        <v>17.142857142857142</v>
      </c>
      <c r="G13" s="11"/>
      <c r="H13" s="11"/>
      <c r="I13" s="11"/>
      <c r="J13" s="11"/>
      <c r="K13" s="11"/>
      <c r="L13" s="11"/>
      <c r="M13" s="11"/>
      <c r="N13" s="11"/>
      <c r="O13" s="11"/>
      <c r="P13" s="11"/>
    </row>
    <row r="14" spans="1:16">
      <c r="A14" s="11">
        <v>2021</v>
      </c>
      <c r="B14" s="12">
        <v>11</v>
      </c>
      <c r="C14" s="12">
        <v>90</v>
      </c>
      <c r="D14" s="13">
        <v>8.1818181818181817</v>
      </c>
      <c r="E14" s="13">
        <v>16.363636363636363</v>
      </c>
      <c r="F14" s="13">
        <v>19.09090909090909</v>
      </c>
      <c r="G14" s="11"/>
      <c r="H14" s="11"/>
      <c r="I14" s="11"/>
      <c r="J14" s="11"/>
      <c r="K14" s="11"/>
      <c r="L14" s="11"/>
      <c r="M14" s="11"/>
      <c r="N14" s="11"/>
      <c r="O14" s="11"/>
      <c r="P14" s="11"/>
    </row>
    <row r="15" spans="1:16">
      <c r="A15" s="11">
        <v>2022</v>
      </c>
      <c r="B15" s="12">
        <v>70</v>
      </c>
      <c r="C15" s="12">
        <v>951</v>
      </c>
      <c r="D15" s="13">
        <v>13.585714285714285</v>
      </c>
      <c r="E15" s="13">
        <v>26.662857142857145</v>
      </c>
      <c r="F15" s="13">
        <v>16.714285714285715</v>
      </c>
      <c r="G15" s="11"/>
      <c r="H15" s="11"/>
      <c r="I15" s="11"/>
      <c r="J15" s="11"/>
      <c r="K15" s="11"/>
      <c r="L15" s="11"/>
      <c r="M15" s="11"/>
      <c r="N15" s="11"/>
      <c r="O15" s="11"/>
      <c r="P15" s="11"/>
    </row>
    <row r="16" spans="1:16">
      <c r="A16" s="11">
        <v>2023</v>
      </c>
      <c r="B16" s="12">
        <v>138</v>
      </c>
      <c r="C16" s="12">
        <v>1845</v>
      </c>
      <c r="D16" s="13">
        <v>13.369565217391305</v>
      </c>
      <c r="E16" s="13">
        <v>30.155072463768114</v>
      </c>
      <c r="F16" s="13">
        <v>17.608695652173914</v>
      </c>
      <c r="G16" s="11"/>
      <c r="H16" s="11"/>
      <c r="I16" s="11"/>
      <c r="J16" s="11"/>
      <c r="K16" s="11"/>
      <c r="L16" s="11"/>
      <c r="M16" s="11"/>
      <c r="N16" s="11"/>
      <c r="O16" s="11"/>
      <c r="P16" s="11"/>
    </row>
    <row r="17" spans="1:16">
      <c r="A17" s="11">
        <v>2024</v>
      </c>
      <c r="B17" s="12">
        <v>267</v>
      </c>
      <c r="C17" s="12">
        <v>3831</v>
      </c>
      <c r="D17" s="13">
        <v>14.348314606741573</v>
      </c>
      <c r="E17" s="13">
        <v>36.23932584269663</v>
      </c>
      <c r="F17" s="13">
        <v>17.90262172284644</v>
      </c>
      <c r="G17" s="11"/>
      <c r="H17" s="11"/>
      <c r="I17" s="11"/>
      <c r="J17" s="11"/>
      <c r="K17" s="11"/>
      <c r="L17" s="11"/>
      <c r="M17" s="11"/>
      <c r="N17" s="11"/>
      <c r="O17" s="11"/>
      <c r="P17" s="11"/>
    </row>
    <row r="18" spans="1:16">
      <c r="A18" s="11">
        <v>2025</v>
      </c>
      <c r="B18" s="12">
        <v>242</v>
      </c>
      <c r="C18" s="12">
        <v>4877</v>
      </c>
      <c r="D18" s="13">
        <v>20.152892561983471</v>
      </c>
      <c r="E18" s="13">
        <v>52.48057851239669</v>
      </c>
      <c r="F18" s="13">
        <v>17.93388429752066</v>
      </c>
      <c r="G18" s="11"/>
      <c r="H18" s="11"/>
      <c r="I18" s="11"/>
      <c r="J18" s="11"/>
      <c r="K18" s="11"/>
      <c r="L18" s="11"/>
      <c r="M18" s="11"/>
      <c r="N18" s="11"/>
      <c r="O18" s="11"/>
      <c r="P18" s="11"/>
    </row>
    <row r="19" spans="1:16">
      <c r="A19" s="11">
        <v>2026</v>
      </c>
      <c r="B19" s="12">
        <v>301</v>
      </c>
      <c r="C19" s="12">
        <v>11003</v>
      </c>
      <c r="D19" s="13">
        <v>36.55481727574751</v>
      </c>
      <c r="E19" s="13">
        <v>77.320598006644516</v>
      </c>
      <c r="F19" s="13">
        <v>31.86046511627907</v>
      </c>
      <c r="G19" s="11"/>
      <c r="H19" s="11"/>
      <c r="I19" s="11"/>
      <c r="J19" s="11"/>
      <c r="K19" s="11"/>
      <c r="L19" s="11"/>
      <c r="M19" s="11"/>
      <c r="N19" s="11"/>
      <c r="O19" s="11"/>
      <c r="P19" s="11"/>
    </row>
    <row r="20" spans="1:16">
      <c r="A20" s="11"/>
      <c r="B20" s="11"/>
      <c r="C20" s="11"/>
      <c r="D20" s="11"/>
      <c r="E20" s="11"/>
      <c r="F20" s="11"/>
      <c r="G20" s="11"/>
      <c r="H20" s="11"/>
      <c r="I20" s="11"/>
      <c r="J20" s="11"/>
      <c r="K20" s="11"/>
      <c r="L20" s="11"/>
      <c r="M20" s="11"/>
      <c r="N20" s="11"/>
      <c r="O20" s="11"/>
      <c r="P20" s="11"/>
    </row>
    <row r="21" spans="1:16">
      <c r="A21" s="11"/>
      <c r="B21" s="11"/>
      <c r="C21" s="11"/>
      <c r="D21" s="11"/>
      <c r="E21" s="11"/>
      <c r="F21" s="11"/>
      <c r="G21" s="11"/>
      <c r="H21" s="11"/>
      <c r="I21" s="11"/>
      <c r="J21" s="11"/>
      <c r="K21" s="11"/>
      <c r="L21" s="11"/>
      <c r="M21" s="11"/>
      <c r="N21" s="11"/>
      <c r="O21" s="11"/>
      <c r="P21" s="11"/>
    </row>
    <row r="22" spans="1:16">
      <c r="A22" s="11"/>
      <c r="B22" s="11"/>
      <c r="C22" s="11"/>
      <c r="D22" s="11"/>
      <c r="E22" s="11"/>
      <c r="F22" s="11"/>
      <c r="G22" s="11"/>
      <c r="H22" s="11"/>
      <c r="I22" s="11"/>
      <c r="J22" s="11"/>
      <c r="K22" s="11"/>
      <c r="L22" s="11"/>
      <c r="M22" s="11"/>
      <c r="N22" s="11"/>
      <c r="O22" s="11"/>
      <c r="P22" s="11"/>
    </row>
    <row r="23" spans="1:16">
      <c r="A23" s="152" t="s">
        <v>4225</v>
      </c>
      <c r="B23" s="152" t="s">
        <v>4225</v>
      </c>
      <c r="C23" s="152" t="s">
        <v>4225</v>
      </c>
      <c r="D23" s="152" t="s">
        <v>4225</v>
      </c>
      <c r="E23" s="152" t="s">
        <v>4225</v>
      </c>
      <c r="F23" s="152" t="s">
        <v>4225</v>
      </c>
      <c r="G23" s="11"/>
      <c r="H23" s="11"/>
      <c r="I23" s="11"/>
      <c r="J23" s="11"/>
      <c r="K23" s="11"/>
      <c r="L23" s="11"/>
      <c r="M23" s="11"/>
      <c r="N23" s="11"/>
      <c r="O23" s="11"/>
      <c r="P23" s="11"/>
    </row>
    <row r="24" spans="1:16" ht="26">
      <c r="A24" s="1" t="s">
        <v>959</v>
      </c>
      <c r="B24" s="2" t="s">
        <v>8</v>
      </c>
      <c r="C24" s="2" t="s">
        <v>29</v>
      </c>
      <c r="D24" s="2" t="s">
        <v>30</v>
      </c>
      <c r="E24" s="2" t="s">
        <v>339</v>
      </c>
      <c r="F24" s="3" t="s">
        <v>4224</v>
      </c>
      <c r="G24" s="11"/>
      <c r="H24" s="11"/>
      <c r="I24" s="11"/>
      <c r="J24" s="11"/>
      <c r="K24" s="11"/>
      <c r="L24" s="11"/>
      <c r="M24" s="11"/>
      <c r="N24" s="11"/>
      <c r="O24" s="11"/>
      <c r="P24" s="11"/>
    </row>
    <row r="25" spans="1:16">
      <c r="A25" s="11" t="s">
        <v>512</v>
      </c>
      <c r="B25" s="12">
        <v>315</v>
      </c>
      <c r="C25" s="12">
        <v>6830</v>
      </c>
      <c r="D25" s="13">
        <v>21.682539682539684</v>
      </c>
      <c r="E25" s="13">
        <v>48.603174603174601</v>
      </c>
      <c r="F25" s="13">
        <v>21.111111111111111</v>
      </c>
      <c r="G25" s="11"/>
      <c r="H25" s="11"/>
      <c r="I25" s="11"/>
      <c r="J25" s="11"/>
      <c r="K25" s="11"/>
      <c r="L25" s="11"/>
      <c r="M25" s="11"/>
      <c r="N25" s="11"/>
      <c r="O25" s="11"/>
      <c r="P25" s="11"/>
    </row>
    <row r="26" spans="1:16">
      <c r="A26" s="11" t="s">
        <v>515</v>
      </c>
      <c r="B26" s="12">
        <v>224</v>
      </c>
      <c r="C26" s="12">
        <v>4381</v>
      </c>
      <c r="D26" s="13">
        <v>19.558035714285715</v>
      </c>
      <c r="E26" s="13">
        <v>47.20133928571429</v>
      </c>
      <c r="F26" s="13">
        <v>20.625</v>
      </c>
      <c r="G26" s="11"/>
      <c r="H26" s="11"/>
      <c r="I26" s="11"/>
      <c r="J26" s="11"/>
      <c r="K26" s="11"/>
      <c r="L26" s="11"/>
      <c r="M26" s="11"/>
      <c r="N26" s="11"/>
      <c r="O26" s="11"/>
      <c r="P26" s="11"/>
    </row>
    <row r="27" spans="1:16">
      <c r="A27" s="11" t="s">
        <v>519</v>
      </c>
      <c r="B27" s="12">
        <v>139</v>
      </c>
      <c r="C27" s="12">
        <v>3626</v>
      </c>
      <c r="D27" s="13">
        <v>26.086330935251798</v>
      </c>
      <c r="E27" s="13">
        <v>56.951079136690645</v>
      </c>
      <c r="F27" s="13">
        <v>25.53956834532374</v>
      </c>
      <c r="G27" s="11"/>
      <c r="H27" s="11"/>
      <c r="I27" s="11"/>
      <c r="J27" s="11"/>
      <c r="K27" s="11"/>
      <c r="L27" s="11"/>
      <c r="M27" s="11"/>
      <c r="N27" s="11"/>
      <c r="O27" s="11"/>
      <c r="P27" s="11"/>
    </row>
    <row r="28" spans="1:16">
      <c r="A28" s="11" t="s">
        <v>522</v>
      </c>
      <c r="B28" s="12">
        <v>104</v>
      </c>
      <c r="C28" s="12">
        <v>2368</v>
      </c>
      <c r="D28" s="13">
        <v>22.76923076923077</v>
      </c>
      <c r="E28" s="13">
        <v>53.872115384615384</v>
      </c>
      <c r="F28" s="13">
        <v>24.51923076923077</v>
      </c>
      <c r="G28" s="11"/>
      <c r="H28" s="11"/>
      <c r="I28" s="11"/>
      <c r="J28" s="11"/>
      <c r="K28" s="11"/>
      <c r="L28" s="11"/>
      <c r="M28" s="11"/>
      <c r="N28" s="11"/>
      <c r="O28" s="11"/>
      <c r="P28" s="11"/>
    </row>
    <row r="29" spans="1:16">
      <c r="A29" s="11" t="s">
        <v>533</v>
      </c>
      <c r="B29" s="12">
        <v>67</v>
      </c>
      <c r="C29" s="12">
        <v>1914</v>
      </c>
      <c r="D29" s="13">
        <v>28.567164179104477</v>
      </c>
      <c r="E29" s="13">
        <v>58.402985074626862</v>
      </c>
      <c r="F29" s="13">
        <v>20.597014925373134</v>
      </c>
      <c r="G29" s="11"/>
      <c r="H29" s="11"/>
      <c r="I29" s="11"/>
      <c r="J29" s="11"/>
      <c r="K29" s="11"/>
      <c r="L29" s="11"/>
      <c r="M29" s="11"/>
      <c r="N29" s="11"/>
      <c r="O29" s="11"/>
      <c r="P29" s="11"/>
    </row>
    <row r="30" spans="1:16">
      <c r="A30" s="11" t="s">
        <v>526</v>
      </c>
      <c r="B30" s="12">
        <v>107</v>
      </c>
      <c r="C30" s="12">
        <v>1799</v>
      </c>
      <c r="D30" s="13">
        <v>16.813084112149532</v>
      </c>
      <c r="E30" s="13">
        <v>39.837383177570096</v>
      </c>
      <c r="F30" s="13">
        <v>20.373831775700936</v>
      </c>
      <c r="G30" s="11"/>
      <c r="H30" s="11"/>
      <c r="I30" s="11"/>
      <c r="J30" s="11"/>
      <c r="K30" s="11"/>
      <c r="L30" s="11"/>
      <c r="M30" s="11"/>
      <c r="N30" s="11"/>
      <c r="O30" s="11"/>
      <c r="P30" s="11"/>
    </row>
    <row r="31" spans="1:16">
      <c r="A31" s="11" t="s">
        <v>530</v>
      </c>
      <c r="B31" s="12">
        <v>73</v>
      </c>
      <c r="C31" s="12">
        <v>1507</v>
      </c>
      <c r="D31" s="13">
        <v>20.643835616438356</v>
      </c>
      <c r="E31" s="13">
        <v>51.472602739726028</v>
      </c>
      <c r="F31" s="13">
        <v>20</v>
      </c>
      <c r="G31" s="11"/>
      <c r="H31" s="11"/>
      <c r="I31" s="11"/>
      <c r="J31" s="11"/>
      <c r="K31" s="11"/>
      <c r="L31" s="11"/>
      <c r="M31" s="11"/>
      <c r="N31" s="11"/>
      <c r="O31" s="11"/>
      <c r="P31" s="11"/>
    </row>
    <row r="32" spans="1:16">
      <c r="A32" s="11" t="s">
        <v>536</v>
      </c>
      <c r="B32" s="12">
        <v>15</v>
      </c>
      <c r="C32" s="12">
        <v>361</v>
      </c>
      <c r="D32" s="13">
        <v>24.066666666666666</v>
      </c>
      <c r="E32" s="13">
        <v>57.633333333333333</v>
      </c>
      <c r="F32" s="13">
        <v>26.666666666666668</v>
      </c>
      <c r="G32" s="11"/>
      <c r="H32" s="11"/>
      <c r="I32" s="11"/>
      <c r="J32" s="11"/>
      <c r="K32" s="11"/>
      <c r="L32" s="11"/>
      <c r="M32" s="11"/>
      <c r="N32" s="11"/>
      <c r="O32" s="11"/>
      <c r="P32" s="11"/>
    </row>
    <row r="33" spans="1:16">
      <c r="A33" s="11"/>
      <c r="B33" s="11"/>
      <c r="C33" s="11"/>
      <c r="D33" s="11"/>
      <c r="E33" s="11"/>
      <c r="F33" s="11"/>
      <c r="G33" s="11"/>
      <c r="H33" s="11"/>
      <c r="I33" s="11"/>
      <c r="J33" s="11"/>
      <c r="K33" s="11"/>
      <c r="L33" s="11"/>
      <c r="M33" s="11"/>
      <c r="N33" s="11"/>
      <c r="O33" s="11"/>
      <c r="P33" s="11"/>
    </row>
    <row r="34" spans="1:16">
      <c r="A34" s="11"/>
      <c r="B34" s="11"/>
      <c r="C34" s="11"/>
      <c r="D34" s="11"/>
      <c r="E34" s="11"/>
      <c r="F34" s="11"/>
      <c r="G34" s="11"/>
      <c r="H34" s="11"/>
      <c r="I34" s="11"/>
      <c r="J34" s="11"/>
      <c r="K34" s="11"/>
      <c r="L34" s="11"/>
      <c r="M34" s="11"/>
      <c r="N34" s="11"/>
      <c r="O34" s="11"/>
      <c r="P34" s="11"/>
    </row>
    <row r="35" spans="1:16">
      <c r="A35" s="11"/>
      <c r="B35" s="11"/>
      <c r="C35" s="11"/>
      <c r="D35" s="11"/>
      <c r="E35" s="11"/>
      <c r="F35" s="11"/>
      <c r="G35" s="11"/>
      <c r="H35" s="11"/>
      <c r="I35" s="11"/>
      <c r="J35" s="11"/>
      <c r="K35" s="11"/>
      <c r="L35" s="11"/>
      <c r="M35" s="11"/>
      <c r="N35" s="11"/>
      <c r="O35" s="11"/>
      <c r="P35" s="11"/>
    </row>
    <row r="36" spans="1:16">
      <c r="A36" s="11"/>
      <c r="B36" s="11"/>
      <c r="C36" s="11"/>
      <c r="D36" s="11"/>
      <c r="E36" s="11"/>
      <c r="F36" s="11"/>
      <c r="G36" s="11"/>
      <c r="H36" s="11"/>
      <c r="I36" s="11"/>
      <c r="J36" s="11"/>
      <c r="K36" s="11"/>
      <c r="L36" s="11"/>
      <c r="M36" s="11"/>
      <c r="N36" s="11"/>
      <c r="O36" s="11"/>
      <c r="P36" s="11"/>
    </row>
    <row r="37" spans="1:16">
      <c r="A37" s="11"/>
      <c r="B37" s="11"/>
      <c r="C37" s="11"/>
      <c r="D37" s="11"/>
      <c r="E37" s="11"/>
      <c r="F37" s="11"/>
      <c r="G37" s="11"/>
      <c r="H37" s="11"/>
      <c r="I37" s="11"/>
      <c r="J37" s="11"/>
      <c r="K37" s="11"/>
      <c r="L37" s="11"/>
      <c r="M37" s="11"/>
      <c r="N37" s="11"/>
      <c r="O37" s="11"/>
      <c r="P37" s="11"/>
    </row>
    <row r="38" spans="1:16">
      <c r="A38" s="11"/>
      <c r="B38" s="11"/>
      <c r="C38" s="11"/>
      <c r="D38" s="11"/>
      <c r="E38" s="11"/>
      <c r="F38" s="11"/>
      <c r="G38" s="11"/>
      <c r="H38" s="11"/>
      <c r="I38" s="11"/>
      <c r="J38" s="11"/>
      <c r="K38" s="11"/>
      <c r="L38" s="11"/>
      <c r="M38" s="11"/>
      <c r="N38" s="11"/>
      <c r="O38" s="11"/>
      <c r="P38" s="11"/>
    </row>
    <row r="39" spans="1:16">
      <c r="A39" s="11"/>
      <c r="B39" s="11"/>
      <c r="C39" s="11"/>
      <c r="D39" s="11"/>
      <c r="E39" s="11"/>
      <c r="F39" s="11"/>
      <c r="G39" s="11"/>
      <c r="H39" s="11"/>
      <c r="I39" s="11"/>
      <c r="J39" s="11"/>
      <c r="K39" s="11"/>
      <c r="L39" s="11"/>
      <c r="M39" s="11"/>
      <c r="N39" s="11"/>
      <c r="O39" s="11"/>
      <c r="P39" s="11"/>
    </row>
    <row r="40" spans="1:16">
      <c r="A40" s="11"/>
      <c r="B40" s="11"/>
      <c r="C40" s="11"/>
      <c r="D40" s="11"/>
      <c r="E40" s="11"/>
      <c r="F40" s="11"/>
      <c r="G40" s="11"/>
      <c r="H40" s="11"/>
      <c r="I40" s="11"/>
      <c r="J40" s="11"/>
      <c r="K40" s="11"/>
      <c r="L40" s="11"/>
      <c r="M40" s="11"/>
      <c r="N40" s="11"/>
      <c r="O40" s="11"/>
      <c r="P40" s="11"/>
    </row>
    <row r="41" spans="1:16">
      <c r="A41" s="11"/>
      <c r="B41" s="11"/>
      <c r="C41" s="11"/>
      <c r="D41" s="11"/>
      <c r="E41" s="11"/>
      <c r="F41" s="11"/>
      <c r="G41" s="11"/>
      <c r="H41" s="11"/>
      <c r="I41" s="11"/>
      <c r="J41" s="11"/>
      <c r="K41" s="11"/>
      <c r="L41" s="11"/>
      <c r="M41" s="11"/>
      <c r="N41" s="11"/>
      <c r="O41" s="11"/>
      <c r="P41" s="11"/>
    </row>
    <row r="42" spans="1:16">
      <c r="A42" s="11"/>
      <c r="B42" s="11"/>
      <c r="C42" s="11"/>
      <c r="D42" s="11"/>
      <c r="E42" s="11"/>
      <c r="F42" s="11"/>
      <c r="G42" s="11"/>
      <c r="H42" s="11"/>
      <c r="I42" s="11"/>
      <c r="J42" s="11"/>
      <c r="K42" s="11"/>
      <c r="L42" s="11"/>
      <c r="M42" s="11"/>
      <c r="N42" s="11"/>
      <c r="O42" s="11"/>
      <c r="P42" s="11"/>
    </row>
    <row r="43" spans="1:16">
      <c r="A43" s="11"/>
      <c r="B43" s="11"/>
      <c r="C43" s="11"/>
      <c r="D43" s="11"/>
      <c r="E43" s="11"/>
      <c r="F43" s="11"/>
      <c r="G43" s="11"/>
      <c r="H43" s="11"/>
      <c r="I43" s="11"/>
      <c r="J43" s="11"/>
      <c r="K43" s="11"/>
      <c r="L43" s="11"/>
      <c r="M43" s="11"/>
      <c r="N43" s="11"/>
      <c r="O43" s="11"/>
      <c r="P43" s="11"/>
    </row>
    <row r="44" spans="1:16">
      <c r="A44" s="152" t="s">
        <v>4226</v>
      </c>
      <c r="B44" s="152" t="s">
        <v>4226</v>
      </c>
      <c r="C44" s="152" t="s">
        <v>4226</v>
      </c>
      <c r="D44" s="152" t="s">
        <v>4226</v>
      </c>
      <c r="E44" s="152" t="s">
        <v>4226</v>
      </c>
      <c r="F44" s="152" t="s">
        <v>4226</v>
      </c>
      <c r="G44" s="152" t="s">
        <v>4226</v>
      </c>
      <c r="H44" s="152" t="s">
        <v>4226</v>
      </c>
      <c r="I44" s="152" t="s">
        <v>4226</v>
      </c>
      <c r="J44" s="152" t="s">
        <v>4226</v>
      </c>
      <c r="K44" s="152" t="s">
        <v>4226</v>
      </c>
      <c r="L44" s="152" t="s">
        <v>4226</v>
      </c>
      <c r="M44" s="152" t="s">
        <v>4226</v>
      </c>
      <c r="N44" s="152" t="s">
        <v>4226</v>
      </c>
      <c r="O44" s="152" t="s">
        <v>4226</v>
      </c>
      <c r="P44" s="152" t="s">
        <v>4226</v>
      </c>
    </row>
    <row r="45" spans="1:16">
      <c r="A45" s="1" t="s">
        <v>13</v>
      </c>
      <c r="B45" s="2" t="s">
        <v>4227</v>
      </c>
      <c r="C45" s="2" t="s">
        <v>4228</v>
      </c>
      <c r="D45" s="3" t="s">
        <v>4229</v>
      </c>
      <c r="E45" s="11"/>
      <c r="F45" s="11"/>
      <c r="G45" s="11"/>
      <c r="H45" s="11"/>
      <c r="I45" s="11"/>
      <c r="J45" s="11"/>
      <c r="K45" s="11"/>
      <c r="L45" s="11"/>
      <c r="M45" s="11"/>
      <c r="N45" s="11"/>
      <c r="O45" s="11"/>
      <c r="P45" s="11"/>
    </row>
    <row r="46" spans="1:16" ht="28">
      <c r="A46" s="14" t="s">
        <v>4230</v>
      </c>
      <c r="B46" s="14" t="s">
        <v>686</v>
      </c>
      <c r="C46" s="14" t="s">
        <v>4231</v>
      </c>
      <c r="D46" s="14" t="s">
        <v>4232</v>
      </c>
      <c r="E46" s="11"/>
      <c r="F46" s="11"/>
      <c r="G46" s="11"/>
      <c r="H46" s="11"/>
      <c r="I46" s="11"/>
      <c r="J46" s="11"/>
      <c r="K46" s="11"/>
      <c r="L46" s="11"/>
      <c r="M46" s="11"/>
      <c r="N46" s="11"/>
      <c r="O46" s="11"/>
      <c r="P46" s="11"/>
    </row>
    <row r="47" spans="1:16" ht="28">
      <c r="A47" s="14" t="s">
        <v>4233</v>
      </c>
      <c r="B47" s="14" t="s">
        <v>4234</v>
      </c>
      <c r="C47" s="14" t="s">
        <v>4235</v>
      </c>
      <c r="D47" s="14" t="s">
        <v>4236</v>
      </c>
      <c r="E47" s="11"/>
      <c r="F47" s="11"/>
      <c r="G47" s="11"/>
      <c r="H47" s="11"/>
      <c r="I47" s="11"/>
      <c r="J47" s="11"/>
      <c r="K47" s="11"/>
      <c r="L47" s="11"/>
      <c r="M47" s="11"/>
      <c r="N47" s="11"/>
      <c r="O47" s="11"/>
      <c r="P47" s="11"/>
    </row>
    <row r="48" spans="1:16" ht="28">
      <c r="A48" s="14" t="s">
        <v>4237</v>
      </c>
      <c r="B48" s="14" t="s">
        <v>4234</v>
      </c>
      <c r="C48" s="14" t="s">
        <v>4235</v>
      </c>
      <c r="D48" s="14" t="s">
        <v>4238</v>
      </c>
      <c r="E48" s="11"/>
      <c r="F48" s="11"/>
      <c r="G48" s="11"/>
      <c r="H48" s="11"/>
      <c r="I48" s="11"/>
      <c r="J48" s="11"/>
      <c r="K48" s="11"/>
      <c r="L48" s="11"/>
      <c r="M48" s="11"/>
      <c r="N48" s="11"/>
      <c r="O48" s="11"/>
      <c r="P48" s="11"/>
    </row>
    <row r="49" spans="1:16" ht="28">
      <c r="A49" s="14" t="s">
        <v>4239</v>
      </c>
      <c r="B49" s="14" t="s">
        <v>4234</v>
      </c>
      <c r="C49" s="14" t="s">
        <v>4240</v>
      </c>
      <c r="D49" s="14" t="s">
        <v>4241</v>
      </c>
      <c r="E49" s="11"/>
      <c r="F49" s="11"/>
      <c r="G49" s="11"/>
      <c r="H49" s="11"/>
      <c r="I49" s="11"/>
      <c r="J49" s="11"/>
      <c r="K49" s="11"/>
      <c r="L49" s="11"/>
      <c r="M49" s="11"/>
      <c r="N49" s="11"/>
      <c r="O49" s="11"/>
      <c r="P49" s="11"/>
    </row>
    <row r="50" spans="1:16" ht="28">
      <c r="A50" s="14" t="s">
        <v>4242</v>
      </c>
      <c r="B50" s="14" t="s">
        <v>4234</v>
      </c>
      <c r="C50" s="14" t="s">
        <v>4235</v>
      </c>
      <c r="D50" s="14" t="s">
        <v>4243</v>
      </c>
      <c r="E50" s="11"/>
      <c r="F50" s="11"/>
      <c r="G50" s="11"/>
      <c r="H50" s="11"/>
      <c r="I50" s="11"/>
      <c r="J50" s="11"/>
      <c r="K50" s="11"/>
      <c r="L50" s="11"/>
      <c r="M50" s="11"/>
      <c r="N50" s="11"/>
      <c r="O50" s="11"/>
      <c r="P50" s="11"/>
    </row>
    <row r="51" spans="1:16" ht="28">
      <c r="A51" s="14" t="s">
        <v>4244</v>
      </c>
      <c r="B51" s="14" t="s">
        <v>4234</v>
      </c>
      <c r="C51" s="14" t="s">
        <v>4235</v>
      </c>
      <c r="D51" s="14" t="s">
        <v>4245</v>
      </c>
      <c r="E51" s="11"/>
      <c r="F51" s="11"/>
      <c r="G51" s="11"/>
      <c r="H51" s="11"/>
      <c r="I51" s="11"/>
      <c r="J51" s="11"/>
      <c r="K51" s="11"/>
      <c r="L51" s="11"/>
      <c r="M51" s="11"/>
      <c r="N51" s="11"/>
      <c r="O51" s="11"/>
      <c r="P51" s="11"/>
    </row>
    <row r="52" spans="1:16" ht="28">
      <c r="A52" s="14" t="s">
        <v>4246</v>
      </c>
      <c r="B52" s="14" t="s">
        <v>4234</v>
      </c>
      <c r="C52" s="14" t="s">
        <v>4247</v>
      </c>
      <c r="D52" s="14" t="s">
        <v>4248</v>
      </c>
      <c r="E52" s="11"/>
      <c r="F52" s="11"/>
      <c r="G52" s="11"/>
      <c r="H52" s="11"/>
      <c r="I52" s="11"/>
      <c r="J52" s="11"/>
      <c r="K52" s="11"/>
      <c r="L52" s="11"/>
      <c r="M52" s="11"/>
      <c r="N52" s="11"/>
      <c r="O52" s="11"/>
      <c r="P52" s="11"/>
    </row>
    <row r="53" spans="1:16" ht="28">
      <c r="A53" s="14" t="s">
        <v>4249</v>
      </c>
      <c r="B53" s="14" t="s">
        <v>4234</v>
      </c>
      <c r="C53" s="14" t="s">
        <v>4250</v>
      </c>
      <c r="D53" s="14" t="s">
        <v>4251</v>
      </c>
      <c r="E53" s="11"/>
      <c r="F53" s="11"/>
      <c r="G53" s="11"/>
      <c r="H53" s="11"/>
      <c r="I53" s="11"/>
      <c r="J53" s="11"/>
      <c r="K53" s="11"/>
      <c r="L53" s="11"/>
      <c r="M53" s="11"/>
      <c r="N53" s="11"/>
      <c r="O53" s="11"/>
      <c r="P53" s="11"/>
    </row>
  </sheetData>
  <mergeCells count="13">
    <mergeCell ref="A10:F10"/>
    <mergeCell ref="A23:F23"/>
    <mergeCell ref="A44:P44"/>
    <mergeCell ref="A1:P1"/>
    <mergeCell ref="A2:P2"/>
    <mergeCell ref="A4:C7"/>
    <mergeCell ref="A8:C8"/>
    <mergeCell ref="E4:G7"/>
    <mergeCell ref="E8:G8"/>
    <mergeCell ref="I4:K7"/>
    <mergeCell ref="I8:K8"/>
    <mergeCell ref="M4:P7"/>
    <mergeCell ref="M8:P8"/>
  </mergeCells>
  <conditionalFormatting sqref="B46:B53">
    <cfRule type="containsText" dxfId="2" priority="1" operator="containsText" text="Non"/>
    <cfRule type="containsText" dxfId="1" priority="2" operator="containsText" text="Oui"/>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048"/>
  <sheetViews>
    <sheetView showGridLines="0" zoomScale="80" zoomScaleNormal="80" workbookViewId="0">
      <selection sqref="A1:S1"/>
    </sheetView>
  </sheetViews>
  <sheetFormatPr defaultRowHeight="14"/>
  <cols>
    <col min="1" max="1" width="8.9140625" customWidth="1"/>
    <col min="2" max="2" width="8.33203125" customWidth="1"/>
    <col min="3" max="3" width="6.6640625" customWidth="1"/>
    <col min="4" max="4" width="10" customWidth="1"/>
    <col min="5" max="5" width="43.33203125" customWidth="1"/>
    <col min="6" max="6" width="14.4140625" customWidth="1"/>
    <col min="7" max="7" width="15" customWidth="1"/>
    <col min="8" max="8" width="16.6640625" customWidth="1"/>
    <col min="9" max="9" width="24.4140625" customWidth="1"/>
    <col min="10" max="10" width="7.25" customWidth="1"/>
    <col min="11" max="11" width="7.75" customWidth="1"/>
    <col min="12" max="13" width="8.9140625" customWidth="1"/>
    <col min="14" max="15" width="9.4140625" customWidth="1"/>
    <col min="16" max="16" width="7.75" customWidth="1"/>
    <col min="17" max="17" width="11.6640625" customWidth="1"/>
    <col min="18" max="18" width="47.75" customWidth="1"/>
    <col min="19" max="19" width="35.58203125" customWidth="1"/>
  </cols>
  <sheetData>
    <row r="1" spans="1:19" ht="23">
      <c r="A1" s="113" t="s">
        <v>4252</v>
      </c>
      <c r="B1" s="113"/>
      <c r="C1" s="113"/>
      <c r="D1" s="113"/>
      <c r="E1" s="113"/>
      <c r="F1" s="113"/>
      <c r="G1" s="113"/>
      <c r="H1" s="113"/>
      <c r="I1" s="113"/>
      <c r="J1" s="113"/>
      <c r="K1" s="113"/>
      <c r="L1" s="113"/>
      <c r="M1" s="113"/>
      <c r="N1" s="113"/>
      <c r="O1" s="113"/>
      <c r="P1" s="113"/>
      <c r="Q1" s="113"/>
      <c r="R1" s="113"/>
      <c r="S1" s="113"/>
    </row>
    <row r="2" spans="1:19">
      <c r="A2" s="114" t="s">
        <v>4253</v>
      </c>
      <c r="B2" s="114"/>
      <c r="C2" s="114"/>
      <c r="D2" s="114"/>
      <c r="E2" s="114"/>
      <c r="F2" s="114"/>
      <c r="G2" s="114"/>
      <c r="H2" s="114"/>
      <c r="I2" s="114"/>
      <c r="J2" s="114"/>
      <c r="K2" s="114"/>
      <c r="L2" s="114"/>
      <c r="M2" s="114"/>
      <c r="N2" s="114"/>
      <c r="O2" s="114"/>
      <c r="P2" s="114"/>
      <c r="Q2" s="114"/>
      <c r="R2" s="114"/>
      <c r="S2" s="114"/>
    </row>
    <row r="3" spans="1:19">
      <c r="A3" s="11"/>
      <c r="B3" s="11"/>
      <c r="C3" s="11"/>
      <c r="D3" s="11"/>
      <c r="E3" s="11"/>
      <c r="F3" s="11"/>
      <c r="G3" s="11"/>
      <c r="H3" s="11"/>
      <c r="I3" s="11"/>
      <c r="J3" s="11"/>
      <c r="K3" s="11"/>
      <c r="L3" s="11"/>
      <c r="M3" s="11"/>
      <c r="N3" s="11"/>
      <c r="O3" s="11"/>
      <c r="P3" s="11"/>
      <c r="Q3" s="11"/>
      <c r="R3" s="11"/>
      <c r="S3" s="11"/>
    </row>
    <row r="4" spans="1:19" ht="26">
      <c r="A4" s="4" t="s">
        <v>4254</v>
      </c>
      <c r="B4" s="5" t="s">
        <v>4255</v>
      </c>
      <c r="C4" s="5" t="s">
        <v>746</v>
      </c>
      <c r="D4" s="5" t="s">
        <v>949</v>
      </c>
      <c r="E4" s="5" t="s">
        <v>951</v>
      </c>
      <c r="F4" s="5" t="s">
        <v>28</v>
      </c>
      <c r="G4" s="5" t="s">
        <v>953</v>
      </c>
      <c r="H4" s="5" t="s">
        <v>955</v>
      </c>
      <c r="I4" s="5" t="s">
        <v>959</v>
      </c>
      <c r="J4" s="5" t="s">
        <v>4256</v>
      </c>
      <c r="K4" s="5" t="s">
        <v>29</v>
      </c>
      <c r="L4" s="5" t="s">
        <v>4257</v>
      </c>
      <c r="M4" s="5" t="s">
        <v>33</v>
      </c>
      <c r="N4" s="5" t="s">
        <v>4258</v>
      </c>
      <c r="O4" s="5" t="s">
        <v>4259</v>
      </c>
      <c r="P4" s="5" t="s">
        <v>4260</v>
      </c>
      <c r="Q4" s="5" t="s">
        <v>4261</v>
      </c>
      <c r="R4" s="5" t="s">
        <v>4262</v>
      </c>
      <c r="S4" s="6" t="s">
        <v>952</v>
      </c>
    </row>
    <row r="5" spans="1:19" ht="31.5">
      <c r="A5" s="43">
        <v>1</v>
      </c>
      <c r="B5" s="43">
        <v>2</v>
      </c>
      <c r="C5" s="43">
        <v>1471</v>
      </c>
      <c r="D5" s="44">
        <v>46254</v>
      </c>
      <c r="E5" s="45" t="s">
        <v>1081</v>
      </c>
      <c r="F5" s="46" t="s">
        <v>37</v>
      </c>
      <c r="G5" s="46" t="s">
        <v>1038</v>
      </c>
      <c r="H5" s="46" t="s">
        <v>1038</v>
      </c>
      <c r="I5" s="46" t="s">
        <v>533</v>
      </c>
      <c r="J5" s="46" t="s">
        <v>977</v>
      </c>
      <c r="K5" s="43">
        <v>181</v>
      </c>
      <c r="L5" s="43">
        <v>5</v>
      </c>
      <c r="M5" s="47">
        <v>30.166666666666668</v>
      </c>
      <c r="N5" s="47">
        <v>99.9</v>
      </c>
      <c r="O5" s="46" t="s">
        <v>38</v>
      </c>
      <c r="P5" s="43">
        <v>1210</v>
      </c>
      <c r="Q5" s="43">
        <v>40</v>
      </c>
      <c r="R5" s="45" t="s">
        <v>4263</v>
      </c>
      <c r="S5" s="46" t="s">
        <v>1082</v>
      </c>
    </row>
    <row r="6" spans="1:19" ht="21">
      <c r="A6" s="43">
        <v>2</v>
      </c>
      <c r="B6" s="43">
        <v>5</v>
      </c>
      <c r="C6" s="43">
        <v>1474</v>
      </c>
      <c r="D6" s="44">
        <v>46255</v>
      </c>
      <c r="E6" s="45" t="s">
        <v>1072</v>
      </c>
      <c r="F6" s="46" t="s">
        <v>37</v>
      </c>
      <c r="G6" s="46" t="s">
        <v>887</v>
      </c>
      <c r="H6" s="46" t="s">
        <v>965</v>
      </c>
      <c r="I6" s="46" t="s">
        <v>512</v>
      </c>
      <c r="J6" s="46" t="s">
        <v>977</v>
      </c>
      <c r="K6" s="43">
        <v>121</v>
      </c>
      <c r="L6" s="43">
        <v>4</v>
      </c>
      <c r="M6" s="47">
        <v>24.2</v>
      </c>
      <c r="N6" s="47">
        <v>99.7</v>
      </c>
      <c r="O6" s="46" t="s">
        <v>38</v>
      </c>
      <c r="P6" s="43">
        <v>570</v>
      </c>
      <c r="Q6" s="43">
        <v>50</v>
      </c>
      <c r="R6" s="45" t="s">
        <v>4264</v>
      </c>
      <c r="S6" s="46" t="s">
        <v>1073</v>
      </c>
    </row>
    <row r="7" spans="1:19" ht="31.5">
      <c r="A7" s="43">
        <v>3</v>
      </c>
      <c r="B7" s="43">
        <v>10</v>
      </c>
      <c r="C7" s="43">
        <v>1470</v>
      </c>
      <c r="D7" s="44">
        <v>46254</v>
      </c>
      <c r="E7" s="45" t="s">
        <v>1084</v>
      </c>
      <c r="F7" s="46" t="s">
        <v>37</v>
      </c>
      <c r="G7" s="46" t="s">
        <v>1038</v>
      </c>
      <c r="H7" s="46" t="s">
        <v>1005</v>
      </c>
      <c r="I7" s="46" t="s">
        <v>512</v>
      </c>
      <c r="J7" s="46" t="s">
        <v>977</v>
      </c>
      <c r="K7" s="43">
        <v>91</v>
      </c>
      <c r="L7" s="43">
        <v>5</v>
      </c>
      <c r="M7" s="47">
        <v>15.166666666666666</v>
      </c>
      <c r="N7" s="47">
        <v>99.3</v>
      </c>
      <c r="O7" s="46" t="s">
        <v>38</v>
      </c>
      <c r="P7" s="43">
        <v>2881</v>
      </c>
      <c r="Q7" s="43">
        <v>40</v>
      </c>
      <c r="R7" s="45" t="s">
        <v>4263</v>
      </c>
      <c r="S7" s="46" t="s">
        <v>1085</v>
      </c>
    </row>
    <row r="8" spans="1:19" ht="21">
      <c r="A8" s="43">
        <v>4</v>
      </c>
      <c r="B8" s="43">
        <v>1</v>
      </c>
      <c r="C8" s="43">
        <v>1376</v>
      </c>
      <c r="D8" s="44">
        <v>46220</v>
      </c>
      <c r="E8" s="45" t="s">
        <v>1389</v>
      </c>
      <c r="F8" s="46" t="s">
        <v>37</v>
      </c>
      <c r="G8" s="46" t="s">
        <v>904</v>
      </c>
      <c r="H8" s="46" t="s">
        <v>965</v>
      </c>
      <c r="I8" s="46" t="s">
        <v>512</v>
      </c>
      <c r="J8" s="46" t="s">
        <v>977</v>
      </c>
      <c r="K8" s="43">
        <v>226</v>
      </c>
      <c r="L8" s="43">
        <v>39</v>
      </c>
      <c r="M8" s="47">
        <v>5.65</v>
      </c>
      <c r="N8" s="47">
        <v>99.2</v>
      </c>
      <c r="O8" s="46" t="s">
        <v>38</v>
      </c>
      <c r="P8" s="43">
        <v>1171</v>
      </c>
      <c r="Q8" s="43">
        <v>60</v>
      </c>
      <c r="R8" s="45" t="s">
        <v>4265</v>
      </c>
      <c r="S8" s="46" t="s">
        <v>1390</v>
      </c>
    </row>
    <row r="9" spans="1:19" ht="21">
      <c r="A9" s="43">
        <v>5</v>
      </c>
      <c r="B9" s="43">
        <v>15</v>
      </c>
      <c r="C9" s="43">
        <v>1473</v>
      </c>
      <c r="D9" s="44">
        <v>46255</v>
      </c>
      <c r="E9" s="45" t="s">
        <v>1075</v>
      </c>
      <c r="F9" s="46" t="s">
        <v>37</v>
      </c>
      <c r="G9" s="46" t="s">
        <v>878</v>
      </c>
      <c r="H9" s="46" t="s">
        <v>965</v>
      </c>
      <c r="I9" s="46" t="s">
        <v>533</v>
      </c>
      <c r="J9" s="46" t="s">
        <v>977</v>
      </c>
      <c r="K9" s="43">
        <v>75</v>
      </c>
      <c r="L9" s="43">
        <v>4</v>
      </c>
      <c r="M9" s="47">
        <v>15</v>
      </c>
      <c r="N9" s="47">
        <v>99</v>
      </c>
      <c r="O9" s="46" t="s">
        <v>38</v>
      </c>
      <c r="P9" s="43">
        <v>894</v>
      </c>
      <c r="Q9" s="43">
        <v>50</v>
      </c>
      <c r="R9" s="45" t="s">
        <v>4264</v>
      </c>
      <c r="S9" s="46" t="s">
        <v>1076</v>
      </c>
    </row>
    <row r="10" spans="1:19" ht="31.5">
      <c r="A10" s="43">
        <v>6</v>
      </c>
      <c r="B10" s="43">
        <v>6</v>
      </c>
      <c r="C10" s="43">
        <v>1404</v>
      </c>
      <c r="D10" s="44">
        <v>46229</v>
      </c>
      <c r="E10" s="45" t="s">
        <v>1305</v>
      </c>
      <c r="F10" s="46" t="s">
        <v>37</v>
      </c>
      <c r="G10" s="46" t="s">
        <v>1038</v>
      </c>
      <c r="H10" s="46" t="s">
        <v>1005</v>
      </c>
      <c r="I10" s="46" t="s">
        <v>526</v>
      </c>
      <c r="J10" s="46" t="s">
        <v>977</v>
      </c>
      <c r="K10" s="43">
        <v>111</v>
      </c>
      <c r="L10" s="43">
        <v>30</v>
      </c>
      <c r="M10" s="47">
        <v>3.5806451612903225</v>
      </c>
      <c r="N10" s="47">
        <v>98.3</v>
      </c>
      <c r="O10" s="46" t="s">
        <v>38</v>
      </c>
      <c r="P10" s="43">
        <v>595</v>
      </c>
      <c r="Q10" s="43">
        <v>40</v>
      </c>
      <c r="R10" s="45" t="s">
        <v>4263</v>
      </c>
      <c r="S10" s="46" t="s">
        <v>1306</v>
      </c>
    </row>
    <row r="11" spans="1:19" ht="31.5">
      <c r="A11" s="43">
        <v>7</v>
      </c>
      <c r="B11" s="43">
        <v>4</v>
      </c>
      <c r="C11" s="43">
        <v>1364</v>
      </c>
      <c r="D11" s="44">
        <v>46214</v>
      </c>
      <c r="E11" s="45" t="s">
        <v>1413</v>
      </c>
      <c r="F11" s="46" t="s">
        <v>37</v>
      </c>
      <c r="G11" s="46" t="s">
        <v>1038</v>
      </c>
      <c r="H11" s="46" t="s">
        <v>1005</v>
      </c>
      <c r="I11" s="46" t="s">
        <v>512</v>
      </c>
      <c r="J11" s="46" t="s">
        <v>977</v>
      </c>
      <c r="K11" s="43">
        <v>145</v>
      </c>
      <c r="L11" s="43">
        <v>45</v>
      </c>
      <c r="M11" s="47">
        <v>3.152173913043478</v>
      </c>
      <c r="N11" s="47">
        <v>98.2</v>
      </c>
      <c r="O11" s="46" t="s">
        <v>38</v>
      </c>
      <c r="P11" s="43">
        <v>3152</v>
      </c>
      <c r="Q11" s="43">
        <v>30</v>
      </c>
      <c r="R11" s="45" t="s">
        <v>4266</v>
      </c>
      <c r="S11" s="46" t="s">
        <v>1414</v>
      </c>
    </row>
    <row r="12" spans="1:19" ht="21">
      <c r="A12" s="43">
        <v>8</v>
      </c>
      <c r="B12" s="43">
        <v>11</v>
      </c>
      <c r="C12" s="43">
        <v>1422</v>
      </c>
      <c r="D12" s="44">
        <v>46235</v>
      </c>
      <c r="E12" s="45" t="s">
        <v>1249</v>
      </c>
      <c r="F12" s="46" t="s">
        <v>37</v>
      </c>
      <c r="G12" s="46" t="s">
        <v>882</v>
      </c>
      <c r="H12" s="46" t="s">
        <v>965</v>
      </c>
      <c r="I12" s="46" t="s">
        <v>515</v>
      </c>
      <c r="J12" s="46" t="s">
        <v>977</v>
      </c>
      <c r="K12" s="43">
        <v>89</v>
      </c>
      <c r="L12" s="43">
        <v>24</v>
      </c>
      <c r="M12" s="47">
        <v>3.56</v>
      </c>
      <c r="N12" s="47">
        <v>98</v>
      </c>
      <c r="O12" s="46" t="s">
        <v>38</v>
      </c>
      <c r="P12" s="43">
        <v>506</v>
      </c>
      <c r="Q12" s="43">
        <v>60</v>
      </c>
      <c r="R12" s="45" t="s">
        <v>4267</v>
      </c>
      <c r="S12" s="46" t="s">
        <v>1250</v>
      </c>
    </row>
    <row r="13" spans="1:19" ht="21">
      <c r="A13" s="43">
        <v>9</v>
      </c>
      <c r="B13" s="43">
        <v>14</v>
      </c>
      <c r="C13" s="43">
        <v>1426</v>
      </c>
      <c r="D13" s="44">
        <v>46236</v>
      </c>
      <c r="E13" s="45" t="s">
        <v>1236</v>
      </c>
      <c r="F13" s="46" t="s">
        <v>37</v>
      </c>
      <c r="G13" s="46" t="s">
        <v>921</v>
      </c>
      <c r="H13" s="46" t="s">
        <v>965</v>
      </c>
      <c r="I13" s="46" t="s">
        <v>519</v>
      </c>
      <c r="J13" s="46" t="s">
        <v>968</v>
      </c>
      <c r="K13" s="43">
        <v>78</v>
      </c>
      <c r="L13" s="43">
        <v>23</v>
      </c>
      <c r="M13" s="47">
        <v>3.25</v>
      </c>
      <c r="N13" s="47">
        <v>97.8</v>
      </c>
      <c r="O13" s="46" t="s">
        <v>38</v>
      </c>
      <c r="P13" s="43">
        <v>779</v>
      </c>
      <c r="Q13" s="43">
        <v>50</v>
      </c>
      <c r="R13" s="45" t="s">
        <v>4268</v>
      </c>
      <c r="S13" s="46" t="s">
        <v>1237</v>
      </c>
    </row>
    <row r="14" spans="1:19" ht="31.5">
      <c r="A14" s="43">
        <v>10</v>
      </c>
      <c r="B14" s="43">
        <v>25</v>
      </c>
      <c r="C14" s="43">
        <v>1455</v>
      </c>
      <c r="D14" s="44">
        <v>46248</v>
      </c>
      <c r="E14" s="45" t="s">
        <v>1145</v>
      </c>
      <c r="F14" s="46" t="s">
        <v>37</v>
      </c>
      <c r="G14" s="46" t="s">
        <v>1038</v>
      </c>
      <c r="H14" s="46" t="s">
        <v>1038</v>
      </c>
      <c r="I14" s="46" t="s">
        <v>533</v>
      </c>
      <c r="J14" s="46" t="s">
        <v>977</v>
      </c>
      <c r="K14" s="43">
        <v>66</v>
      </c>
      <c r="L14" s="43">
        <v>11</v>
      </c>
      <c r="M14" s="47">
        <v>5.5</v>
      </c>
      <c r="N14" s="47">
        <v>97.7</v>
      </c>
      <c r="O14" s="46" t="s">
        <v>38</v>
      </c>
      <c r="P14" s="43">
        <v>1112</v>
      </c>
      <c r="Q14" s="43">
        <v>40</v>
      </c>
      <c r="R14" s="45" t="s">
        <v>4263</v>
      </c>
      <c r="S14" s="46" t="s">
        <v>1146</v>
      </c>
    </row>
    <row r="15" spans="1:19" ht="21">
      <c r="A15" s="43">
        <v>11</v>
      </c>
      <c r="B15" s="43">
        <v>8</v>
      </c>
      <c r="C15" s="43">
        <v>1391</v>
      </c>
      <c r="D15" s="44">
        <v>46224</v>
      </c>
      <c r="E15" s="45" t="s">
        <v>1347</v>
      </c>
      <c r="F15" s="46" t="s">
        <v>37</v>
      </c>
      <c r="G15" s="46" t="s">
        <v>1038</v>
      </c>
      <c r="H15" s="46" t="s">
        <v>1134</v>
      </c>
      <c r="I15" s="46" t="s">
        <v>519</v>
      </c>
      <c r="J15" s="46" t="s">
        <v>977</v>
      </c>
      <c r="K15" s="43">
        <v>97</v>
      </c>
      <c r="L15" s="43">
        <v>35</v>
      </c>
      <c r="M15" s="47">
        <v>2.6944444444444446</v>
      </c>
      <c r="N15" s="47">
        <v>97.6</v>
      </c>
      <c r="O15" s="46" t="s">
        <v>38</v>
      </c>
      <c r="P15" s="43">
        <v>1792</v>
      </c>
      <c r="Q15" s="43">
        <v>50</v>
      </c>
      <c r="R15" s="45" t="s">
        <v>4264</v>
      </c>
      <c r="S15" s="46" t="s">
        <v>1348</v>
      </c>
    </row>
    <row r="16" spans="1:19" ht="21">
      <c r="A16" s="43">
        <v>12</v>
      </c>
      <c r="B16" s="43">
        <v>40</v>
      </c>
      <c r="C16" s="43">
        <v>1481</v>
      </c>
      <c r="D16" s="44">
        <v>46256</v>
      </c>
      <c r="E16" s="45" t="s">
        <v>1046</v>
      </c>
      <c r="F16" s="46" t="s">
        <v>37</v>
      </c>
      <c r="G16" s="46" t="s">
        <v>878</v>
      </c>
      <c r="H16" s="46" t="s">
        <v>965</v>
      </c>
      <c r="I16" s="46" t="s">
        <v>522</v>
      </c>
      <c r="J16" s="46" t="s">
        <v>977</v>
      </c>
      <c r="K16" s="43">
        <v>61</v>
      </c>
      <c r="L16" s="43">
        <v>3</v>
      </c>
      <c r="M16" s="47">
        <v>15.25</v>
      </c>
      <c r="N16" s="47">
        <v>97.6</v>
      </c>
      <c r="O16" s="46" t="s">
        <v>38</v>
      </c>
      <c r="P16" s="43">
        <v>732</v>
      </c>
      <c r="Q16" s="43">
        <v>50</v>
      </c>
      <c r="R16" s="45" t="s">
        <v>4264</v>
      </c>
      <c r="S16" s="46" t="s">
        <v>1047</v>
      </c>
    </row>
    <row r="17" spans="1:19" ht="21">
      <c r="A17" s="43">
        <v>13</v>
      </c>
      <c r="B17" s="43">
        <v>13</v>
      </c>
      <c r="C17" s="43">
        <v>1400</v>
      </c>
      <c r="D17" s="44">
        <v>46227</v>
      </c>
      <c r="E17" s="45" t="s">
        <v>1319</v>
      </c>
      <c r="F17" s="46" t="s">
        <v>37</v>
      </c>
      <c r="G17" s="46" t="s">
        <v>939</v>
      </c>
      <c r="H17" s="46" t="s">
        <v>1317</v>
      </c>
      <c r="I17" s="46" t="s">
        <v>519</v>
      </c>
      <c r="J17" s="46" t="s">
        <v>977</v>
      </c>
      <c r="K17" s="43">
        <v>85</v>
      </c>
      <c r="L17" s="43">
        <v>32</v>
      </c>
      <c r="M17" s="47">
        <v>2.5757575757575757</v>
      </c>
      <c r="N17" s="47">
        <v>97.2</v>
      </c>
      <c r="O17" s="46" t="s">
        <v>38</v>
      </c>
      <c r="P17" s="43">
        <v>1585</v>
      </c>
      <c r="Q17" s="43">
        <v>50</v>
      </c>
      <c r="R17" s="45" t="s">
        <v>4268</v>
      </c>
      <c r="S17" s="46" t="s">
        <v>1320</v>
      </c>
    </row>
    <row r="18" spans="1:19" ht="31.5">
      <c r="A18" s="43">
        <v>14</v>
      </c>
      <c r="B18" s="43">
        <v>21</v>
      </c>
      <c r="C18" s="43">
        <v>1425</v>
      </c>
      <c r="D18" s="44">
        <v>46236</v>
      </c>
      <c r="E18" s="45" t="s">
        <v>1239</v>
      </c>
      <c r="F18" s="46" t="s">
        <v>37</v>
      </c>
      <c r="G18" s="46" t="s">
        <v>878</v>
      </c>
      <c r="H18" s="46" t="s">
        <v>965</v>
      </c>
      <c r="I18" s="46" t="s">
        <v>522</v>
      </c>
      <c r="J18" s="46" t="s">
        <v>968</v>
      </c>
      <c r="K18" s="43">
        <v>69</v>
      </c>
      <c r="L18" s="43">
        <v>23</v>
      </c>
      <c r="M18" s="47">
        <v>2.875</v>
      </c>
      <c r="N18" s="47">
        <v>97</v>
      </c>
      <c r="O18" s="46" t="s">
        <v>38</v>
      </c>
      <c r="P18" s="43">
        <v>499</v>
      </c>
      <c r="Q18" s="43">
        <v>40</v>
      </c>
      <c r="R18" s="45" t="s">
        <v>4269</v>
      </c>
      <c r="S18" s="46" t="s">
        <v>1240</v>
      </c>
    </row>
    <row r="19" spans="1:19" ht="31.5">
      <c r="A19" s="43">
        <v>15</v>
      </c>
      <c r="B19" s="43">
        <v>12</v>
      </c>
      <c r="C19" s="43">
        <v>1380</v>
      </c>
      <c r="D19" s="44">
        <v>46221</v>
      </c>
      <c r="E19" s="45" t="s">
        <v>1376</v>
      </c>
      <c r="F19" s="46" t="s">
        <v>37</v>
      </c>
      <c r="G19" s="46" t="s">
        <v>1038</v>
      </c>
      <c r="H19" s="46" t="s">
        <v>1134</v>
      </c>
      <c r="I19" s="46" t="s">
        <v>522</v>
      </c>
      <c r="J19" s="46" t="s">
        <v>977</v>
      </c>
      <c r="K19" s="43">
        <v>88</v>
      </c>
      <c r="L19" s="43">
        <v>38</v>
      </c>
      <c r="M19" s="47">
        <v>2.2564102564102564</v>
      </c>
      <c r="N19" s="47">
        <v>96.8</v>
      </c>
      <c r="O19" s="46" t="s">
        <v>38</v>
      </c>
      <c r="P19" s="43">
        <v>727</v>
      </c>
      <c r="Q19" s="43">
        <v>40</v>
      </c>
      <c r="R19" s="45" t="s">
        <v>4263</v>
      </c>
      <c r="S19" s="46" t="s">
        <v>1377</v>
      </c>
    </row>
    <row r="20" spans="1:19" ht="21">
      <c r="A20" s="43">
        <v>16</v>
      </c>
      <c r="B20" s="43">
        <v>38</v>
      </c>
      <c r="C20" s="43">
        <v>1453</v>
      </c>
      <c r="D20" s="44">
        <v>46246</v>
      </c>
      <c r="E20" s="45" t="s">
        <v>1153</v>
      </c>
      <c r="F20" s="46" t="s">
        <v>37</v>
      </c>
      <c r="G20" s="46" t="s">
        <v>1038</v>
      </c>
      <c r="H20" s="46" t="s">
        <v>1038</v>
      </c>
      <c r="I20" s="46" t="s">
        <v>530</v>
      </c>
      <c r="J20" s="46" t="s">
        <v>977</v>
      </c>
      <c r="K20" s="43">
        <v>63</v>
      </c>
      <c r="L20" s="43">
        <v>13</v>
      </c>
      <c r="M20" s="47">
        <v>4.5</v>
      </c>
      <c r="N20" s="47">
        <v>96.8</v>
      </c>
      <c r="O20" s="46" t="s">
        <v>38</v>
      </c>
      <c r="P20" s="43">
        <v>1241</v>
      </c>
      <c r="Q20" s="43">
        <v>50</v>
      </c>
      <c r="R20" s="45" t="s">
        <v>4268</v>
      </c>
      <c r="S20" s="46" t="s">
        <v>1154</v>
      </c>
    </row>
    <row r="21" spans="1:19" ht="21">
      <c r="A21" s="43">
        <v>17</v>
      </c>
      <c r="B21" s="43">
        <v>43</v>
      </c>
      <c r="C21" s="43">
        <v>1463</v>
      </c>
      <c r="D21" s="44">
        <v>46251</v>
      </c>
      <c r="E21" s="45" t="s">
        <v>1113</v>
      </c>
      <c r="F21" s="46" t="s">
        <v>37</v>
      </c>
      <c r="G21" s="46" t="s">
        <v>932</v>
      </c>
      <c r="H21" s="46" t="s">
        <v>965</v>
      </c>
      <c r="I21" s="46" t="s">
        <v>512</v>
      </c>
      <c r="J21" s="46" t="s">
        <v>977</v>
      </c>
      <c r="K21" s="43">
        <v>58</v>
      </c>
      <c r="L21" s="43">
        <v>8</v>
      </c>
      <c r="M21" s="47">
        <v>6.4444444444444446</v>
      </c>
      <c r="N21" s="47">
        <v>96.8</v>
      </c>
      <c r="O21" s="46" t="s">
        <v>38</v>
      </c>
      <c r="P21" s="43">
        <v>1813</v>
      </c>
      <c r="Q21" s="43">
        <v>50</v>
      </c>
      <c r="R21" s="45" t="s">
        <v>4264</v>
      </c>
      <c r="S21" s="46" t="s">
        <v>1114</v>
      </c>
    </row>
    <row r="22" spans="1:19" ht="21">
      <c r="A22" s="43">
        <v>18</v>
      </c>
      <c r="B22" s="43">
        <v>28</v>
      </c>
      <c r="C22" s="43">
        <v>1430</v>
      </c>
      <c r="D22" s="44">
        <v>46237</v>
      </c>
      <c r="E22" s="45" t="s">
        <v>1224</v>
      </c>
      <c r="F22" s="46" t="s">
        <v>37</v>
      </c>
      <c r="G22" s="46" t="s">
        <v>920</v>
      </c>
      <c r="H22" s="46" t="s">
        <v>965</v>
      </c>
      <c r="I22" s="46" t="s">
        <v>512</v>
      </c>
      <c r="J22" s="46" t="s">
        <v>968</v>
      </c>
      <c r="K22" s="43">
        <v>65</v>
      </c>
      <c r="L22" s="43">
        <v>22</v>
      </c>
      <c r="M22" s="47">
        <v>2.8260869565217392</v>
      </c>
      <c r="N22" s="47">
        <v>96.5</v>
      </c>
      <c r="O22" s="46" t="s">
        <v>38</v>
      </c>
      <c r="P22" s="43">
        <v>835</v>
      </c>
      <c r="Q22" s="43">
        <v>60</v>
      </c>
      <c r="R22" s="45" t="s">
        <v>4267</v>
      </c>
      <c r="S22" s="46" t="s">
        <v>1225</v>
      </c>
    </row>
    <row r="23" spans="1:19" ht="21">
      <c r="A23" s="43">
        <v>19</v>
      </c>
      <c r="B23" s="43">
        <v>19</v>
      </c>
      <c r="C23" s="43">
        <v>1403</v>
      </c>
      <c r="D23" s="44">
        <v>46229</v>
      </c>
      <c r="E23" s="45" t="s">
        <v>1308</v>
      </c>
      <c r="F23" s="46" t="s">
        <v>37</v>
      </c>
      <c r="G23" s="46" t="s">
        <v>885</v>
      </c>
      <c r="H23" s="46" t="s">
        <v>965</v>
      </c>
      <c r="I23" s="46" t="s">
        <v>522</v>
      </c>
      <c r="J23" s="46" t="s">
        <v>968</v>
      </c>
      <c r="K23" s="43">
        <v>70</v>
      </c>
      <c r="L23" s="43">
        <v>30</v>
      </c>
      <c r="M23" s="47">
        <v>2.2580645161290325</v>
      </c>
      <c r="N23" s="47">
        <v>96.4</v>
      </c>
      <c r="O23" s="46" t="s">
        <v>38</v>
      </c>
      <c r="P23" s="43">
        <v>764</v>
      </c>
      <c r="Q23" s="43">
        <v>50</v>
      </c>
      <c r="R23" s="45" t="s">
        <v>4268</v>
      </c>
      <c r="S23" s="46" t="s">
        <v>1309</v>
      </c>
    </row>
    <row r="24" spans="1:19" ht="31.5">
      <c r="A24" s="43">
        <v>20</v>
      </c>
      <c r="B24" s="43">
        <v>22</v>
      </c>
      <c r="C24" s="43">
        <v>1407</v>
      </c>
      <c r="D24" s="44">
        <v>46229</v>
      </c>
      <c r="E24" s="45" t="s">
        <v>1296</v>
      </c>
      <c r="F24" s="46" t="s">
        <v>37</v>
      </c>
      <c r="G24" s="46" t="s">
        <v>1038</v>
      </c>
      <c r="H24" s="46" t="s">
        <v>1038</v>
      </c>
      <c r="I24" s="46" t="s">
        <v>512</v>
      </c>
      <c r="J24" s="46" t="s">
        <v>977</v>
      </c>
      <c r="K24" s="43">
        <v>68</v>
      </c>
      <c r="L24" s="43">
        <v>30</v>
      </c>
      <c r="M24" s="47">
        <v>2.193548387096774</v>
      </c>
      <c r="N24" s="47">
        <v>96.2</v>
      </c>
      <c r="O24" s="46" t="s">
        <v>38</v>
      </c>
      <c r="P24" s="43">
        <v>787</v>
      </c>
      <c r="Q24" s="43">
        <v>40</v>
      </c>
      <c r="R24" s="45" t="s">
        <v>4263</v>
      </c>
      <c r="S24" s="46" t="s">
        <v>1297</v>
      </c>
    </row>
    <row r="25" spans="1:19" ht="21">
      <c r="A25" s="43">
        <v>21</v>
      </c>
      <c r="B25" s="43">
        <v>32</v>
      </c>
      <c r="C25" s="43">
        <v>1428</v>
      </c>
      <c r="D25" s="44">
        <v>46236</v>
      </c>
      <c r="E25" s="45" t="s">
        <v>1230</v>
      </c>
      <c r="F25" s="46" t="s">
        <v>37</v>
      </c>
      <c r="G25" s="46" t="s">
        <v>878</v>
      </c>
      <c r="H25" s="46" t="s">
        <v>965</v>
      </c>
      <c r="I25" s="46" t="s">
        <v>526</v>
      </c>
      <c r="J25" s="46" t="s">
        <v>977</v>
      </c>
      <c r="K25" s="43">
        <v>64</v>
      </c>
      <c r="L25" s="43">
        <v>23</v>
      </c>
      <c r="M25" s="47">
        <v>2.6666666666666665</v>
      </c>
      <c r="N25" s="47">
        <v>96.1</v>
      </c>
      <c r="O25" s="46" t="s">
        <v>38</v>
      </c>
      <c r="P25" s="43">
        <v>772</v>
      </c>
      <c r="Q25" s="43">
        <v>60</v>
      </c>
      <c r="R25" s="45" t="s">
        <v>4267</v>
      </c>
      <c r="S25" s="46" t="s">
        <v>1231</v>
      </c>
    </row>
    <row r="26" spans="1:19" ht="21">
      <c r="A26" s="43">
        <v>22</v>
      </c>
      <c r="B26" s="43">
        <v>24</v>
      </c>
      <c r="C26" s="43">
        <v>1399</v>
      </c>
      <c r="D26" s="44">
        <v>46227</v>
      </c>
      <c r="E26" s="45" t="s">
        <v>1322</v>
      </c>
      <c r="F26" s="46" t="s">
        <v>37</v>
      </c>
      <c r="G26" s="46" t="s">
        <v>1038</v>
      </c>
      <c r="H26" s="46" t="s">
        <v>1005</v>
      </c>
      <c r="I26" s="46" t="s">
        <v>519</v>
      </c>
      <c r="J26" s="46" t="s">
        <v>977</v>
      </c>
      <c r="K26" s="43">
        <v>67</v>
      </c>
      <c r="L26" s="43">
        <v>32</v>
      </c>
      <c r="M26" s="47">
        <v>2.0303030303030303</v>
      </c>
      <c r="N26" s="47">
        <v>96</v>
      </c>
      <c r="O26" s="46" t="s">
        <v>38</v>
      </c>
      <c r="P26" s="43">
        <v>779</v>
      </c>
      <c r="Q26" s="43">
        <v>60</v>
      </c>
      <c r="R26" s="45" t="s">
        <v>4270</v>
      </c>
      <c r="S26" s="46" t="s">
        <v>1323</v>
      </c>
    </row>
    <row r="27" spans="1:19" ht="21">
      <c r="A27" s="43">
        <v>23</v>
      </c>
      <c r="B27" s="43">
        <v>62</v>
      </c>
      <c r="C27" s="43">
        <v>1472</v>
      </c>
      <c r="D27" s="44">
        <v>46254</v>
      </c>
      <c r="E27" s="45" t="s">
        <v>1078</v>
      </c>
      <c r="F27" s="46" t="s">
        <v>37</v>
      </c>
      <c r="G27" s="46" t="s">
        <v>1038</v>
      </c>
      <c r="H27" s="46" t="s">
        <v>1005</v>
      </c>
      <c r="I27" s="46" t="s">
        <v>512</v>
      </c>
      <c r="J27" s="46" t="s">
        <v>977</v>
      </c>
      <c r="K27" s="43">
        <v>52</v>
      </c>
      <c r="L27" s="43">
        <v>5</v>
      </c>
      <c r="M27" s="47">
        <v>8.6666666666666661</v>
      </c>
      <c r="N27" s="47">
        <v>96</v>
      </c>
      <c r="O27" s="46" t="s">
        <v>38</v>
      </c>
      <c r="P27" s="43">
        <v>921</v>
      </c>
      <c r="Q27" s="43">
        <v>50</v>
      </c>
      <c r="R27" s="45" t="s">
        <v>4268</v>
      </c>
      <c r="S27" s="46" t="s">
        <v>1079</v>
      </c>
    </row>
    <row r="28" spans="1:19" ht="31.5">
      <c r="A28" s="43">
        <v>24</v>
      </c>
      <c r="B28" s="43">
        <v>20</v>
      </c>
      <c r="C28" s="43">
        <v>1377</v>
      </c>
      <c r="D28" s="44">
        <v>46220</v>
      </c>
      <c r="E28" s="45" t="s">
        <v>1386</v>
      </c>
      <c r="F28" s="46" t="s">
        <v>37</v>
      </c>
      <c r="G28" s="46" t="s">
        <v>882</v>
      </c>
      <c r="H28" s="46" t="s">
        <v>965</v>
      </c>
      <c r="I28" s="46" t="s">
        <v>512</v>
      </c>
      <c r="J28" s="46" t="s">
        <v>977</v>
      </c>
      <c r="K28" s="43">
        <v>70</v>
      </c>
      <c r="L28" s="43">
        <v>39</v>
      </c>
      <c r="M28" s="47">
        <v>1.75</v>
      </c>
      <c r="N28" s="47">
        <v>95.7</v>
      </c>
      <c r="O28" s="46" t="s">
        <v>38</v>
      </c>
      <c r="P28" s="43">
        <v>399</v>
      </c>
      <c r="Q28" s="43">
        <v>30</v>
      </c>
      <c r="R28" s="45" t="s">
        <v>4271</v>
      </c>
      <c r="S28" s="46" t="s">
        <v>1387</v>
      </c>
    </row>
    <row r="29" spans="1:19" ht="42">
      <c r="A29" s="43">
        <v>25</v>
      </c>
      <c r="B29" s="43">
        <v>7</v>
      </c>
      <c r="C29" s="43">
        <v>1286</v>
      </c>
      <c r="D29" s="44">
        <v>46166</v>
      </c>
      <c r="E29" s="45" t="s">
        <v>1569</v>
      </c>
      <c r="F29" s="46" t="s">
        <v>37</v>
      </c>
      <c r="G29" s="46" t="s">
        <v>905</v>
      </c>
      <c r="H29" s="46" t="s">
        <v>965</v>
      </c>
      <c r="I29" s="46" t="s">
        <v>519</v>
      </c>
      <c r="J29" s="46" t="s">
        <v>968</v>
      </c>
      <c r="K29" s="43">
        <v>103</v>
      </c>
      <c r="L29" s="43">
        <v>93</v>
      </c>
      <c r="M29" s="47">
        <v>1.0957446808510638</v>
      </c>
      <c r="N29" s="47">
        <v>95.4</v>
      </c>
      <c r="O29" s="46" t="s">
        <v>38</v>
      </c>
      <c r="P29" s="43">
        <v>444</v>
      </c>
      <c r="Q29" s="43">
        <v>20</v>
      </c>
      <c r="R29" s="45" t="s">
        <v>4272</v>
      </c>
      <c r="S29" s="46" t="s">
        <v>1570</v>
      </c>
    </row>
    <row r="30" spans="1:19" ht="31.5">
      <c r="A30" s="43">
        <v>26</v>
      </c>
      <c r="B30" s="43">
        <v>33</v>
      </c>
      <c r="C30" s="43">
        <v>1401</v>
      </c>
      <c r="D30" s="44">
        <v>46228</v>
      </c>
      <c r="E30" s="45" t="s">
        <v>1314</v>
      </c>
      <c r="F30" s="46" t="s">
        <v>37</v>
      </c>
      <c r="G30" s="46" t="s">
        <v>885</v>
      </c>
      <c r="H30" s="46" t="s">
        <v>1317</v>
      </c>
      <c r="I30" s="46" t="s">
        <v>512</v>
      </c>
      <c r="J30" s="46" t="s">
        <v>977</v>
      </c>
      <c r="K30" s="43">
        <v>64</v>
      </c>
      <c r="L30" s="43">
        <v>31</v>
      </c>
      <c r="M30" s="47">
        <v>2</v>
      </c>
      <c r="N30" s="47">
        <v>95.2</v>
      </c>
      <c r="O30" s="46" t="s">
        <v>38</v>
      </c>
      <c r="P30" s="43">
        <v>688</v>
      </c>
      <c r="Q30" s="43">
        <v>40</v>
      </c>
      <c r="R30" s="45" t="s">
        <v>4263</v>
      </c>
      <c r="S30" s="46" t="s">
        <v>1315</v>
      </c>
    </row>
    <row r="31" spans="1:19" ht="31.5">
      <c r="A31" s="43">
        <v>27</v>
      </c>
      <c r="B31" s="43">
        <v>44</v>
      </c>
      <c r="C31" s="43">
        <v>1427</v>
      </c>
      <c r="D31" s="44">
        <v>46236</v>
      </c>
      <c r="E31" s="45" t="s">
        <v>1233</v>
      </c>
      <c r="F31" s="46" t="s">
        <v>37</v>
      </c>
      <c r="G31" s="46" t="s">
        <v>1038</v>
      </c>
      <c r="H31" s="46" t="s">
        <v>1005</v>
      </c>
      <c r="I31" s="46" t="s">
        <v>512</v>
      </c>
      <c r="J31" s="46" t="s">
        <v>977</v>
      </c>
      <c r="K31" s="43">
        <v>58</v>
      </c>
      <c r="L31" s="43">
        <v>23</v>
      </c>
      <c r="M31" s="47">
        <v>2.4166666666666665</v>
      </c>
      <c r="N31" s="47">
        <v>95.2</v>
      </c>
      <c r="O31" s="46" t="s">
        <v>38</v>
      </c>
      <c r="P31" s="43">
        <v>1348</v>
      </c>
      <c r="Q31" s="43">
        <v>40</v>
      </c>
      <c r="R31" s="45" t="s">
        <v>4263</v>
      </c>
      <c r="S31" s="46" t="s">
        <v>1234</v>
      </c>
    </row>
    <row r="32" spans="1:19" ht="21">
      <c r="A32" s="43">
        <v>28</v>
      </c>
      <c r="B32" s="43">
        <v>54</v>
      </c>
      <c r="C32" s="43">
        <v>1429</v>
      </c>
      <c r="D32" s="44">
        <v>46237</v>
      </c>
      <c r="E32" s="45" t="s">
        <v>1227</v>
      </c>
      <c r="F32" s="46" t="s">
        <v>37</v>
      </c>
      <c r="G32" s="46" t="s">
        <v>913</v>
      </c>
      <c r="H32" s="46" t="s">
        <v>965</v>
      </c>
      <c r="I32" s="46" t="s">
        <v>519</v>
      </c>
      <c r="J32" s="46" t="s">
        <v>977</v>
      </c>
      <c r="K32" s="43">
        <v>55</v>
      </c>
      <c r="L32" s="43">
        <v>22</v>
      </c>
      <c r="M32" s="47">
        <v>2.3913043478260869</v>
      </c>
      <c r="N32" s="47">
        <v>94.6</v>
      </c>
      <c r="O32" s="46" t="s">
        <v>38</v>
      </c>
      <c r="P32" s="43">
        <v>1006</v>
      </c>
      <c r="Q32" s="43">
        <v>50</v>
      </c>
      <c r="R32" s="45" t="s">
        <v>4264</v>
      </c>
      <c r="S32" s="46" t="s">
        <v>1228</v>
      </c>
    </row>
    <row r="33" spans="1:19" ht="42">
      <c r="A33" s="43">
        <v>29</v>
      </c>
      <c r="B33" s="43">
        <v>3</v>
      </c>
      <c r="C33" s="43">
        <v>1166</v>
      </c>
      <c r="D33" s="44">
        <v>46063</v>
      </c>
      <c r="E33" s="45" t="s">
        <v>1803</v>
      </c>
      <c r="F33" s="46" t="s">
        <v>360</v>
      </c>
      <c r="G33" s="46" t="s">
        <v>1038</v>
      </c>
      <c r="H33" s="46" t="s">
        <v>1005</v>
      </c>
      <c r="I33" s="46" t="s">
        <v>519</v>
      </c>
      <c r="J33" s="46" t="s">
        <v>968</v>
      </c>
      <c r="K33" s="43">
        <v>154</v>
      </c>
      <c r="L33" s="43">
        <v>196</v>
      </c>
      <c r="M33" s="47">
        <v>0.78172588832487311</v>
      </c>
      <c r="N33" s="47">
        <v>94.5</v>
      </c>
      <c r="O33" s="46" t="s">
        <v>38</v>
      </c>
      <c r="P33" s="43">
        <v>305</v>
      </c>
      <c r="Q33" s="43">
        <v>20</v>
      </c>
      <c r="R33" s="45" t="s">
        <v>4272</v>
      </c>
      <c r="S33" s="46" t="s">
        <v>1804</v>
      </c>
    </row>
    <row r="34" spans="1:19" ht="21">
      <c r="A34" s="43">
        <v>30</v>
      </c>
      <c r="B34" s="43">
        <v>92</v>
      </c>
      <c r="C34" s="43">
        <v>1490</v>
      </c>
      <c r="D34" s="44">
        <v>46258</v>
      </c>
      <c r="E34" s="45" t="s">
        <v>1013</v>
      </c>
      <c r="F34" s="46" t="s">
        <v>37</v>
      </c>
      <c r="G34" s="46" t="s">
        <v>894</v>
      </c>
      <c r="H34" s="46" t="s">
        <v>965</v>
      </c>
      <c r="I34" s="46" t="s">
        <v>522</v>
      </c>
      <c r="J34" s="46" t="s">
        <v>977</v>
      </c>
      <c r="K34" s="43">
        <v>46</v>
      </c>
      <c r="L34" s="43">
        <v>1</v>
      </c>
      <c r="M34" s="47">
        <v>23</v>
      </c>
      <c r="N34" s="47">
        <v>94.5</v>
      </c>
      <c r="O34" s="46" t="s">
        <v>38</v>
      </c>
      <c r="P34" s="43">
        <v>824</v>
      </c>
      <c r="Q34" s="43">
        <v>50</v>
      </c>
      <c r="R34" s="45" t="s">
        <v>4264</v>
      </c>
      <c r="S34" s="46" t="s">
        <v>1014</v>
      </c>
    </row>
    <row r="35" spans="1:19" ht="31.5">
      <c r="A35" s="43">
        <v>31</v>
      </c>
      <c r="B35" s="43">
        <v>26</v>
      </c>
      <c r="C35" s="43">
        <v>1335</v>
      </c>
      <c r="D35" s="44">
        <v>46204</v>
      </c>
      <c r="E35" s="45" t="s">
        <v>1470</v>
      </c>
      <c r="F35" s="46" t="s">
        <v>37</v>
      </c>
      <c r="G35" s="46" t="s">
        <v>915</v>
      </c>
      <c r="H35" s="46" t="s">
        <v>965</v>
      </c>
      <c r="I35" s="46" t="s">
        <v>522</v>
      </c>
      <c r="J35" s="46" t="s">
        <v>968</v>
      </c>
      <c r="K35" s="43">
        <v>66</v>
      </c>
      <c r="L35" s="43">
        <v>55</v>
      </c>
      <c r="M35" s="47">
        <v>1.1785714285714286</v>
      </c>
      <c r="N35" s="47">
        <v>94.4</v>
      </c>
      <c r="O35" s="46" t="s">
        <v>38</v>
      </c>
      <c r="P35" s="43">
        <v>682</v>
      </c>
      <c r="Q35" s="43">
        <v>40</v>
      </c>
      <c r="R35" s="45" t="s">
        <v>4273</v>
      </c>
      <c r="S35" s="46" t="s">
        <v>1471</v>
      </c>
    </row>
    <row r="36" spans="1:19" ht="31.5">
      <c r="A36" s="43">
        <v>32</v>
      </c>
      <c r="B36" s="43">
        <v>34</v>
      </c>
      <c r="C36" s="43">
        <v>1371</v>
      </c>
      <c r="D36" s="44">
        <v>46216</v>
      </c>
      <c r="E36" s="45" t="s">
        <v>1406</v>
      </c>
      <c r="F36" s="46" t="s">
        <v>37</v>
      </c>
      <c r="G36" s="46" t="s">
        <v>899</v>
      </c>
      <c r="H36" s="46" t="s">
        <v>965</v>
      </c>
      <c r="I36" s="46" t="s">
        <v>515</v>
      </c>
      <c r="J36" s="46" t="s">
        <v>968</v>
      </c>
      <c r="K36" s="43">
        <v>64</v>
      </c>
      <c r="L36" s="43">
        <v>43</v>
      </c>
      <c r="M36" s="47">
        <v>1.4545454545454546</v>
      </c>
      <c r="N36" s="47">
        <v>94.3</v>
      </c>
      <c r="O36" s="46" t="s">
        <v>38</v>
      </c>
      <c r="P36" s="43">
        <v>1026</v>
      </c>
      <c r="Q36" s="43">
        <v>30</v>
      </c>
      <c r="R36" s="45" t="s">
        <v>4266</v>
      </c>
      <c r="S36" s="46" t="s">
        <v>1407</v>
      </c>
    </row>
    <row r="37" spans="1:19" ht="31.5">
      <c r="A37" s="43">
        <v>33</v>
      </c>
      <c r="B37" s="43">
        <v>71</v>
      </c>
      <c r="C37" s="43">
        <v>1441</v>
      </c>
      <c r="D37" s="44">
        <v>46243</v>
      </c>
      <c r="E37" s="45" t="s">
        <v>1188</v>
      </c>
      <c r="F37" s="46" t="s">
        <v>37</v>
      </c>
      <c r="G37" s="46" t="s">
        <v>1038</v>
      </c>
      <c r="H37" s="46" t="s">
        <v>1134</v>
      </c>
      <c r="I37" s="46" t="s">
        <v>512</v>
      </c>
      <c r="J37" s="46" t="s">
        <v>968</v>
      </c>
      <c r="K37" s="43">
        <v>50</v>
      </c>
      <c r="L37" s="43">
        <v>16</v>
      </c>
      <c r="M37" s="47">
        <v>2.9411764705882355</v>
      </c>
      <c r="N37" s="47">
        <v>94.1</v>
      </c>
      <c r="O37" s="46" t="s">
        <v>38</v>
      </c>
      <c r="P37" s="43">
        <v>217</v>
      </c>
      <c r="Q37" s="43">
        <v>40</v>
      </c>
      <c r="R37" s="45" t="s">
        <v>4274</v>
      </c>
      <c r="S37" s="46" t="s">
        <v>1189</v>
      </c>
    </row>
    <row r="38" spans="1:19" ht="31.5">
      <c r="A38" s="43">
        <v>34</v>
      </c>
      <c r="B38" s="43">
        <v>35</v>
      </c>
      <c r="C38" s="43">
        <v>1348</v>
      </c>
      <c r="D38" s="44">
        <v>46207</v>
      </c>
      <c r="E38" s="45" t="s">
        <v>1452</v>
      </c>
      <c r="F38" s="46" t="s">
        <v>37</v>
      </c>
      <c r="G38" s="46" t="s">
        <v>1038</v>
      </c>
      <c r="H38" s="46" t="s">
        <v>1038</v>
      </c>
      <c r="I38" s="46" t="s">
        <v>512</v>
      </c>
      <c r="J38" s="46" t="s">
        <v>968</v>
      </c>
      <c r="K38" s="43">
        <v>64</v>
      </c>
      <c r="L38" s="43">
        <v>52</v>
      </c>
      <c r="M38" s="47">
        <v>1.2075471698113207</v>
      </c>
      <c r="N38" s="47">
        <v>94</v>
      </c>
      <c r="O38" s="46" t="s">
        <v>38</v>
      </c>
      <c r="P38" s="43">
        <v>747</v>
      </c>
      <c r="Q38" s="43">
        <v>30</v>
      </c>
      <c r="R38" s="45" t="s">
        <v>4266</v>
      </c>
      <c r="S38" s="46" t="s">
        <v>1453</v>
      </c>
    </row>
    <row r="39" spans="1:19" ht="42">
      <c r="A39" s="43">
        <v>35</v>
      </c>
      <c r="B39" s="43">
        <v>41</v>
      </c>
      <c r="C39" s="43">
        <v>1374</v>
      </c>
      <c r="D39" s="44">
        <v>46216</v>
      </c>
      <c r="E39" s="45" t="s">
        <v>1397</v>
      </c>
      <c r="F39" s="46" t="s">
        <v>37</v>
      </c>
      <c r="G39" s="46" t="s">
        <v>878</v>
      </c>
      <c r="H39" s="46" t="s">
        <v>965</v>
      </c>
      <c r="I39" s="46" t="s">
        <v>515</v>
      </c>
      <c r="J39" s="46" t="s">
        <v>968</v>
      </c>
      <c r="K39" s="43">
        <v>61</v>
      </c>
      <c r="L39" s="43">
        <v>43</v>
      </c>
      <c r="M39" s="47">
        <v>1.3863636363636365</v>
      </c>
      <c r="N39" s="47">
        <v>93.9</v>
      </c>
      <c r="O39" s="46" t="s">
        <v>38</v>
      </c>
      <c r="P39" s="43">
        <v>150</v>
      </c>
      <c r="Q39" s="43">
        <v>20</v>
      </c>
      <c r="R39" s="45" t="s">
        <v>4275</v>
      </c>
      <c r="S39" s="46" t="s">
        <v>1398</v>
      </c>
    </row>
    <row r="40" spans="1:19" ht="31.5">
      <c r="A40" s="43">
        <v>36</v>
      </c>
      <c r="B40" s="43">
        <v>82</v>
      </c>
      <c r="C40" s="43">
        <v>1445</v>
      </c>
      <c r="D40" s="44">
        <v>46245</v>
      </c>
      <c r="E40" s="45" t="s">
        <v>1179</v>
      </c>
      <c r="F40" s="46" t="s">
        <v>37</v>
      </c>
      <c r="G40" s="46" t="s">
        <v>884</v>
      </c>
      <c r="H40" s="46" t="s">
        <v>965</v>
      </c>
      <c r="I40" s="46" t="s">
        <v>522</v>
      </c>
      <c r="J40" s="46" t="s">
        <v>977</v>
      </c>
      <c r="K40" s="43">
        <v>48</v>
      </c>
      <c r="L40" s="43">
        <v>14</v>
      </c>
      <c r="M40" s="47">
        <v>3.2</v>
      </c>
      <c r="N40" s="47">
        <v>93.8</v>
      </c>
      <c r="O40" s="46" t="s">
        <v>38</v>
      </c>
      <c r="P40" s="43">
        <v>515</v>
      </c>
      <c r="Q40" s="43">
        <v>50</v>
      </c>
      <c r="R40" s="45" t="s">
        <v>4264</v>
      </c>
      <c r="S40" s="46" t="s">
        <v>1180</v>
      </c>
    </row>
    <row r="41" spans="1:19" ht="31.5">
      <c r="A41" s="43">
        <v>37</v>
      </c>
      <c r="B41" s="43">
        <v>84</v>
      </c>
      <c r="C41" s="43">
        <v>1454</v>
      </c>
      <c r="D41" s="44">
        <v>46248</v>
      </c>
      <c r="E41" s="45" t="s">
        <v>1148</v>
      </c>
      <c r="F41" s="46" t="s">
        <v>360</v>
      </c>
      <c r="G41" s="46" t="s">
        <v>939</v>
      </c>
      <c r="H41" s="46" t="s">
        <v>965</v>
      </c>
      <c r="I41" s="46" t="s">
        <v>515</v>
      </c>
      <c r="J41" s="46" t="s">
        <v>968</v>
      </c>
      <c r="K41" s="43">
        <v>47</v>
      </c>
      <c r="L41" s="43">
        <v>11</v>
      </c>
      <c r="M41" s="47">
        <v>3.9166666666666665</v>
      </c>
      <c r="N41" s="47">
        <v>93.8</v>
      </c>
      <c r="O41" s="46" t="s">
        <v>38</v>
      </c>
      <c r="P41" s="43">
        <v>263</v>
      </c>
      <c r="Q41" s="43">
        <v>30</v>
      </c>
      <c r="R41" s="45" t="s">
        <v>4276</v>
      </c>
      <c r="S41" s="46" t="s">
        <v>1149</v>
      </c>
    </row>
    <row r="42" spans="1:19" ht="42">
      <c r="A42" s="43">
        <v>38</v>
      </c>
      <c r="B42" s="43">
        <v>17</v>
      </c>
      <c r="C42" s="43">
        <v>1266</v>
      </c>
      <c r="D42" s="44">
        <v>46151</v>
      </c>
      <c r="E42" s="45" t="s">
        <v>1611</v>
      </c>
      <c r="F42" s="46" t="s">
        <v>37</v>
      </c>
      <c r="G42" s="46" t="s">
        <v>1038</v>
      </c>
      <c r="H42" s="46" t="s">
        <v>1005</v>
      </c>
      <c r="I42" s="46" t="s">
        <v>519</v>
      </c>
      <c r="J42" s="46" t="s">
        <v>968</v>
      </c>
      <c r="K42" s="43">
        <v>72</v>
      </c>
      <c r="L42" s="43">
        <v>108</v>
      </c>
      <c r="M42" s="47">
        <v>0.66055045871559637</v>
      </c>
      <c r="N42" s="47">
        <v>93.5</v>
      </c>
      <c r="O42" s="46" t="s">
        <v>38</v>
      </c>
      <c r="P42" s="43">
        <v>412</v>
      </c>
      <c r="Q42" s="43">
        <v>20</v>
      </c>
      <c r="R42" s="45" t="s">
        <v>4272</v>
      </c>
      <c r="S42" s="46" t="s">
        <v>1612</v>
      </c>
    </row>
    <row r="43" spans="1:19" ht="42">
      <c r="A43" s="43">
        <v>39</v>
      </c>
      <c r="B43" s="43">
        <v>36</v>
      </c>
      <c r="C43" s="43">
        <v>1320</v>
      </c>
      <c r="D43" s="44">
        <v>46199</v>
      </c>
      <c r="E43" s="45" t="s">
        <v>1499</v>
      </c>
      <c r="F43" s="46" t="s">
        <v>37</v>
      </c>
      <c r="G43" s="46" t="s">
        <v>1038</v>
      </c>
      <c r="H43" s="46" t="s">
        <v>1134</v>
      </c>
      <c r="I43" s="46" t="s">
        <v>519</v>
      </c>
      <c r="J43" s="46" t="s">
        <v>968</v>
      </c>
      <c r="K43" s="43">
        <v>64</v>
      </c>
      <c r="L43" s="43">
        <v>60</v>
      </c>
      <c r="M43" s="47">
        <v>1.0491803278688525</v>
      </c>
      <c r="N43" s="47">
        <v>93.5</v>
      </c>
      <c r="O43" s="46" t="s">
        <v>38</v>
      </c>
      <c r="P43" s="43">
        <v>425</v>
      </c>
      <c r="Q43" s="43">
        <v>20</v>
      </c>
      <c r="R43" s="45" t="s">
        <v>4275</v>
      </c>
      <c r="S43" s="46" t="s">
        <v>1500</v>
      </c>
    </row>
    <row r="44" spans="1:19" ht="31.5">
      <c r="A44" s="43">
        <v>40</v>
      </c>
      <c r="B44" s="43">
        <v>55</v>
      </c>
      <c r="C44" s="43">
        <v>1396</v>
      </c>
      <c r="D44" s="44">
        <v>46225</v>
      </c>
      <c r="E44" s="45" t="s">
        <v>1331</v>
      </c>
      <c r="F44" s="46" t="s">
        <v>37</v>
      </c>
      <c r="G44" s="46" t="s">
        <v>1038</v>
      </c>
      <c r="H44" s="46" t="s">
        <v>1038</v>
      </c>
      <c r="I44" s="46" t="s">
        <v>533</v>
      </c>
      <c r="J44" s="46" t="s">
        <v>968</v>
      </c>
      <c r="K44" s="43">
        <v>55</v>
      </c>
      <c r="L44" s="43">
        <v>34</v>
      </c>
      <c r="M44" s="47">
        <v>1.5714285714285714</v>
      </c>
      <c r="N44" s="47">
        <v>93.4</v>
      </c>
      <c r="O44" s="46" t="s">
        <v>38</v>
      </c>
      <c r="P44" s="43">
        <v>513</v>
      </c>
      <c r="Q44" s="43">
        <v>40</v>
      </c>
      <c r="R44" s="45" t="s">
        <v>4263</v>
      </c>
      <c r="S44" s="46" t="s">
        <v>1332</v>
      </c>
    </row>
    <row r="45" spans="1:19" ht="31.5">
      <c r="A45" s="43">
        <v>41</v>
      </c>
      <c r="B45" s="43">
        <v>59</v>
      </c>
      <c r="C45" s="43">
        <v>1415</v>
      </c>
      <c r="D45" s="44">
        <v>46230</v>
      </c>
      <c r="E45" s="45" t="s">
        <v>1273</v>
      </c>
      <c r="F45" s="46" t="s">
        <v>37</v>
      </c>
      <c r="G45" s="46" t="s">
        <v>1038</v>
      </c>
      <c r="H45" s="46" t="s">
        <v>1005</v>
      </c>
      <c r="I45" s="46" t="s">
        <v>519</v>
      </c>
      <c r="J45" s="46" t="s">
        <v>977</v>
      </c>
      <c r="K45" s="43">
        <v>53</v>
      </c>
      <c r="L45" s="43">
        <v>29</v>
      </c>
      <c r="M45" s="47">
        <v>1.7666666666666666</v>
      </c>
      <c r="N45" s="47">
        <v>93.4</v>
      </c>
      <c r="O45" s="46" t="s">
        <v>38</v>
      </c>
      <c r="P45" s="43">
        <v>886</v>
      </c>
      <c r="Q45" s="43">
        <v>40</v>
      </c>
      <c r="R45" s="45" t="s">
        <v>4263</v>
      </c>
      <c r="S45" s="46" t="s">
        <v>1274</v>
      </c>
    </row>
    <row r="46" spans="1:19" ht="31.5">
      <c r="A46" s="43">
        <v>42</v>
      </c>
      <c r="B46" s="43">
        <v>72</v>
      </c>
      <c r="C46" s="43">
        <v>1431</v>
      </c>
      <c r="D46" s="44">
        <v>46238</v>
      </c>
      <c r="E46" s="45" t="s">
        <v>1221</v>
      </c>
      <c r="F46" s="46" t="s">
        <v>360</v>
      </c>
      <c r="G46" s="46" t="s">
        <v>1038</v>
      </c>
      <c r="H46" s="46" t="s">
        <v>1134</v>
      </c>
      <c r="I46" s="46" t="s">
        <v>512</v>
      </c>
      <c r="J46" s="46" t="s">
        <v>977</v>
      </c>
      <c r="K46" s="43">
        <v>50</v>
      </c>
      <c r="L46" s="43">
        <v>21</v>
      </c>
      <c r="M46" s="47">
        <v>2.2727272727272729</v>
      </c>
      <c r="N46" s="47">
        <v>93.4</v>
      </c>
      <c r="O46" s="46" t="s">
        <v>38</v>
      </c>
      <c r="P46" s="43">
        <v>954</v>
      </c>
      <c r="Q46" s="43">
        <v>40</v>
      </c>
      <c r="R46" s="45" t="s">
        <v>4277</v>
      </c>
      <c r="S46" s="46" t="s">
        <v>1222</v>
      </c>
    </row>
    <row r="47" spans="1:19" ht="31.5">
      <c r="A47" s="43">
        <v>43</v>
      </c>
      <c r="B47" s="43">
        <v>47</v>
      </c>
      <c r="C47" s="43">
        <v>1372</v>
      </c>
      <c r="D47" s="44">
        <v>46216</v>
      </c>
      <c r="E47" s="45" t="s">
        <v>1403</v>
      </c>
      <c r="F47" s="46" t="s">
        <v>37</v>
      </c>
      <c r="G47" s="46" t="s">
        <v>1038</v>
      </c>
      <c r="H47" s="46" t="s">
        <v>1134</v>
      </c>
      <c r="I47" s="46" t="s">
        <v>512</v>
      </c>
      <c r="J47" s="46" t="s">
        <v>977</v>
      </c>
      <c r="K47" s="43">
        <v>57</v>
      </c>
      <c r="L47" s="43">
        <v>43</v>
      </c>
      <c r="M47" s="47">
        <v>1.2954545454545454</v>
      </c>
      <c r="N47" s="47">
        <v>93.3</v>
      </c>
      <c r="O47" s="46" t="s">
        <v>38</v>
      </c>
      <c r="P47" s="43">
        <v>1027</v>
      </c>
      <c r="Q47" s="43">
        <v>30</v>
      </c>
      <c r="R47" s="45" t="s">
        <v>4266</v>
      </c>
      <c r="S47" s="46" t="s">
        <v>1404</v>
      </c>
    </row>
    <row r="48" spans="1:19" ht="31.5">
      <c r="A48" s="43">
        <v>44</v>
      </c>
      <c r="B48" s="43">
        <v>48</v>
      </c>
      <c r="C48" s="43">
        <v>1368</v>
      </c>
      <c r="D48" s="44">
        <v>46215</v>
      </c>
      <c r="E48" s="45" t="s">
        <v>1410</v>
      </c>
      <c r="F48" s="46" t="s">
        <v>37</v>
      </c>
      <c r="G48" s="46" t="s">
        <v>893</v>
      </c>
      <c r="H48" s="46" t="s">
        <v>1317</v>
      </c>
      <c r="I48" s="46" t="s">
        <v>512</v>
      </c>
      <c r="J48" s="46" t="s">
        <v>977</v>
      </c>
      <c r="K48" s="43">
        <v>57</v>
      </c>
      <c r="L48" s="43">
        <v>44</v>
      </c>
      <c r="M48" s="47">
        <v>1.2666666666666666</v>
      </c>
      <c r="N48" s="47">
        <v>93.3</v>
      </c>
      <c r="O48" s="46" t="s">
        <v>38</v>
      </c>
      <c r="P48" s="43">
        <v>2291</v>
      </c>
      <c r="Q48" s="43">
        <v>40</v>
      </c>
      <c r="R48" s="45" t="s">
        <v>4273</v>
      </c>
      <c r="S48" s="46" t="s">
        <v>1411</v>
      </c>
    </row>
    <row r="49" spans="1:19" ht="21">
      <c r="A49" s="43">
        <v>45</v>
      </c>
      <c r="B49" s="43">
        <v>60</v>
      </c>
      <c r="C49" s="43">
        <v>1402</v>
      </c>
      <c r="D49" s="44">
        <v>46229</v>
      </c>
      <c r="E49" s="45" t="s">
        <v>1311</v>
      </c>
      <c r="F49" s="46" t="s">
        <v>37</v>
      </c>
      <c r="G49" s="46" t="s">
        <v>891</v>
      </c>
      <c r="H49" s="46" t="s">
        <v>965</v>
      </c>
      <c r="I49" s="46" t="s">
        <v>512</v>
      </c>
      <c r="J49" s="46" t="s">
        <v>977</v>
      </c>
      <c r="K49" s="43">
        <v>53</v>
      </c>
      <c r="L49" s="43">
        <v>30</v>
      </c>
      <c r="M49" s="47">
        <v>1.7096774193548387</v>
      </c>
      <c r="N49" s="47">
        <v>93.3</v>
      </c>
      <c r="O49" s="46" t="s">
        <v>38</v>
      </c>
      <c r="P49" s="43">
        <v>1273</v>
      </c>
      <c r="Q49" s="43">
        <v>50</v>
      </c>
      <c r="R49" s="45" t="s">
        <v>4268</v>
      </c>
      <c r="S49" s="46" t="s">
        <v>1312</v>
      </c>
    </row>
    <row r="50" spans="1:19" ht="21">
      <c r="A50" s="43">
        <v>46</v>
      </c>
      <c r="B50" s="43">
        <v>109</v>
      </c>
      <c r="C50" s="43">
        <v>1476</v>
      </c>
      <c r="D50" s="44">
        <v>46255</v>
      </c>
      <c r="E50" s="45" t="s">
        <v>1064</v>
      </c>
      <c r="F50" s="46" t="s">
        <v>37</v>
      </c>
      <c r="G50" s="46" t="s">
        <v>889</v>
      </c>
      <c r="H50" s="46" t="s">
        <v>965</v>
      </c>
      <c r="I50" s="46" t="s">
        <v>526</v>
      </c>
      <c r="J50" s="46" t="s">
        <v>968</v>
      </c>
      <c r="K50" s="43">
        <v>43</v>
      </c>
      <c r="L50" s="43">
        <v>4</v>
      </c>
      <c r="M50" s="47">
        <v>8.6</v>
      </c>
      <c r="N50" s="47">
        <v>93.2</v>
      </c>
      <c r="O50" s="46" t="s">
        <v>38</v>
      </c>
      <c r="P50" s="43">
        <v>548</v>
      </c>
      <c r="Q50" s="43">
        <v>60</v>
      </c>
      <c r="R50" s="45" t="s">
        <v>4267</v>
      </c>
      <c r="S50" s="46" t="s">
        <v>1065</v>
      </c>
    </row>
    <row r="51" spans="1:19" ht="31.5">
      <c r="A51" s="43">
        <v>47</v>
      </c>
      <c r="B51" s="43">
        <v>93</v>
      </c>
      <c r="C51" s="43">
        <v>1450</v>
      </c>
      <c r="D51" s="44">
        <v>46245</v>
      </c>
      <c r="E51" s="45" t="s">
        <v>1163</v>
      </c>
      <c r="F51" s="46" t="s">
        <v>37</v>
      </c>
      <c r="G51" s="46" t="s">
        <v>1038</v>
      </c>
      <c r="H51" s="46" t="s">
        <v>1134</v>
      </c>
      <c r="I51" s="46" t="s">
        <v>512</v>
      </c>
      <c r="J51" s="46" t="s">
        <v>968</v>
      </c>
      <c r="K51" s="43">
        <v>46</v>
      </c>
      <c r="L51" s="43">
        <v>14</v>
      </c>
      <c r="M51" s="47">
        <v>3.0666666666666669</v>
      </c>
      <c r="N51" s="47">
        <v>92.9</v>
      </c>
      <c r="O51" s="46" t="s">
        <v>38</v>
      </c>
      <c r="P51" s="43">
        <v>920</v>
      </c>
      <c r="Q51" s="43">
        <v>40</v>
      </c>
      <c r="R51" s="45" t="s">
        <v>4263</v>
      </c>
      <c r="S51" s="46" t="s">
        <v>1164</v>
      </c>
    </row>
    <row r="52" spans="1:19" ht="21">
      <c r="A52" s="43">
        <v>48</v>
      </c>
      <c r="B52" s="43">
        <v>85</v>
      </c>
      <c r="C52" s="43">
        <v>1439</v>
      </c>
      <c r="D52" s="44">
        <v>46241</v>
      </c>
      <c r="E52" s="45" t="s">
        <v>1194</v>
      </c>
      <c r="F52" s="46" t="s">
        <v>37</v>
      </c>
      <c r="G52" s="46" t="s">
        <v>927</v>
      </c>
      <c r="H52" s="46" t="s">
        <v>965</v>
      </c>
      <c r="I52" s="46" t="s">
        <v>519</v>
      </c>
      <c r="J52" s="46" t="s">
        <v>968</v>
      </c>
      <c r="K52" s="43">
        <v>47</v>
      </c>
      <c r="L52" s="43">
        <v>18</v>
      </c>
      <c r="M52" s="47">
        <v>2.4736842105263159</v>
      </c>
      <c r="N52" s="47">
        <v>92.8</v>
      </c>
      <c r="O52" s="46" t="s">
        <v>38</v>
      </c>
      <c r="P52" s="43">
        <v>851</v>
      </c>
      <c r="Q52" s="43">
        <v>60</v>
      </c>
      <c r="R52" s="45" t="s">
        <v>4267</v>
      </c>
      <c r="S52" s="46" t="s">
        <v>1195</v>
      </c>
    </row>
    <row r="53" spans="1:19" ht="21">
      <c r="A53" s="43">
        <v>49</v>
      </c>
      <c r="B53" s="43">
        <v>61</v>
      </c>
      <c r="C53" s="43">
        <v>1379</v>
      </c>
      <c r="D53" s="44">
        <v>46221</v>
      </c>
      <c r="E53" s="45" t="s">
        <v>1379</v>
      </c>
      <c r="F53" s="46" t="s">
        <v>37</v>
      </c>
      <c r="G53" s="46" t="s">
        <v>891</v>
      </c>
      <c r="H53" s="46" t="s">
        <v>965</v>
      </c>
      <c r="I53" s="46" t="s">
        <v>519</v>
      </c>
      <c r="J53" s="46" t="s">
        <v>968</v>
      </c>
      <c r="K53" s="43">
        <v>53</v>
      </c>
      <c r="L53" s="43">
        <v>38</v>
      </c>
      <c r="M53" s="47">
        <v>1.358974358974359</v>
      </c>
      <c r="N53" s="47">
        <v>92.7</v>
      </c>
      <c r="O53" s="46" t="s">
        <v>38</v>
      </c>
      <c r="P53" s="43">
        <v>792</v>
      </c>
      <c r="Q53" s="43">
        <v>60</v>
      </c>
      <c r="R53" s="45" t="s">
        <v>4267</v>
      </c>
      <c r="S53" s="46" t="s">
        <v>1380</v>
      </c>
    </row>
    <row r="54" spans="1:19" ht="42">
      <c r="A54" s="43">
        <v>50</v>
      </c>
      <c r="B54" s="43">
        <v>9</v>
      </c>
      <c r="C54" s="43">
        <v>992</v>
      </c>
      <c r="D54" s="44">
        <v>46024</v>
      </c>
      <c r="E54" s="45" t="s">
        <v>1926</v>
      </c>
      <c r="F54" s="46" t="s">
        <v>371</v>
      </c>
      <c r="G54" s="46" t="s">
        <v>889</v>
      </c>
      <c r="H54" s="46" t="s">
        <v>965</v>
      </c>
      <c r="I54" s="46" t="s">
        <v>519</v>
      </c>
      <c r="J54" s="46" t="s">
        <v>968</v>
      </c>
      <c r="K54" s="43">
        <v>94</v>
      </c>
      <c r="L54" s="43">
        <v>235</v>
      </c>
      <c r="M54" s="47">
        <v>0.39830508474576271</v>
      </c>
      <c r="N54" s="47">
        <v>92.6</v>
      </c>
      <c r="O54" s="46" t="s">
        <v>38</v>
      </c>
      <c r="P54" s="43">
        <v>804</v>
      </c>
      <c r="Q54" s="43">
        <v>20</v>
      </c>
      <c r="R54" s="45" t="s">
        <v>4278</v>
      </c>
      <c r="S54" s="46" t="s">
        <v>1927</v>
      </c>
    </row>
    <row r="55" spans="1:19" ht="31.5">
      <c r="A55" s="43">
        <v>51</v>
      </c>
      <c r="B55" s="43">
        <v>49</v>
      </c>
      <c r="C55" s="43">
        <v>1327</v>
      </c>
      <c r="D55" s="44">
        <v>46204</v>
      </c>
      <c r="E55" s="45" t="s">
        <v>1487</v>
      </c>
      <c r="F55" s="46" t="s">
        <v>37</v>
      </c>
      <c r="G55" s="46" t="s">
        <v>1038</v>
      </c>
      <c r="H55" s="46" t="s">
        <v>1038</v>
      </c>
      <c r="I55" s="46" t="s">
        <v>533</v>
      </c>
      <c r="J55" s="46" t="s">
        <v>968</v>
      </c>
      <c r="K55" s="43">
        <v>57</v>
      </c>
      <c r="L55" s="43">
        <v>55</v>
      </c>
      <c r="M55" s="47">
        <v>1.0178571428571428</v>
      </c>
      <c r="N55" s="47">
        <v>92.6</v>
      </c>
      <c r="O55" s="46" t="s">
        <v>38</v>
      </c>
      <c r="P55" s="43">
        <v>405</v>
      </c>
      <c r="Q55" s="43">
        <v>30</v>
      </c>
      <c r="R55" s="45" t="s">
        <v>4279</v>
      </c>
      <c r="S55" s="46" t="s">
        <v>1488</v>
      </c>
    </row>
    <row r="56" spans="1:19" ht="21">
      <c r="A56" s="43">
        <v>52</v>
      </c>
      <c r="B56" s="43">
        <v>63</v>
      </c>
      <c r="C56" s="43">
        <v>1382</v>
      </c>
      <c r="D56" s="44">
        <v>46222</v>
      </c>
      <c r="E56" s="45" t="s">
        <v>1370</v>
      </c>
      <c r="F56" s="46" t="s">
        <v>37</v>
      </c>
      <c r="G56" s="46" t="s">
        <v>892</v>
      </c>
      <c r="H56" s="46" t="s">
        <v>965</v>
      </c>
      <c r="I56" s="46" t="s">
        <v>515</v>
      </c>
      <c r="J56" s="46" t="s">
        <v>977</v>
      </c>
      <c r="K56" s="43">
        <v>52</v>
      </c>
      <c r="L56" s="43">
        <v>37</v>
      </c>
      <c r="M56" s="47">
        <v>1.368421052631579</v>
      </c>
      <c r="N56" s="47">
        <v>92.5</v>
      </c>
      <c r="O56" s="46" t="s">
        <v>38</v>
      </c>
      <c r="P56" s="43">
        <v>748</v>
      </c>
      <c r="Q56" s="43">
        <v>60</v>
      </c>
      <c r="R56" s="45" t="s">
        <v>4265</v>
      </c>
      <c r="S56" s="46" t="s">
        <v>1371</v>
      </c>
    </row>
    <row r="57" spans="1:19" ht="21">
      <c r="A57" s="43">
        <v>53</v>
      </c>
      <c r="B57" s="43">
        <v>66</v>
      </c>
      <c r="C57" s="43">
        <v>1394</v>
      </c>
      <c r="D57" s="44">
        <v>46225</v>
      </c>
      <c r="E57" s="45" t="s">
        <v>1337</v>
      </c>
      <c r="F57" s="46" t="s">
        <v>37</v>
      </c>
      <c r="G57" s="46" t="s">
        <v>936</v>
      </c>
      <c r="H57" s="46" t="s">
        <v>965</v>
      </c>
      <c r="I57" s="46" t="s">
        <v>519</v>
      </c>
      <c r="J57" s="46" t="s">
        <v>968</v>
      </c>
      <c r="K57" s="43">
        <v>51</v>
      </c>
      <c r="L57" s="43">
        <v>34</v>
      </c>
      <c r="M57" s="47">
        <v>1.4571428571428571</v>
      </c>
      <c r="N57" s="47">
        <v>92.4</v>
      </c>
      <c r="O57" s="46" t="s">
        <v>38</v>
      </c>
      <c r="P57" s="43">
        <v>661</v>
      </c>
      <c r="Q57" s="43">
        <v>50</v>
      </c>
      <c r="R57" s="45" t="s">
        <v>4280</v>
      </c>
      <c r="S57" s="46" t="s">
        <v>1338</v>
      </c>
    </row>
    <row r="58" spans="1:19" ht="31.5">
      <c r="A58" s="43">
        <v>54</v>
      </c>
      <c r="B58" s="43">
        <v>50</v>
      </c>
      <c r="C58" s="43">
        <v>1331</v>
      </c>
      <c r="D58" s="44">
        <v>46204</v>
      </c>
      <c r="E58" s="45" t="s">
        <v>1473</v>
      </c>
      <c r="F58" s="46" t="s">
        <v>37</v>
      </c>
      <c r="G58" s="46" t="s">
        <v>1038</v>
      </c>
      <c r="H58" s="46" t="s">
        <v>1038</v>
      </c>
      <c r="I58" s="46" t="s">
        <v>533</v>
      </c>
      <c r="J58" s="46" t="s">
        <v>968</v>
      </c>
      <c r="K58" s="43">
        <v>56</v>
      </c>
      <c r="L58" s="43">
        <v>55</v>
      </c>
      <c r="M58" s="47">
        <v>1</v>
      </c>
      <c r="N58" s="47">
        <v>92.3</v>
      </c>
      <c r="O58" s="46" t="s">
        <v>38</v>
      </c>
      <c r="P58" s="43">
        <v>410</v>
      </c>
      <c r="Q58" s="43">
        <v>30</v>
      </c>
      <c r="R58" s="45" t="s">
        <v>4279</v>
      </c>
      <c r="S58" s="46" t="s">
        <v>1474</v>
      </c>
    </row>
    <row r="59" spans="1:19" ht="31.5">
      <c r="A59" s="43">
        <v>55</v>
      </c>
      <c r="B59" s="43">
        <v>94</v>
      </c>
      <c r="C59" s="43">
        <v>1436</v>
      </c>
      <c r="D59" s="44">
        <v>46241</v>
      </c>
      <c r="E59" s="45" t="s">
        <v>1205</v>
      </c>
      <c r="F59" s="46" t="s">
        <v>37</v>
      </c>
      <c r="G59" s="46" t="s">
        <v>1038</v>
      </c>
      <c r="H59" s="46" t="s">
        <v>1005</v>
      </c>
      <c r="I59" s="46" t="s">
        <v>512</v>
      </c>
      <c r="J59" s="46" t="s">
        <v>977</v>
      </c>
      <c r="K59" s="43">
        <v>46</v>
      </c>
      <c r="L59" s="43">
        <v>18</v>
      </c>
      <c r="M59" s="47">
        <v>2.4210526315789473</v>
      </c>
      <c r="N59" s="47">
        <v>92.3</v>
      </c>
      <c r="O59" s="46" t="s">
        <v>38</v>
      </c>
      <c r="P59" s="43">
        <v>851</v>
      </c>
      <c r="Q59" s="43">
        <v>40</v>
      </c>
      <c r="R59" s="45" t="s">
        <v>4263</v>
      </c>
      <c r="S59" s="46" t="s">
        <v>1206</v>
      </c>
    </row>
    <row r="60" spans="1:19" ht="31.5">
      <c r="A60" s="43">
        <v>56</v>
      </c>
      <c r="B60" s="43">
        <v>86</v>
      </c>
      <c r="C60" s="43">
        <v>1424</v>
      </c>
      <c r="D60" s="44">
        <v>46236</v>
      </c>
      <c r="E60" s="45" t="s">
        <v>1243</v>
      </c>
      <c r="F60" s="46" t="s">
        <v>37</v>
      </c>
      <c r="G60" s="46" t="s">
        <v>878</v>
      </c>
      <c r="H60" s="46" t="s">
        <v>965</v>
      </c>
      <c r="I60" s="46" t="s">
        <v>526</v>
      </c>
      <c r="J60" s="46" t="s">
        <v>977</v>
      </c>
      <c r="K60" s="43">
        <v>47</v>
      </c>
      <c r="L60" s="43">
        <v>23</v>
      </c>
      <c r="M60" s="47">
        <v>1.9583333333333333</v>
      </c>
      <c r="N60" s="47">
        <v>92.1</v>
      </c>
      <c r="O60" s="46" t="s">
        <v>38</v>
      </c>
      <c r="P60" s="43">
        <v>478</v>
      </c>
      <c r="Q60" s="43">
        <v>40</v>
      </c>
      <c r="R60" s="45" t="s">
        <v>4269</v>
      </c>
      <c r="S60" s="46" t="s">
        <v>1244</v>
      </c>
    </row>
    <row r="61" spans="1:19" ht="31.5">
      <c r="A61" s="43">
        <v>57</v>
      </c>
      <c r="B61" s="43">
        <v>99</v>
      </c>
      <c r="C61" s="43">
        <v>1442</v>
      </c>
      <c r="D61" s="44">
        <v>46243</v>
      </c>
      <c r="E61" s="45" t="s">
        <v>1185</v>
      </c>
      <c r="F61" s="46" t="s">
        <v>37</v>
      </c>
      <c r="G61" s="46" t="s">
        <v>885</v>
      </c>
      <c r="H61" s="46" t="s">
        <v>965</v>
      </c>
      <c r="I61" s="46" t="s">
        <v>522</v>
      </c>
      <c r="J61" s="46" t="s">
        <v>968</v>
      </c>
      <c r="K61" s="43">
        <v>45</v>
      </c>
      <c r="L61" s="43">
        <v>16</v>
      </c>
      <c r="M61" s="47">
        <v>2.6470588235294117</v>
      </c>
      <c r="N61" s="47">
        <v>92.1</v>
      </c>
      <c r="O61" s="46" t="s">
        <v>38</v>
      </c>
      <c r="P61" s="43">
        <v>956</v>
      </c>
      <c r="Q61" s="43">
        <v>50</v>
      </c>
      <c r="R61" s="45" t="s">
        <v>4264</v>
      </c>
      <c r="S61" s="46" t="s">
        <v>1186</v>
      </c>
    </row>
    <row r="62" spans="1:19" ht="42">
      <c r="A62" s="43">
        <v>58</v>
      </c>
      <c r="B62" s="43">
        <v>67</v>
      </c>
      <c r="C62" s="43">
        <v>1375</v>
      </c>
      <c r="D62" s="44">
        <v>46217</v>
      </c>
      <c r="E62" s="45" t="s">
        <v>1394</v>
      </c>
      <c r="F62" s="46" t="s">
        <v>37</v>
      </c>
      <c r="G62" s="46" t="s">
        <v>889</v>
      </c>
      <c r="H62" s="46" t="s">
        <v>965</v>
      </c>
      <c r="I62" s="46" t="s">
        <v>519</v>
      </c>
      <c r="J62" s="46" t="s">
        <v>968</v>
      </c>
      <c r="K62" s="43">
        <v>51</v>
      </c>
      <c r="L62" s="43">
        <v>42</v>
      </c>
      <c r="M62" s="47">
        <v>1.1860465116279071</v>
      </c>
      <c r="N62" s="47">
        <v>92</v>
      </c>
      <c r="O62" s="46" t="s">
        <v>38</v>
      </c>
      <c r="P62" s="43">
        <v>197</v>
      </c>
      <c r="Q62" s="43">
        <v>10</v>
      </c>
      <c r="R62" s="45" t="s">
        <v>4281</v>
      </c>
      <c r="S62" s="46" t="s">
        <v>1395</v>
      </c>
    </row>
    <row r="63" spans="1:19" ht="21">
      <c r="A63" s="43">
        <v>59</v>
      </c>
      <c r="B63" s="43">
        <v>87</v>
      </c>
      <c r="C63" s="43">
        <v>1421</v>
      </c>
      <c r="D63" s="44">
        <v>46235</v>
      </c>
      <c r="E63" s="45" t="s">
        <v>1253</v>
      </c>
      <c r="F63" s="46" t="s">
        <v>37</v>
      </c>
      <c r="G63" s="46" t="s">
        <v>878</v>
      </c>
      <c r="H63" s="46" t="s">
        <v>965</v>
      </c>
      <c r="I63" s="46" t="s">
        <v>515</v>
      </c>
      <c r="J63" s="46" t="s">
        <v>977</v>
      </c>
      <c r="K63" s="43">
        <v>47</v>
      </c>
      <c r="L63" s="43">
        <v>24</v>
      </c>
      <c r="M63" s="47">
        <v>1.88</v>
      </c>
      <c r="N63" s="47">
        <v>92</v>
      </c>
      <c r="O63" s="46" t="s">
        <v>38</v>
      </c>
      <c r="P63" s="43">
        <v>696</v>
      </c>
      <c r="Q63" s="43">
        <v>60</v>
      </c>
      <c r="R63" s="45" t="s">
        <v>4267</v>
      </c>
      <c r="S63" s="46" t="s">
        <v>1254</v>
      </c>
    </row>
    <row r="64" spans="1:19" ht="21">
      <c r="A64" s="43">
        <v>60</v>
      </c>
      <c r="B64" s="43">
        <v>110</v>
      </c>
      <c r="C64" s="43">
        <v>1451</v>
      </c>
      <c r="D64" s="44">
        <v>46246</v>
      </c>
      <c r="E64" s="45" t="s">
        <v>1160</v>
      </c>
      <c r="F64" s="46" t="s">
        <v>37</v>
      </c>
      <c r="G64" s="46" t="s">
        <v>885</v>
      </c>
      <c r="H64" s="46" t="s">
        <v>965</v>
      </c>
      <c r="I64" s="46" t="s">
        <v>519</v>
      </c>
      <c r="J64" s="46" t="s">
        <v>968</v>
      </c>
      <c r="K64" s="43">
        <v>43</v>
      </c>
      <c r="L64" s="43">
        <v>13</v>
      </c>
      <c r="M64" s="47">
        <v>3.0714285714285716</v>
      </c>
      <c r="N64" s="47">
        <v>92</v>
      </c>
      <c r="O64" s="46" t="s">
        <v>38</v>
      </c>
      <c r="P64" s="43">
        <v>829</v>
      </c>
      <c r="Q64" s="43">
        <v>60</v>
      </c>
      <c r="R64" s="45" t="s">
        <v>4267</v>
      </c>
      <c r="S64" s="46" t="s">
        <v>1161</v>
      </c>
    </row>
    <row r="65" spans="1:19" ht="31.5">
      <c r="A65" s="43">
        <v>61</v>
      </c>
      <c r="B65" s="43">
        <v>51</v>
      </c>
      <c r="C65" s="43">
        <v>1314</v>
      </c>
      <c r="D65" s="44">
        <v>46190</v>
      </c>
      <c r="E65" s="45" t="s">
        <v>1514</v>
      </c>
      <c r="F65" s="46" t="s">
        <v>37</v>
      </c>
      <c r="G65" s="46" t="s">
        <v>893</v>
      </c>
      <c r="H65" s="46" t="s">
        <v>965</v>
      </c>
      <c r="I65" s="46" t="s">
        <v>515</v>
      </c>
      <c r="J65" s="46" t="s">
        <v>977</v>
      </c>
      <c r="K65" s="43">
        <v>56</v>
      </c>
      <c r="L65" s="43">
        <v>69</v>
      </c>
      <c r="M65" s="47">
        <v>0.8</v>
      </c>
      <c r="N65" s="47">
        <v>91.8</v>
      </c>
      <c r="O65" s="46" t="s">
        <v>38</v>
      </c>
      <c r="P65" s="43">
        <v>756</v>
      </c>
      <c r="Q65" s="43">
        <v>30</v>
      </c>
      <c r="R65" s="45" t="s">
        <v>4266</v>
      </c>
      <c r="S65" s="46" t="s">
        <v>1515</v>
      </c>
    </row>
    <row r="66" spans="1:19" ht="31.5">
      <c r="A66" s="43">
        <v>62</v>
      </c>
      <c r="B66" s="43">
        <v>68</v>
      </c>
      <c r="C66" s="43">
        <v>1358</v>
      </c>
      <c r="D66" s="44">
        <v>46213</v>
      </c>
      <c r="E66" s="45" t="s">
        <v>1425</v>
      </c>
      <c r="F66" s="46" t="s">
        <v>37</v>
      </c>
      <c r="G66" s="46" t="s">
        <v>885</v>
      </c>
      <c r="H66" s="46" t="s">
        <v>965</v>
      </c>
      <c r="I66" s="46" t="s">
        <v>515</v>
      </c>
      <c r="J66" s="46" t="s">
        <v>977</v>
      </c>
      <c r="K66" s="43">
        <v>51</v>
      </c>
      <c r="L66" s="43">
        <v>46</v>
      </c>
      <c r="M66" s="47">
        <v>1.0851063829787233</v>
      </c>
      <c r="N66" s="47">
        <v>91.8</v>
      </c>
      <c r="O66" s="46" t="s">
        <v>38</v>
      </c>
      <c r="P66" s="43">
        <v>1284</v>
      </c>
      <c r="Q66" s="43">
        <v>30</v>
      </c>
      <c r="R66" s="45" t="s">
        <v>4266</v>
      </c>
      <c r="S66" s="46" t="s">
        <v>1426</v>
      </c>
    </row>
    <row r="67" spans="1:19" ht="31.5">
      <c r="A67" s="43">
        <v>63</v>
      </c>
      <c r="B67" s="43">
        <v>100</v>
      </c>
      <c r="C67" s="43">
        <v>1438</v>
      </c>
      <c r="D67" s="44">
        <v>46241</v>
      </c>
      <c r="E67" s="45" t="s">
        <v>1198</v>
      </c>
      <c r="F67" s="46" t="s">
        <v>37</v>
      </c>
      <c r="G67" s="46" t="s">
        <v>928</v>
      </c>
      <c r="H67" s="46" t="s">
        <v>965</v>
      </c>
      <c r="I67" s="46" t="s">
        <v>512</v>
      </c>
      <c r="J67" s="46" t="s">
        <v>977</v>
      </c>
      <c r="K67" s="43">
        <v>45</v>
      </c>
      <c r="L67" s="43">
        <v>18</v>
      </c>
      <c r="M67" s="47">
        <v>2.3684210526315788</v>
      </c>
      <c r="N67" s="47">
        <v>91.8</v>
      </c>
      <c r="O67" s="46" t="s">
        <v>38</v>
      </c>
      <c r="P67" s="43">
        <v>728</v>
      </c>
      <c r="Q67" s="43">
        <v>50</v>
      </c>
      <c r="R67" s="45" t="s">
        <v>4264</v>
      </c>
      <c r="S67" s="46" t="s">
        <v>1199</v>
      </c>
    </row>
    <row r="68" spans="1:19" ht="42">
      <c r="A68" s="43">
        <v>64</v>
      </c>
      <c r="B68" s="43">
        <v>16</v>
      </c>
      <c r="C68" s="43">
        <v>989</v>
      </c>
      <c r="D68" s="44">
        <v>46016</v>
      </c>
      <c r="E68" s="45" t="s">
        <v>1956</v>
      </c>
      <c r="F68" s="46" t="s">
        <v>371</v>
      </c>
      <c r="G68" s="46" t="s">
        <v>1038</v>
      </c>
      <c r="H68" s="46" t="s">
        <v>1038</v>
      </c>
      <c r="I68" s="46" t="s">
        <v>512</v>
      </c>
      <c r="J68" s="46" t="s">
        <v>968</v>
      </c>
      <c r="K68" s="43">
        <v>74</v>
      </c>
      <c r="L68" s="43">
        <v>243</v>
      </c>
      <c r="M68" s="47">
        <v>0.30327868852459017</v>
      </c>
      <c r="N68" s="47">
        <v>91.6</v>
      </c>
      <c r="O68" s="46" t="s">
        <v>38</v>
      </c>
      <c r="P68" s="43">
        <v>834</v>
      </c>
      <c r="Q68" s="43">
        <v>20</v>
      </c>
      <c r="R68" s="45" t="s">
        <v>4278</v>
      </c>
      <c r="S68" s="46" t="s">
        <v>1957</v>
      </c>
    </row>
    <row r="69" spans="1:19" ht="31.5">
      <c r="A69" s="43">
        <v>65</v>
      </c>
      <c r="B69" s="43">
        <v>64</v>
      </c>
      <c r="C69" s="43">
        <v>1330</v>
      </c>
      <c r="D69" s="44">
        <v>46204</v>
      </c>
      <c r="E69" s="45" t="s">
        <v>1476</v>
      </c>
      <c r="F69" s="46" t="s">
        <v>37</v>
      </c>
      <c r="G69" s="46" t="s">
        <v>1038</v>
      </c>
      <c r="H69" s="46" t="s">
        <v>1005</v>
      </c>
      <c r="I69" s="46" t="s">
        <v>522</v>
      </c>
      <c r="J69" s="46" t="s">
        <v>968</v>
      </c>
      <c r="K69" s="43">
        <v>52</v>
      </c>
      <c r="L69" s="43">
        <v>55</v>
      </c>
      <c r="M69" s="47">
        <v>0.9285714285714286</v>
      </c>
      <c r="N69" s="47">
        <v>91.5</v>
      </c>
      <c r="O69" s="46" t="s">
        <v>38</v>
      </c>
      <c r="P69" s="43">
        <v>678</v>
      </c>
      <c r="Q69" s="43">
        <v>40</v>
      </c>
      <c r="R69" s="45" t="s">
        <v>4273</v>
      </c>
      <c r="S69" s="46" t="s">
        <v>1477</v>
      </c>
    </row>
    <row r="70" spans="1:19" ht="42">
      <c r="A70" s="43">
        <v>66</v>
      </c>
      <c r="B70" s="43">
        <v>69</v>
      </c>
      <c r="C70" s="43">
        <v>1353</v>
      </c>
      <c r="D70" s="44">
        <v>46210</v>
      </c>
      <c r="E70" s="45" t="s">
        <v>1440</v>
      </c>
      <c r="F70" s="46" t="s">
        <v>37</v>
      </c>
      <c r="G70" s="46" t="s">
        <v>1038</v>
      </c>
      <c r="H70" s="46" t="s">
        <v>1038</v>
      </c>
      <c r="I70" s="46" t="s">
        <v>536</v>
      </c>
      <c r="J70" s="46" t="s">
        <v>977</v>
      </c>
      <c r="K70" s="43">
        <v>51</v>
      </c>
      <c r="L70" s="43">
        <v>49</v>
      </c>
      <c r="M70" s="47">
        <v>1.02</v>
      </c>
      <c r="N70" s="47">
        <v>91.5</v>
      </c>
      <c r="O70" s="46" t="s">
        <v>38</v>
      </c>
      <c r="P70" s="43">
        <v>275</v>
      </c>
      <c r="Q70" s="43">
        <v>10</v>
      </c>
      <c r="R70" s="45" t="s">
        <v>4281</v>
      </c>
      <c r="S70" s="46" t="s">
        <v>1441</v>
      </c>
    </row>
    <row r="71" spans="1:19" ht="42">
      <c r="A71" s="43">
        <v>67</v>
      </c>
      <c r="B71" s="43">
        <v>45</v>
      </c>
      <c r="C71" s="43">
        <v>1267</v>
      </c>
      <c r="D71" s="44">
        <v>46151</v>
      </c>
      <c r="E71" s="45" t="s">
        <v>1608</v>
      </c>
      <c r="F71" s="46" t="s">
        <v>37</v>
      </c>
      <c r="G71" s="46" t="s">
        <v>1038</v>
      </c>
      <c r="H71" s="46" t="s">
        <v>1484</v>
      </c>
      <c r="I71" s="46" t="s">
        <v>515</v>
      </c>
      <c r="J71" s="46" t="s">
        <v>968</v>
      </c>
      <c r="K71" s="43">
        <v>58</v>
      </c>
      <c r="L71" s="43">
        <v>108</v>
      </c>
      <c r="M71" s="47">
        <v>0.5321100917431193</v>
      </c>
      <c r="N71" s="47">
        <v>91.4</v>
      </c>
      <c r="O71" s="46" t="s">
        <v>38</v>
      </c>
      <c r="P71" s="43">
        <v>348</v>
      </c>
      <c r="Q71" s="43">
        <v>20</v>
      </c>
      <c r="R71" s="45" t="s">
        <v>4272</v>
      </c>
      <c r="S71" s="46" t="s">
        <v>1609</v>
      </c>
    </row>
    <row r="72" spans="1:19" ht="31.5">
      <c r="A72" s="43">
        <v>68</v>
      </c>
      <c r="B72" s="43">
        <v>88</v>
      </c>
      <c r="C72" s="43">
        <v>1413</v>
      </c>
      <c r="D72" s="44">
        <v>46230</v>
      </c>
      <c r="E72" s="45" t="s">
        <v>1279</v>
      </c>
      <c r="F72" s="46" t="s">
        <v>37</v>
      </c>
      <c r="G72" s="46" t="s">
        <v>882</v>
      </c>
      <c r="H72" s="46" t="s">
        <v>965</v>
      </c>
      <c r="I72" s="46" t="s">
        <v>522</v>
      </c>
      <c r="J72" s="46" t="s">
        <v>977</v>
      </c>
      <c r="K72" s="43">
        <v>47</v>
      </c>
      <c r="L72" s="43">
        <v>29</v>
      </c>
      <c r="M72" s="47">
        <v>1.5666666666666667</v>
      </c>
      <c r="N72" s="47">
        <v>91.4</v>
      </c>
      <c r="O72" s="46" t="s">
        <v>38</v>
      </c>
      <c r="P72" s="43">
        <v>803</v>
      </c>
      <c r="Q72" s="43">
        <v>50</v>
      </c>
      <c r="R72" s="45" t="s">
        <v>4264</v>
      </c>
      <c r="S72" s="46" t="s">
        <v>1280</v>
      </c>
    </row>
    <row r="73" spans="1:19" ht="42">
      <c r="A73" s="43">
        <v>69</v>
      </c>
      <c r="B73" s="43">
        <v>77</v>
      </c>
      <c r="C73" s="43">
        <v>1373</v>
      </c>
      <c r="D73" s="44">
        <v>46216</v>
      </c>
      <c r="E73" s="45" t="s">
        <v>1400</v>
      </c>
      <c r="F73" s="46" t="s">
        <v>37</v>
      </c>
      <c r="G73" s="46" t="s">
        <v>889</v>
      </c>
      <c r="H73" s="46" t="s">
        <v>965</v>
      </c>
      <c r="I73" s="46" t="s">
        <v>512</v>
      </c>
      <c r="J73" s="46" t="s">
        <v>977</v>
      </c>
      <c r="K73" s="43">
        <v>49</v>
      </c>
      <c r="L73" s="43">
        <v>43</v>
      </c>
      <c r="M73" s="47">
        <v>1.1136363636363635</v>
      </c>
      <c r="N73" s="47">
        <v>91.3</v>
      </c>
      <c r="O73" s="46" t="s">
        <v>38</v>
      </c>
      <c r="P73" s="43">
        <v>218</v>
      </c>
      <c r="Q73" s="43">
        <v>10</v>
      </c>
      <c r="R73" s="45" t="s">
        <v>4281</v>
      </c>
      <c r="S73" s="46" t="s">
        <v>1401</v>
      </c>
    </row>
    <row r="74" spans="1:19" ht="42">
      <c r="A74" s="43">
        <v>70</v>
      </c>
      <c r="B74" s="43">
        <v>78</v>
      </c>
      <c r="C74" s="43">
        <v>1359</v>
      </c>
      <c r="D74" s="44">
        <v>46214</v>
      </c>
      <c r="E74" s="45" t="s">
        <v>1422</v>
      </c>
      <c r="F74" s="46" t="s">
        <v>37</v>
      </c>
      <c r="G74" s="46" t="s">
        <v>911</v>
      </c>
      <c r="H74" s="46" t="s">
        <v>965</v>
      </c>
      <c r="I74" s="46" t="s">
        <v>522</v>
      </c>
      <c r="J74" s="46" t="s">
        <v>968</v>
      </c>
      <c r="K74" s="43">
        <v>49</v>
      </c>
      <c r="L74" s="43">
        <v>45</v>
      </c>
      <c r="M74" s="47">
        <v>1.0652173913043479</v>
      </c>
      <c r="N74" s="47">
        <v>91</v>
      </c>
      <c r="O74" s="46" t="s">
        <v>38</v>
      </c>
      <c r="P74" s="43">
        <v>354</v>
      </c>
      <c r="Q74" s="43">
        <v>20</v>
      </c>
      <c r="R74" s="45" t="s">
        <v>4275</v>
      </c>
      <c r="S74" s="46" t="s">
        <v>1423</v>
      </c>
    </row>
    <row r="75" spans="1:19" ht="31.5">
      <c r="A75" s="43">
        <v>71</v>
      </c>
      <c r="B75" s="43">
        <v>73</v>
      </c>
      <c r="C75" s="43">
        <v>1342</v>
      </c>
      <c r="D75" s="44">
        <v>46206</v>
      </c>
      <c r="E75" s="45" t="s">
        <v>1458</v>
      </c>
      <c r="F75" s="46" t="s">
        <v>37</v>
      </c>
      <c r="G75" s="46" t="s">
        <v>918</v>
      </c>
      <c r="H75" s="46" t="s">
        <v>1317</v>
      </c>
      <c r="I75" s="46" t="s">
        <v>533</v>
      </c>
      <c r="J75" s="46" t="s">
        <v>968</v>
      </c>
      <c r="K75" s="43">
        <v>50</v>
      </c>
      <c r="L75" s="43">
        <v>53</v>
      </c>
      <c r="M75" s="47">
        <v>0.92592592592592593</v>
      </c>
      <c r="N75" s="47">
        <v>90.9</v>
      </c>
      <c r="O75" s="46" t="s">
        <v>38</v>
      </c>
      <c r="P75" s="43">
        <v>649</v>
      </c>
      <c r="Q75" s="43">
        <v>30</v>
      </c>
      <c r="R75" s="45" t="s">
        <v>4266</v>
      </c>
      <c r="S75" s="46" t="s">
        <v>1459</v>
      </c>
    </row>
    <row r="76" spans="1:19" ht="31.5">
      <c r="A76" s="43">
        <v>72</v>
      </c>
      <c r="B76" s="43">
        <v>37</v>
      </c>
      <c r="C76" s="43">
        <v>1164</v>
      </c>
      <c r="D76" s="44">
        <v>46055</v>
      </c>
      <c r="E76" s="45" t="s">
        <v>1824</v>
      </c>
      <c r="F76" s="46" t="s">
        <v>360</v>
      </c>
      <c r="G76" s="46" t="s">
        <v>887</v>
      </c>
      <c r="H76" s="46" t="s">
        <v>965</v>
      </c>
      <c r="I76" s="46" t="s">
        <v>512</v>
      </c>
      <c r="J76" s="46" t="s">
        <v>977</v>
      </c>
      <c r="K76" s="43">
        <v>64</v>
      </c>
      <c r="L76" s="43">
        <v>204</v>
      </c>
      <c r="M76" s="47">
        <v>0.31219512195121951</v>
      </c>
      <c r="N76" s="47">
        <v>90.7</v>
      </c>
      <c r="O76" s="46" t="s">
        <v>38</v>
      </c>
      <c r="P76" s="43">
        <v>320</v>
      </c>
      <c r="Q76" s="43">
        <v>30</v>
      </c>
      <c r="R76" s="45" t="s">
        <v>4279</v>
      </c>
      <c r="S76" s="46" t="s">
        <v>1825</v>
      </c>
    </row>
    <row r="77" spans="1:19" ht="42">
      <c r="A77" s="43">
        <v>73</v>
      </c>
      <c r="B77" s="43">
        <v>52</v>
      </c>
      <c r="C77" s="43">
        <v>1247</v>
      </c>
      <c r="D77" s="44">
        <v>46144</v>
      </c>
      <c r="E77" s="45" t="s">
        <v>1668</v>
      </c>
      <c r="F77" s="46" t="s">
        <v>37</v>
      </c>
      <c r="G77" s="46" t="s">
        <v>922</v>
      </c>
      <c r="H77" s="46" t="s">
        <v>965</v>
      </c>
      <c r="I77" s="46" t="s">
        <v>519</v>
      </c>
      <c r="J77" s="46" t="s">
        <v>968</v>
      </c>
      <c r="K77" s="43">
        <v>56</v>
      </c>
      <c r="L77" s="43">
        <v>115</v>
      </c>
      <c r="M77" s="47">
        <v>0.48275862068965519</v>
      </c>
      <c r="N77" s="47">
        <v>90.7</v>
      </c>
      <c r="O77" s="46" t="s">
        <v>38</v>
      </c>
      <c r="P77" s="43">
        <v>341</v>
      </c>
      <c r="Q77" s="43">
        <v>20</v>
      </c>
      <c r="R77" s="45" t="s">
        <v>4272</v>
      </c>
      <c r="S77" s="46" t="s">
        <v>1669</v>
      </c>
    </row>
    <row r="78" spans="1:19" ht="42">
      <c r="A78" s="43">
        <v>74</v>
      </c>
      <c r="B78" s="43">
        <v>101</v>
      </c>
      <c r="C78" s="43">
        <v>1417</v>
      </c>
      <c r="D78" s="44">
        <v>46232</v>
      </c>
      <c r="E78" s="45" t="s">
        <v>1265</v>
      </c>
      <c r="F78" s="46" t="s">
        <v>360</v>
      </c>
      <c r="G78" s="46" t="s">
        <v>1038</v>
      </c>
      <c r="H78" s="46" t="s">
        <v>1038</v>
      </c>
      <c r="I78" s="46" t="s">
        <v>526</v>
      </c>
      <c r="J78" s="46" t="s">
        <v>977</v>
      </c>
      <c r="K78" s="43">
        <v>45</v>
      </c>
      <c r="L78" s="43">
        <v>27</v>
      </c>
      <c r="M78" s="47">
        <v>1.6071428571428572</v>
      </c>
      <c r="N78" s="47">
        <v>90.7</v>
      </c>
      <c r="O78" s="46" t="s">
        <v>38</v>
      </c>
      <c r="P78" s="43">
        <v>310</v>
      </c>
      <c r="Q78" s="43">
        <v>20</v>
      </c>
      <c r="R78" s="45" t="s">
        <v>4282</v>
      </c>
      <c r="S78" s="46" t="s">
        <v>1266</v>
      </c>
    </row>
    <row r="79" spans="1:19" ht="31.5">
      <c r="A79" s="43">
        <v>75</v>
      </c>
      <c r="B79" s="43">
        <v>79</v>
      </c>
      <c r="C79" s="43">
        <v>1324</v>
      </c>
      <c r="D79" s="44">
        <v>46201</v>
      </c>
      <c r="E79" s="45" t="s">
        <v>1496</v>
      </c>
      <c r="F79" s="46" t="s">
        <v>37</v>
      </c>
      <c r="G79" s="46" t="s">
        <v>1038</v>
      </c>
      <c r="H79" s="46" t="s">
        <v>1038</v>
      </c>
      <c r="I79" s="46" t="s">
        <v>533</v>
      </c>
      <c r="J79" s="46" t="s">
        <v>968</v>
      </c>
      <c r="K79" s="43">
        <v>49</v>
      </c>
      <c r="L79" s="43">
        <v>58</v>
      </c>
      <c r="M79" s="47">
        <v>0.83050847457627119</v>
      </c>
      <c r="N79" s="47">
        <v>90.4</v>
      </c>
      <c r="O79" s="46" t="s">
        <v>38</v>
      </c>
      <c r="P79" s="43">
        <v>1230</v>
      </c>
      <c r="Q79" s="43">
        <v>30</v>
      </c>
      <c r="R79" s="45" t="s">
        <v>4266</v>
      </c>
      <c r="S79" s="46" t="s">
        <v>1497</v>
      </c>
    </row>
    <row r="80" spans="1:19" ht="31.5">
      <c r="A80" s="43">
        <v>76</v>
      </c>
      <c r="B80" s="43">
        <v>39</v>
      </c>
      <c r="C80" s="43">
        <v>826</v>
      </c>
      <c r="D80" s="44">
        <v>46047</v>
      </c>
      <c r="E80" s="45" t="s">
        <v>1854</v>
      </c>
      <c r="F80" s="46" t="s">
        <v>37</v>
      </c>
      <c r="G80" s="46" t="s">
        <v>878</v>
      </c>
      <c r="H80" s="46" t="s">
        <v>965</v>
      </c>
      <c r="I80" s="46" t="s">
        <v>512</v>
      </c>
      <c r="J80" s="46" t="s">
        <v>977</v>
      </c>
      <c r="K80" s="43">
        <v>62</v>
      </c>
      <c r="L80" s="43">
        <v>212</v>
      </c>
      <c r="M80" s="47">
        <v>0.29107981220657275</v>
      </c>
      <c r="N80" s="47">
        <v>90.3</v>
      </c>
      <c r="O80" s="46" t="s">
        <v>38</v>
      </c>
      <c r="P80" s="43">
        <v>501</v>
      </c>
      <c r="Q80" s="43">
        <v>30</v>
      </c>
      <c r="R80" s="45" t="s">
        <v>4283</v>
      </c>
      <c r="S80" s="46" t="s">
        <v>1855</v>
      </c>
    </row>
    <row r="81" spans="1:19" ht="42">
      <c r="A81" s="43">
        <v>77</v>
      </c>
      <c r="B81" s="43">
        <v>74</v>
      </c>
      <c r="C81" s="43">
        <v>1312</v>
      </c>
      <c r="D81" s="44">
        <v>46186</v>
      </c>
      <c r="E81" s="45" t="s">
        <v>1520</v>
      </c>
      <c r="F81" s="46" t="s">
        <v>37</v>
      </c>
      <c r="G81" s="46" t="s">
        <v>1038</v>
      </c>
      <c r="H81" s="46" t="s">
        <v>1005</v>
      </c>
      <c r="I81" s="46" t="s">
        <v>519</v>
      </c>
      <c r="J81" s="46" t="s">
        <v>977</v>
      </c>
      <c r="K81" s="43">
        <v>50</v>
      </c>
      <c r="L81" s="43">
        <v>73</v>
      </c>
      <c r="M81" s="47">
        <v>0.67567567567567566</v>
      </c>
      <c r="N81" s="47">
        <v>90.3</v>
      </c>
      <c r="O81" s="46" t="s">
        <v>38</v>
      </c>
      <c r="P81" s="43">
        <v>327</v>
      </c>
      <c r="Q81" s="43">
        <v>20</v>
      </c>
      <c r="R81" s="45" t="s">
        <v>4272</v>
      </c>
      <c r="S81" s="46" t="s">
        <v>1521</v>
      </c>
    </row>
    <row r="82" spans="1:19" ht="31.5">
      <c r="A82" s="43">
        <v>78</v>
      </c>
      <c r="B82" s="43">
        <v>70</v>
      </c>
      <c r="C82" s="43">
        <v>1287</v>
      </c>
      <c r="D82" s="44">
        <v>46166</v>
      </c>
      <c r="E82" s="45" t="s">
        <v>1566</v>
      </c>
      <c r="F82" s="46" t="s">
        <v>37</v>
      </c>
      <c r="G82" s="46" t="s">
        <v>905</v>
      </c>
      <c r="H82" s="46" t="s">
        <v>965</v>
      </c>
      <c r="I82" s="46" t="s">
        <v>515</v>
      </c>
      <c r="J82" s="46" t="s">
        <v>968</v>
      </c>
      <c r="K82" s="43">
        <v>51</v>
      </c>
      <c r="L82" s="43">
        <v>93</v>
      </c>
      <c r="M82" s="47">
        <v>0.54255319148936165</v>
      </c>
      <c r="N82" s="47">
        <v>90.1</v>
      </c>
      <c r="O82" s="46" t="s">
        <v>38</v>
      </c>
      <c r="P82" s="43">
        <v>528</v>
      </c>
      <c r="Q82" s="43">
        <v>30</v>
      </c>
      <c r="R82" s="45" t="s">
        <v>4266</v>
      </c>
      <c r="S82" s="46" t="s">
        <v>1567</v>
      </c>
    </row>
    <row r="83" spans="1:19" ht="31.5">
      <c r="A83" s="43">
        <v>79</v>
      </c>
      <c r="B83" s="43">
        <v>65</v>
      </c>
      <c r="C83" s="43">
        <v>1272</v>
      </c>
      <c r="D83" s="44">
        <v>46155</v>
      </c>
      <c r="E83" s="45" t="s">
        <v>1593</v>
      </c>
      <c r="F83" s="46" t="s">
        <v>37</v>
      </c>
      <c r="G83" s="46" t="s">
        <v>882</v>
      </c>
      <c r="H83" s="46" t="s">
        <v>965</v>
      </c>
      <c r="I83" s="46" t="s">
        <v>515</v>
      </c>
      <c r="J83" s="46" t="s">
        <v>977</v>
      </c>
      <c r="K83" s="43">
        <v>52</v>
      </c>
      <c r="L83" s="43">
        <v>104</v>
      </c>
      <c r="M83" s="47">
        <v>0.49523809523809526</v>
      </c>
      <c r="N83" s="47">
        <v>90</v>
      </c>
      <c r="O83" s="46" t="s">
        <v>38</v>
      </c>
      <c r="P83" s="43">
        <v>1046</v>
      </c>
      <c r="Q83" s="43">
        <v>30</v>
      </c>
      <c r="R83" s="45" t="s">
        <v>4266</v>
      </c>
      <c r="S83" s="46" t="s">
        <v>1594</v>
      </c>
    </row>
    <row r="84" spans="1:19" ht="31.5">
      <c r="A84" s="43">
        <v>80</v>
      </c>
      <c r="B84" s="43">
        <v>75</v>
      </c>
      <c r="C84" s="43">
        <v>1290</v>
      </c>
      <c r="D84" s="44">
        <v>46170</v>
      </c>
      <c r="E84" s="45" t="s">
        <v>1556</v>
      </c>
      <c r="F84" s="46" t="s">
        <v>37</v>
      </c>
      <c r="G84" s="46" t="s">
        <v>1038</v>
      </c>
      <c r="H84" s="46" t="s">
        <v>1005</v>
      </c>
      <c r="I84" s="46" t="s">
        <v>515</v>
      </c>
      <c r="J84" s="46" t="s">
        <v>968</v>
      </c>
      <c r="K84" s="43">
        <v>50</v>
      </c>
      <c r="L84" s="43">
        <v>89</v>
      </c>
      <c r="M84" s="47">
        <v>0.55555555555555558</v>
      </c>
      <c r="N84" s="47">
        <v>90</v>
      </c>
      <c r="O84" s="46" t="s">
        <v>38</v>
      </c>
      <c r="P84" s="43">
        <v>741</v>
      </c>
      <c r="Q84" s="43">
        <v>40</v>
      </c>
      <c r="R84" s="45" t="s">
        <v>4273</v>
      </c>
      <c r="S84" s="46" t="s">
        <v>1557</v>
      </c>
    </row>
    <row r="85" spans="1:19" ht="42">
      <c r="A85" s="43">
        <v>81</v>
      </c>
      <c r="B85" s="43">
        <v>126</v>
      </c>
      <c r="C85" s="43">
        <v>1433</v>
      </c>
      <c r="D85" s="44">
        <v>46241</v>
      </c>
      <c r="E85" s="45" t="s">
        <v>1215</v>
      </c>
      <c r="F85" s="46" t="s">
        <v>37</v>
      </c>
      <c r="G85" s="46" t="s">
        <v>1038</v>
      </c>
      <c r="H85" s="46" t="s">
        <v>1005</v>
      </c>
      <c r="I85" s="46" t="s">
        <v>530</v>
      </c>
      <c r="J85" s="46" t="s">
        <v>977</v>
      </c>
      <c r="K85" s="43">
        <v>41</v>
      </c>
      <c r="L85" s="43">
        <v>18</v>
      </c>
      <c r="M85" s="47">
        <v>2.1578947368421053</v>
      </c>
      <c r="N85" s="47">
        <v>89.9</v>
      </c>
      <c r="O85" s="46" t="s">
        <v>4284</v>
      </c>
      <c r="P85" s="43">
        <v>765</v>
      </c>
      <c r="Q85" s="43">
        <v>20</v>
      </c>
      <c r="R85" s="45" t="s">
        <v>4278</v>
      </c>
      <c r="S85" s="46" t="s">
        <v>1216</v>
      </c>
    </row>
    <row r="86" spans="1:19" ht="31.5">
      <c r="A86" s="43">
        <v>82</v>
      </c>
      <c r="B86" s="43">
        <v>136</v>
      </c>
      <c r="C86" s="43">
        <v>1444</v>
      </c>
      <c r="D86" s="44">
        <v>46245</v>
      </c>
      <c r="E86" s="45" t="s">
        <v>1182</v>
      </c>
      <c r="F86" s="46" t="s">
        <v>37</v>
      </c>
      <c r="G86" s="46" t="s">
        <v>893</v>
      </c>
      <c r="H86" s="46" t="s">
        <v>965</v>
      </c>
      <c r="I86" s="46" t="s">
        <v>519</v>
      </c>
      <c r="J86" s="46" t="s">
        <v>977</v>
      </c>
      <c r="K86" s="43">
        <v>40</v>
      </c>
      <c r="L86" s="43">
        <v>14</v>
      </c>
      <c r="M86" s="47">
        <v>2.6666666666666665</v>
      </c>
      <c r="N86" s="47">
        <v>89.9</v>
      </c>
      <c r="O86" s="46" t="s">
        <v>4284</v>
      </c>
      <c r="P86" s="43">
        <v>494</v>
      </c>
      <c r="Q86" s="43">
        <v>40</v>
      </c>
      <c r="R86" s="45" t="s">
        <v>4269</v>
      </c>
      <c r="S86" s="46" t="s">
        <v>1183</v>
      </c>
    </row>
    <row r="87" spans="1:19" ht="31.5">
      <c r="A87" s="43">
        <v>83</v>
      </c>
      <c r="B87" s="43">
        <v>111</v>
      </c>
      <c r="C87" s="43">
        <v>1412</v>
      </c>
      <c r="D87" s="44">
        <v>46230</v>
      </c>
      <c r="E87" s="45" t="s">
        <v>1282</v>
      </c>
      <c r="F87" s="46" t="s">
        <v>37</v>
      </c>
      <c r="G87" s="46" t="s">
        <v>919</v>
      </c>
      <c r="H87" s="46" t="s">
        <v>965</v>
      </c>
      <c r="I87" s="46" t="s">
        <v>519</v>
      </c>
      <c r="J87" s="46" t="s">
        <v>977</v>
      </c>
      <c r="K87" s="43">
        <v>43</v>
      </c>
      <c r="L87" s="43">
        <v>29</v>
      </c>
      <c r="M87" s="47">
        <v>1.4333333333333333</v>
      </c>
      <c r="N87" s="47">
        <v>89.8</v>
      </c>
      <c r="O87" s="46" t="s">
        <v>4284</v>
      </c>
      <c r="P87" s="43">
        <v>709</v>
      </c>
      <c r="Q87" s="43">
        <v>50</v>
      </c>
      <c r="R87" s="45" t="s">
        <v>4264</v>
      </c>
      <c r="S87" s="46" t="s">
        <v>1283</v>
      </c>
    </row>
    <row r="88" spans="1:19" ht="31.5">
      <c r="A88" s="43">
        <v>84</v>
      </c>
      <c r="B88" s="43">
        <v>150</v>
      </c>
      <c r="C88" s="43">
        <v>1459</v>
      </c>
      <c r="D88" s="44">
        <v>46249</v>
      </c>
      <c r="E88" s="45" t="s">
        <v>1129</v>
      </c>
      <c r="F88" s="46" t="s">
        <v>37</v>
      </c>
      <c r="G88" s="46" t="s">
        <v>1038</v>
      </c>
      <c r="H88" s="46" t="s">
        <v>1038</v>
      </c>
      <c r="I88" s="46" t="s">
        <v>533</v>
      </c>
      <c r="J88" s="46" t="s">
        <v>968</v>
      </c>
      <c r="K88" s="43">
        <v>38</v>
      </c>
      <c r="L88" s="43">
        <v>10</v>
      </c>
      <c r="M88" s="47">
        <v>3.4545454545454546</v>
      </c>
      <c r="N88" s="47">
        <v>89.8</v>
      </c>
      <c r="O88" s="46" t="s">
        <v>4284</v>
      </c>
      <c r="P88" s="43">
        <v>851</v>
      </c>
      <c r="Q88" s="43">
        <v>40</v>
      </c>
      <c r="R88" s="45" t="s">
        <v>4263</v>
      </c>
      <c r="S88" s="46" t="s">
        <v>1130</v>
      </c>
    </row>
    <row r="89" spans="1:19" ht="31.5">
      <c r="A89" s="43">
        <v>85</v>
      </c>
      <c r="B89" s="43">
        <v>167</v>
      </c>
      <c r="C89" s="43">
        <v>1478</v>
      </c>
      <c r="D89" s="44">
        <v>46255</v>
      </c>
      <c r="E89" s="45" t="s">
        <v>1057</v>
      </c>
      <c r="F89" s="46" t="s">
        <v>37</v>
      </c>
      <c r="G89" s="46" t="s">
        <v>1038</v>
      </c>
      <c r="H89" s="46" t="s">
        <v>1005</v>
      </c>
      <c r="I89" s="46" t="s">
        <v>533</v>
      </c>
      <c r="J89" s="46" t="s">
        <v>968</v>
      </c>
      <c r="K89" s="43">
        <v>36</v>
      </c>
      <c r="L89" s="43">
        <v>4</v>
      </c>
      <c r="M89" s="47">
        <v>7.2</v>
      </c>
      <c r="N89" s="47">
        <v>89.7</v>
      </c>
      <c r="O89" s="46" t="s">
        <v>4284</v>
      </c>
      <c r="P89" s="43">
        <v>577</v>
      </c>
      <c r="Q89" s="43">
        <v>40</v>
      </c>
      <c r="R89" s="45" t="s">
        <v>4263</v>
      </c>
      <c r="S89" s="46" t="s">
        <v>1058</v>
      </c>
    </row>
    <row r="90" spans="1:19" ht="42">
      <c r="A90" s="43">
        <v>86</v>
      </c>
      <c r="B90" s="43">
        <v>42</v>
      </c>
      <c r="C90" s="43">
        <v>805</v>
      </c>
      <c r="D90" s="44">
        <v>46011</v>
      </c>
      <c r="E90" s="45" t="s">
        <v>1995</v>
      </c>
      <c r="F90" s="46" t="s">
        <v>37</v>
      </c>
      <c r="G90" s="46" t="s">
        <v>1038</v>
      </c>
      <c r="H90" s="46" t="s">
        <v>1134</v>
      </c>
      <c r="I90" s="46" t="s">
        <v>512</v>
      </c>
      <c r="J90" s="46" t="s">
        <v>977</v>
      </c>
      <c r="K90" s="43">
        <v>60</v>
      </c>
      <c r="L90" s="43">
        <v>248</v>
      </c>
      <c r="M90" s="47">
        <v>0.24096385542168675</v>
      </c>
      <c r="N90" s="47">
        <v>89.6</v>
      </c>
      <c r="O90" s="46" t="s">
        <v>4284</v>
      </c>
      <c r="P90" s="43">
        <v>1267</v>
      </c>
      <c r="Q90" s="43">
        <v>20</v>
      </c>
      <c r="R90" s="45" t="s">
        <v>4278</v>
      </c>
      <c r="S90" s="46" t="s">
        <v>1996</v>
      </c>
    </row>
    <row r="91" spans="1:19" ht="42">
      <c r="A91" s="43">
        <v>87</v>
      </c>
      <c r="B91" s="43">
        <v>46</v>
      </c>
      <c r="C91" s="43">
        <v>817</v>
      </c>
      <c r="D91" s="44">
        <v>46026</v>
      </c>
      <c r="E91" s="45" t="s">
        <v>1920</v>
      </c>
      <c r="F91" s="46" t="s">
        <v>37</v>
      </c>
      <c r="G91" s="46" t="s">
        <v>896</v>
      </c>
      <c r="H91" s="46" t="s">
        <v>965</v>
      </c>
      <c r="I91" s="46" t="s">
        <v>512</v>
      </c>
      <c r="J91" s="46" t="s">
        <v>977</v>
      </c>
      <c r="K91" s="43">
        <v>58</v>
      </c>
      <c r="L91" s="43">
        <v>233</v>
      </c>
      <c r="M91" s="47">
        <v>0.24786324786324787</v>
      </c>
      <c r="N91" s="47">
        <v>89.6</v>
      </c>
      <c r="O91" s="46" t="s">
        <v>4284</v>
      </c>
      <c r="P91" s="43">
        <v>678</v>
      </c>
      <c r="Q91" s="43">
        <v>20</v>
      </c>
      <c r="R91" s="45" t="s">
        <v>4278</v>
      </c>
      <c r="S91" s="46" t="s">
        <v>1921</v>
      </c>
    </row>
    <row r="92" spans="1:19" ht="42">
      <c r="A92" s="43">
        <v>88</v>
      </c>
      <c r="B92" s="43">
        <v>89</v>
      </c>
      <c r="C92" s="43">
        <v>1315</v>
      </c>
      <c r="D92" s="44">
        <v>46191</v>
      </c>
      <c r="E92" s="45" t="s">
        <v>1511</v>
      </c>
      <c r="F92" s="46" t="s">
        <v>37</v>
      </c>
      <c r="G92" s="46" t="s">
        <v>1038</v>
      </c>
      <c r="H92" s="46" t="s">
        <v>1038</v>
      </c>
      <c r="I92" s="46" t="s">
        <v>526</v>
      </c>
      <c r="J92" s="46" t="s">
        <v>977</v>
      </c>
      <c r="K92" s="43">
        <v>47</v>
      </c>
      <c r="L92" s="43">
        <v>68</v>
      </c>
      <c r="M92" s="47">
        <v>0.6811594202898551</v>
      </c>
      <c r="N92" s="47">
        <v>89.5</v>
      </c>
      <c r="O92" s="46" t="s">
        <v>4284</v>
      </c>
      <c r="P92" s="43">
        <v>410</v>
      </c>
      <c r="Q92" s="43">
        <v>20</v>
      </c>
      <c r="R92" s="45" t="s">
        <v>4272</v>
      </c>
      <c r="S92" s="46" t="s">
        <v>1512</v>
      </c>
    </row>
    <row r="93" spans="1:19" ht="42">
      <c r="A93" s="43">
        <v>89</v>
      </c>
      <c r="B93" s="43">
        <v>53</v>
      </c>
      <c r="C93" s="43">
        <v>1023</v>
      </c>
      <c r="D93" s="44">
        <v>46055</v>
      </c>
      <c r="E93" s="45" t="s">
        <v>1827</v>
      </c>
      <c r="F93" s="46" t="s">
        <v>371</v>
      </c>
      <c r="G93" s="46" t="s">
        <v>918</v>
      </c>
      <c r="H93" s="46" t="s">
        <v>1317</v>
      </c>
      <c r="I93" s="46" t="s">
        <v>512</v>
      </c>
      <c r="J93" s="46" t="s">
        <v>968</v>
      </c>
      <c r="K93" s="43">
        <v>56</v>
      </c>
      <c r="L93" s="43">
        <v>204</v>
      </c>
      <c r="M93" s="47">
        <v>0.27317073170731709</v>
      </c>
      <c r="N93" s="47">
        <v>89.4</v>
      </c>
      <c r="O93" s="46" t="s">
        <v>4284</v>
      </c>
      <c r="P93" s="43">
        <v>465</v>
      </c>
      <c r="Q93" s="43">
        <v>10</v>
      </c>
      <c r="R93" s="45" t="s">
        <v>4281</v>
      </c>
      <c r="S93" s="46" t="s">
        <v>1828</v>
      </c>
    </row>
    <row r="94" spans="1:19" ht="42">
      <c r="A94" s="43">
        <v>90</v>
      </c>
      <c r="B94" s="43">
        <v>27</v>
      </c>
      <c r="C94" s="43">
        <v>1063</v>
      </c>
      <c r="D94" s="44">
        <v>45846</v>
      </c>
      <c r="E94" s="45" t="s">
        <v>2319</v>
      </c>
      <c r="F94" s="46" t="s">
        <v>382</v>
      </c>
      <c r="G94" s="46" t="s">
        <v>907</v>
      </c>
      <c r="H94" s="46" t="s">
        <v>965</v>
      </c>
      <c r="I94" s="46" t="s">
        <v>530</v>
      </c>
      <c r="J94" s="46" t="s">
        <v>977</v>
      </c>
      <c r="K94" s="43">
        <v>66</v>
      </c>
      <c r="L94" s="43">
        <v>413</v>
      </c>
      <c r="M94" s="47">
        <v>0.15942028985507245</v>
      </c>
      <c r="N94" s="47">
        <v>89.3</v>
      </c>
      <c r="O94" s="46" t="s">
        <v>4284</v>
      </c>
      <c r="P94" s="43">
        <v>346</v>
      </c>
      <c r="Q94" s="43">
        <v>10</v>
      </c>
      <c r="R94" s="45" t="s">
        <v>4281</v>
      </c>
      <c r="S94" s="46" t="s">
        <v>2320</v>
      </c>
    </row>
    <row r="95" spans="1:19" ht="31.5">
      <c r="A95" s="43">
        <v>91</v>
      </c>
      <c r="B95" s="43">
        <v>179</v>
      </c>
      <c r="C95" s="43">
        <v>1486</v>
      </c>
      <c r="D95" s="44">
        <v>46257</v>
      </c>
      <c r="E95" s="45" t="s">
        <v>1028</v>
      </c>
      <c r="F95" s="46" t="s">
        <v>37</v>
      </c>
      <c r="G95" s="46" t="s">
        <v>887</v>
      </c>
      <c r="H95" s="46" t="s">
        <v>965</v>
      </c>
      <c r="I95" s="46" t="s">
        <v>519</v>
      </c>
      <c r="J95" s="46" t="s">
        <v>977</v>
      </c>
      <c r="K95" s="43">
        <v>34</v>
      </c>
      <c r="L95" s="43">
        <v>2</v>
      </c>
      <c r="M95" s="47">
        <v>11.333333333333334</v>
      </c>
      <c r="N95" s="47">
        <v>89.3</v>
      </c>
      <c r="O95" s="46" t="s">
        <v>4284</v>
      </c>
      <c r="P95" s="43">
        <v>1039</v>
      </c>
      <c r="Q95" s="43">
        <v>30</v>
      </c>
      <c r="R95" s="45" t="s">
        <v>4285</v>
      </c>
      <c r="S95" s="46" t="s">
        <v>1029</v>
      </c>
    </row>
    <row r="96" spans="1:19" ht="31.5">
      <c r="A96" s="43">
        <v>92</v>
      </c>
      <c r="B96" s="43">
        <v>116</v>
      </c>
      <c r="C96" s="43">
        <v>1405</v>
      </c>
      <c r="D96" s="44">
        <v>46229</v>
      </c>
      <c r="E96" s="45" t="s">
        <v>1302</v>
      </c>
      <c r="F96" s="46" t="s">
        <v>37</v>
      </c>
      <c r="G96" s="46" t="s">
        <v>1038</v>
      </c>
      <c r="H96" s="46" t="s">
        <v>1038</v>
      </c>
      <c r="I96" s="46" t="s">
        <v>512</v>
      </c>
      <c r="J96" s="46" t="s">
        <v>977</v>
      </c>
      <c r="K96" s="43">
        <v>42</v>
      </c>
      <c r="L96" s="43">
        <v>30</v>
      </c>
      <c r="M96" s="47">
        <v>1.3548387096774193</v>
      </c>
      <c r="N96" s="47">
        <v>89.2</v>
      </c>
      <c r="O96" s="46" t="s">
        <v>4284</v>
      </c>
      <c r="P96" s="43">
        <v>491</v>
      </c>
      <c r="Q96" s="43">
        <v>30</v>
      </c>
      <c r="R96" s="45" t="s">
        <v>4271</v>
      </c>
      <c r="S96" s="46" t="s">
        <v>1303</v>
      </c>
    </row>
    <row r="97" spans="1:19" ht="21">
      <c r="A97" s="43">
        <v>93</v>
      </c>
      <c r="B97" s="43">
        <v>127</v>
      </c>
      <c r="C97" s="43">
        <v>1423</v>
      </c>
      <c r="D97" s="44">
        <v>46236</v>
      </c>
      <c r="E97" s="45" t="s">
        <v>1246</v>
      </c>
      <c r="F97" s="46" t="s">
        <v>37</v>
      </c>
      <c r="G97" s="46" t="s">
        <v>1038</v>
      </c>
      <c r="H97" s="46" t="s">
        <v>1005</v>
      </c>
      <c r="I97" s="46" t="s">
        <v>512</v>
      </c>
      <c r="J97" s="46" t="s">
        <v>977</v>
      </c>
      <c r="K97" s="43">
        <v>41</v>
      </c>
      <c r="L97" s="43">
        <v>23</v>
      </c>
      <c r="M97" s="47">
        <v>1.7083333333333333</v>
      </c>
      <c r="N97" s="47">
        <v>89.2</v>
      </c>
      <c r="O97" s="46" t="s">
        <v>4284</v>
      </c>
      <c r="P97" s="43">
        <v>547</v>
      </c>
      <c r="Q97" s="43">
        <v>60</v>
      </c>
      <c r="R97" s="45" t="s">
        <v>4267</v>
      </c>
      <c r="S97" s="46" t="s">
        <v>1247</v>
      </c>
    </row>
    <row r="98" spans="1:19" ht="42">
      <c r="A98" s="43">
        <v>94</v>
      </c>
      <c r="B98" s="43">
        <v>29</v>
      </c>
      <c r="C98" s="43">
        <v>926</v>
      </c>
      <c r="D98" s="44">
        <v>45828</v>
      </c>
      <c r="E98" s="45" t="s">
        <v>2367</v>
      </c>
      <c r="F98" s="46" t="s">
        <v>371</v>
      </c>
      <c r="G98" s="46" t="s">
        <v>891</v>
      </c>
      <c r="H98" s="46" t="s">
        <v>965</v>
      </c>
      <c r="I98" s="46" t="s">
        <v>533</v>
      </c>
      <c r="J98" s="46" t="s">
        <v>968</v>
      </c>
      <c r="K98" s="43">
        <v>65</v>
      </c>
      <c r="L98" s="43">
        <v>431</v>
      </c>
      <c r="M98" s="47">
        <v>0.15046296296296297</v>
      </c>
      <c r="N98" s="47">
        <v>89</v>
      </c>
      <c r="O98" s="46" t="s">
        <v>4284</v>
      </c>
      <c r="P98" s="43">
        <v>352</v>
      </c>
      <c r="Q98" s="43">
        <v>20</v>
      </c>
      <c r="R98" s="45" t="s">
        <v>4275</v>
      </c>
      <c r="S98" s="46" t="s">
        <v>2368</v>
      </c>
    </row>
    <row r="99" spans="1:19" ht="42">
      <c r="A99" s="43">
        <v>95</v>
      </c>
      <c r="B99" s="43">
        <v>95</v>
      </c>
      <c r="C99" s="43">
        <v>1313</v>
      </c>
      <c r="D99" s="44">
        <v>46188</v>
      </c>
      <c r="E99" s="45" t="s">
        <v>1517</v>
      </c>
      <c r="F99" s="46" t="s">
        <v>37</v>
      </c>
      <c r="G99" s="46" t="s">
        <v>893</v>
      </c>
      <c r="H99" s="46" t="s">
        <v>1317</v>
      </c>
      <c r="I99" s="46" t="s">
        <v>515</v>
      </c>
      <c r="J99" s="46" t="s">
        <v>968</v>
      </c>
      <c r="K99" s="43">
        <v>46</v>
      </c>
      <c r="L99" s="43">
        <v>71</v>
      </c>
      <c r="M99" s="47">
        <v>0.63888888888888884</v>
      </c>
      <c r="N99" s="47">
        <v>89</v>
      </c>
      <c r="O99" s="46" t="s">
        <v>4284</v>
      </c>
      <c r="P99" s="43">
        <v>483</v>
      </c>
      <c r="Q99" s="43">
        <v>20</v>
      </c>
      <c r="R99" s="45" t="s">
        <v>4272</v>
      </c>
      <c r="S99" s="46" t="s">
        <v>1518</v>
      </c>
    </row>
    <row r="100" spans="1:19" ht="42">
      <c r="A100" s="43">
        <v>96</v>
      </c>
      <c r="B100" s="43">
        <v>106</v>
      </c>
      <c r="C100" s="43">
        <v>1357</v>
      </c>
      <c r="D100" s="44">
        <v>46212</v>
      </c>
      <c r="E100" s="45" t="s">
        <v>1428</v>
      </c>
      <c r="F100" s="46" t="s">
        <v>37</v>
      </c>
      <c r="G100" s="46" t="s">
        <v>1038</v>
      </c>
      <c r="H100" s="46" t="s">
        <v>1005</v>
      </c>
      <c r="I100" s="46" t="s">
        <v>526</v>
      </c>
      <c r="J100" s="46" t="s">
        <v>977</v>
      </c>
      <c r="K100" s="43">
        <v>44</v>
      </c>
      <c r="L100" s="43">
        <v>47</v>
      </c>
      <c r="M100" s="47">
        <v>0.91666666666666663</v>
      </c>
      <c r="N100" s="47">
        <v>88.9</v>
      </c>
      <c r="O100" s="46" t="s">
        <v>4284</v>
      </c>
      <c r="P100" s="43">
        <v>385</v>
      </c>
      <c r="Q100" s="43">
        <v>20</v>
      </c>
      <c r="R100" s="45" t="s">
        <v>4275</v>
      </c>
      <c r="S100" s="46" t="s">
        <v>1429</v>
      </c>
    </row>
    <row r="101" spans="1:19" ht="31.5">
      <c r="A101" s="43">
        <v>97</v>
      </c>
      <c r="B101" s="43">
        <v>148</v>
      </c>
      <c r="C101" s="43">
        <v>1440</v>
      </c>
      <c r="D101" s="44">
        <v>46242</v>
      </c>
      <c r="E101" s="45" t="s">
        <v>1191</v>
      </c>
      <c r="F101" s="46" t="s">
        <v>37</v>
      </c>
      <c r="G101" s="46" t="s">
        <v>892</v>
      </c>
      <c r="H101" s="46" t="s">
        <v>965</v>
      </c>
      <c r="I101" s="46" t="s">
        <v>519</v>
      </c>
      <c r="J101" s="46" t="s">
        <v>977</v>
      </c>
      <c r="K101" s="43">
        <v>39</v>
      </c>
      <c r="L101" s="43">
        <v>17</v>
      </c>
      <c r="M101" s="47">
        <v>2.1666666666666665</v>
      </c>
      <c r="N101" s="47">
        <v>88.9</v>
      </c>
      <c r="O101" s="46" t="s">
        <v>4284</v>
      </c>
      <c r="P101" s="43">
        <v>718</v>
      </c>
      <c r="Q101" s="43">
        <v>50</v>
      </c>
      <c r="R101" s="45" t="s">
        <v>4264</v>
      </c>
      <c r="S101" s="46" t="s">
        <v>1192</v>
      </c>
    </row>
    <row r="102" spans="1:19" ht="31.5">
      <c r="A102" s="43">
        <v>98</v>
      </c>
      <c r="B102" s="43">
        <v>117</v>
      </c>
      <c r="C102" s="43">
        <v>1378</v>
      </c>
      <c r="D102" s="44">
        <v>46221</v>
      </c>
      <c r="E102" s="45" t="s">
        <v>1383</v>
      </c>
      <c r="F102" s="46" t="s">
        <v>37</v>
      </c>
      <c r="G102" s="46" t="s">
        <v>894</v>
      </c>
      <c r="H102" s="46" t="s">
        <v>1317</v>
      </c>
      <c r="I102" s="46" t="s">
        <v>522</v>
      </c>
      <c r="J102" s="46" t="s">
        <v>977</v>
      </c>
      <c r="K102" s="43">
        <v>42</v>
      </c>
      <c r="L102" s="43">
        <v>38</v>
      </c>
      <c r="M102" s="47">
        <v>1.0769230769230769</v>
      </c>
      <c r="N102" s="47">
        <v>88.7</v>
      </c>
      <c r="O102" s="46" t="s">
        <v>4284</v>
      </c>
      <c r="P102" s="43">
        <v>790</v>
      </c>
      <c r="Q102" s="43">
        <v>40</v>
      </c>
      <c r="R102" s="45" t="s">
        <v>4263</v>
      </c>
      <c r="S102" s="46" t="s">
        <v>1384</v>
      </c>
    </row>
    <row r="103" spans="1:19" ht="42">
      <c r="A103" s="43">
        <v>99</v>
      </c>
      <c r="B103" s="43">
        <v>56</v>
      </c>
      <c r="C103" s="43">
        <v>811</v>
      </c>
      <c r="D103" s="44">
        <v>46020</v>
      </c>
      <c r="E103" s="45" t="s">
        <v>1944</v>
      </c>
      <c r="F103" s="46" t="s">
        <v>37</v>
      </c>
      <c r="G103" s="46" t="s">
        <v>887</v>
      </c>
      <c r="H103" s="46" t="s">
        <v>965</v>
      </c>
      <c r="I103" s="46" t="s">
        <v>512</v>
      </c>
      <c r="J103" s="46" t="s">
        <v>977</v>
      </c>
      <c r="K103" s="43">
        <v>54</v>
      </c>
      <c r="L103" s="43">
        <v>239</v>
      </c>
      <c r="M103" s="47">
        <v>0.22500000000000001</v>
      </c>
      <c r="N103" s="47">
        <v>88.5</v>
      </c>
      <c r="O103" s="46" t="s">
        <v>4284</v>
      </c>
      <c r="P103" s="43">
        <v>617</v>
      </c>
      <c r="Q103" s="43">
        <v>20</v>
      </c>
      <c r="R103" s="45" t="s">
        <v>4278</v>
      </c>
      <c r="S103" s="46" t="s">
        <v>1945</v>
      </c>
    </row>
    <row r="104" spans="1:19" ht="42">
      <c r="A104" s="43">
        <v>100</v>
      </c>
      <c r="B104" s="43">
        <v>57</v>
      </c>
      <c r="C104" s="43">
        <v>808</v>
      </c>
      <c r="D104" s="44">
        <v>46012</v>
      </c>
      <c r="E104" s="45" t="s">
        <v>1983</v>
      </c>
      <c r="F104" s="46" t="s">
        <v>37</v>
      </c>
      <c r="G104" s="46" t="s">
        <v>1038</v>
      </c>
      <c r="H104" s="46" t="s">
        <v>1038</v>
      </c>
      <c r="I104" s="46" t="s">
        <v>512</v>
      </c>
      <c r="J104" s="46" t="s">
        <v>977</v>
      </c>
      <c r="K104" s="43">
        <v>54</v>
      </c>
      <c r="L104" s="43">
        <v>247</v>
      </c>
      <c r="M104" s="47">
        <v>0.21774193548387097</v>
      </c>
      <c r="N104" s="47">
        <v>88.5</v>
      </c>
      <c r="O104" s="46" t="s">
        <v>4284</v>
      </c>
      <c r="P104" s="43">
        <v>650</v>
      </c>
      <c r="Q104" s="43">
        <v>20</v>
      </c>
      <c r="R104" s="45" t="s">
        <v>4278</v>
      </c>
      <c r="S104" s="46" t="s">
        <v>1984</v>
      </c>
    </row>
    <row r="105" spans="1:19" ht="42">
      <c r="A105" s="43">
        <v>101</v>
      </c>
      <c r="B105" s="43">
        <v>18</v>
      </c>
      <c r="C105" s="43">
        <v>1040</v>
      </c>
      <c r="D105" s="44">
        <v>45670</v>
      </c>
      <c r="E105" s="45" t="s">
        <v>2597</v>
      </c>
      <c r="F105" s="46" t="s">
        <v>382</v>
      </c>
      <c r="G105" s="46" t="s">
        <v>892</v>
      </c>
      <c r="H105" s="46" t="s">
        <v>965</v>
      </c>
      <c r="I105" s="46" t="s">
        <v>519</v>
      </c>
      <c r="J105" s="46" t="s">
        <v>977</v>
      </c>
      <c r="K105" s="43">
        <v>71</v>
      </c>
      <c r="L105" s="43">
        <v>589</v>
      </c>
      <c r="M105" s="47">
        <v>0.12033898305084746</v>
      </c>
      <c r="N105" s="47">
        <v>88.4</v>
      </c>
      <c r="O105" s="46" t="s">
        <v>4284</v>
      </c>
      <c r="P105" s="43">
        <v>732</v>
      </c>
      <c r="Q105" s="43">
        <v>20</v>
      </c>
      <c r="R105" s="45" t="s">
        <v>4278</v>
      </c>
      <c r="S105" s="46" t="s">
        <v>2598</v>
      </c>
    </row>
    <row r="106" spans="1:19" ht="21">
      <c r="A106" s="43">
        <v>102</v>
      </c>
      <c r="B106" s="43">
        <v>151</v>
      </c>
      <c r="C106" s="43">
        <v>1435</v>
      </c>
      <c r="D106" s="44">
        <v>46241</v>
      </c>
      <c r="E106" s="45" t="s">
        <v>1208</v>
      </c>
      <c r="F106" s="46" t="s">
        <v>37</v>
      </c>
      <c r="G106" s="46" t="s">
        <v>903</v>
      </c>
      <c r="H106" s="46" t="s">
        <v>965</v>
      </c>
      <c r="I106" s="46" t="s">
        <v>519</v>
      </c>
      <c r="J106" s="46" t="s">
        <v>977</v>
      </c>
      <c r="K106" s="43">
        <v>38</v>
      </c>
      <c r="L106" s="43">
        <v>18</v>
      </c>
      <c r="M106" s="47">
        <v>2</v>
      </c>
      <c r="N106" s="47">
        <v>88.4</v>
      </c>
      <c r="O106" s="46" t="s">
        <v>4284</v>
      </c>
      <c r="P106" s="43">
        <v>833</v>
      </c>
      <c r="Q106" s="43">
        <v>60</v>
      </c>
      <c r="R106" s="45" t="s">
        <v>4267</v>
      </c>
      <c r="S106" s="46" t="s">
        <v>1209</v>
      </c>
    </row>
    <row r="107" spans="1:19" ht="31.5">
      <c r="A107" s="43">
        <v>103</v>
      </c>
      <c r="B107" s="43">
        <v>112</v>
      </c>
      <c r="C107" s="43">
        <v>1338</v>
      </c>
      <c r="D107" s="44">
        <v>46206</v>
      </c>
      <c r="E107" s="45" t="s">
        <v>1461</v>
      </c>
      <c r="F107" s="46" t="s">
        <v>37</v>
      </c>
      <c r="G107" s="46" t="s">
        <v>1038</v>
      </c>
      <c r="H107" s="46" t="s">
        <v>1005</v>
      </c>
      <c r="I107" s="46" t="s">
        <v>519</v>
      </c>
      <c r="J107" s="46" t="s">
        <v>968</v>
      </c>
      <c r="K107" s="43">
        <v>43</v>
      </c>
      <c r="L107" s="43">
        <v>53</v>
      </c>
      <c r="M107" s="47">
        <v>0.79629629629629628</v>
      </c>
      <c r="N107" s="47">
        <v>88.3</v>
      </c>
      <c r="O107" s="46" t="s">
        <v>4284</v>
      </c>
      <c r="P107" s="43">
        <v>286</v>
      </c>
      <c r="Q107" s="43">
        <v>30</v>
      </c>
      <c r="R107" s="45" t="s">
        <v>4279</v>
      </c>
      <c r="S107" s="46" t="s">
        <v>1462</v>
      </c>
    </row>
    <row r="108" spans="1:19" ht="31.5">
      <c r="A108" s="43">
        <v>104</v>
      </c>
      <c r="B108" s="43">
        <v>152</v>
      </c>
      <c r="C108" s="43">
        <v>1432</v>
      </c>
      <c r="D108" s="44">
        <v>46240</v>
      </c>
      <c r="E108" s="45" t="s">
        <v>1218</v>
      </c>
      <c r="F108" s="46" t="s">
        <v>360</v>
      </c>
      <c r="G108" s="46" t="s">
        <v>893</v>
      </c>
      <c r="H108" s="46" t="s">
        <v>965</v>
      </c>
      <c r="I108" s="46" t="s">
        <v>512</v>
      </c>
      <c r="J108" s="46" t="s">
        <v>977</v>
      </c>
      <c r="K108" s="43">
        <v>38</v>
      </c>
      <c r="L108" s="43">
        <v>19</v>
      </c>
      <c r="M108" s="47">
        <v>1.9</v>
      </c>
      <c r="N108" s="47">
        <v>88.2</v>
      </c>
      <c r="O108" s="46" t="s">
        <v>4284</v>
      </c>
      <c r="P108" s="43">
        <v>393</v>
      </c>
      <c r="Q108" s="43">
        <v>30</v>
      </c>
      <c r="R108" s="45" t="s">
        <v>4276</v>
      </c>
      <c r="S108" s="46" t="s">
        <v>1219</v>
      </c>
    </row>
    <row r="109" spans="1:19" ht="21">
      <c r="A109" s="43">
        <v>105</v>
      </c>
      <c r="B109" s="43">
        <v>128</v>
      </c>
      <c r="C109" s="43">
        <v>1386</v>
      </c>
      <c r="D109" s="44">
        <v>46222</v>
      </c>
      <c r="E109" s="45" t="s">
        <v>1363</v>
      </c>
      <c r="F109" s="46" t="s">
        <v>37</v>
      </c>
      <c r="G109" s="46" t="s">
        <v>885</v>
      </c>
      <c r="H109" s="46" t="s">
        <v>965</v>
      </c>
      <c r="I109" s="46" t="s">
        <v>512</v>
      </c>
      <c r="J109" s="46" t="s">
        <v>968</v>
      </c>
      <c r="K109" s="43">
        <v>41</v>
      </c>
      <c r="L109" s="43">
        <v>37</v>
      </c>
      <c r="M109" s="47">
        <v>1.0789473684210527</v>
      </c>
      <c r="N109" s="47">
        <v>88.1</v>
      </c>
      <c r="O109" s="46" t="s">
        <v>4284</v>
      </c>
      <c r="P109" s="43">
        <v>743</v>
      </c>
      <c r="Q109" s="43">
        <v>60</v>
      </c>
      <c r="R109" s="45" t="s">
        <v>4267</v>
      </c>
      <c r="S109" s="46" t="s">
        <v>1364</v>
      </c>
    </row>
    <row r="110" spans="1:19" ht="31.5">
      <c r="A110" s="43">
        <v>106</v>
      </c>
      <c r="B110" s="43">
        <v>102</v>
      </c>
      <c r="C110" s="43">
        <v>1295</v>
      </c>
      <c r="D110" s="44">
        <v>46172</v>
      </c>
      <c r="E110" s="45" t="s">
        <v>1553</v>
      </c>
      <c r="F110" s="46" t="s">
        <v>37</v>
      </c>
      <c r="G110" s="46" t="s">
        <v>1038</v>
      </c>
      <c r="H110" s="46" t="s">
        <v>1005</v>
      </c>
      <c r="I110" s="46" t="s">
        <v>522</v>
      </c>
      <c r="J110" s="46" t="s">
        <v>977</v>
      </c>
      <c r="K110" s="43">
        <v>45</v>
      </c>
      <c r="L110" s="43">
        <v>87</v>
      </c>
      <c r="M110" s="47">
        <v>0.51136363636363635</v>
      </c>
      <c r="N110" s="47">
        <v>87.9</v>
      </c>
      <c r="O110" s="46" t="s">
        <v>4284</v>
      </c>
      <c r="P110" s="43">
        <v>969</v>
      </c>
      <c r="Q110" s="43">
        <v>30</v>
      </c>
      <c r="R110" s="45" t="s">
        <v>4266</v>
      </c>
      <c r="S110" s="46" t="s">
        <v>1554</v>
      </c>
    </row>
    <row r="111" spans="1:19" ht="31.5">
      <c r="A111" s="43">
        <v>107</v>
      </c>
      <c r="B111" s="43">
        <v>96</v>
      </c>
      <c r="C111" s="43">
        <v>1264</v>
      </c>
      <c r="D111" s="44">
        <v>46151</v>
      </c>
      <c r="E111" s="45" t="s">
        <v>1617</v>
      </c>
      <c r="F111" s="46" t="s">
        <v>37</v>
      </c>
      <c r="G111" s="46" t="s">
        <v>878</v>
      </c>
      <c r="H111" s="46" t="s">
        <v>965</v>
      </c>
      <c r="I111" s="46" t="s">
        <v>530</v>
      </c>
      <c r="J111" s="46" t="s">
        <v>977</v>
      </c>
      <c r="K111" s="43">
        <v>46</v>
      </c>
      <c r="L111" s="43">
        <v>108</v>
      </c>
      <c r="M111" s="47">
        <v>0.42201834862385323</v>
      </c>
      <c r="N111" s="47">
        <v>87.8</v>
      </c>
      <c r="O111" s="46" t="s">
        <v>4284</v>
      </c>
      <c r="P111" s="43">
        <v>432</v>
      </c>
      <c r="Q111" s="43">
        <v>30</v>
      </c>
      <c r="R111" s="45" t="s">
        <v>4279</v>
      </c>
      <c r="S111" s="46" t="s">
        <v>1618</v>
      </c>
    </row>
    <row r="112" spans="1:19" ht="42">
      <c r="A112" s="43">
        <v>108</v>
      </c>
      <c r="B112" s="43">
        <v>113</v>
      </c>
      <c r="C112" s="43">
        <v>1311</v>
      </c>
      <c r="D112" s="44">
        <v>46185</v>
      </c>
      <c r="E112" s="45" t="s">
        <v>1523</v>
      </c>
      <c r="F112" s="46" t="s">
        <v>37</v>
      </c>
      <c r="G112" s="46" t="s">
        <v>1038</v>
      </c>
      <c r="H112" s="46" t="s">
        <v>1038</v>
      </c>
      <c r="I112" s="46" t="s">
        <v>533</v>
      </c>
      <c r="J112" s="46" t="s">
        <v>968</v>
      </c>
      <c r="K112" s="43">
        <v>43</v>
      </c>
      <c r="L112" s="43">
        <v>74</v>
      </c>
      <c r="M112" s="47">
        <v>0.57333333333333336</v>
      </c>
      <c r="N112" s="47">
        <v>87.8</v>
      </c>
      <c r="O112" s="46" t="s">
        <v>4284</v>
      </c>
      <c r="P112" s="43">
        <v>349</v>
      </c>
      <c r="Q112" s="43">
        <v>20</v>
      </c>
      <c r="R112" s="45" t="s">
        <v>4272</v>
      </c>
      <c r="S112" s="46" t="s">
        <v>1524</v>
      </c>
    </row>
    <row r="113" spans="1:19" ht="31.5">
      <c r="A113" s="43">
        <v>109</v>
      </c>
      <c r="B113" s="43">
        <v>153</v>
      </c>
      <c r="C113" s="43">
        <v>1420</v>
      </c>
      <c r="D113" s="44">
        <v>46235</v>
      </c>
      <c r="E113" s="45" t="s">
        <v>1256</v>
      </c>
      <c r="F113" s="46" t="s">
        <v>37</v>
      </c>
      <c r="G113" s="46" t="s">
        <v>1038</v>
      </c>
      <c r="H113" s="46" t="s">
        <v>1038</v>
      </c>
      <c r="I113" s="46" t="s">
        <v>533</v>
      </c>
      <c r="J113" s="46" t="s">
        <v>968</v>
      </c>
      <c r="K113" s="43">
        <v>38</v>
      </c>
      <c r="L113" s="43">
        <v>24</v>
      </c>
      <c r="M113" s="47">
        <v>1.52</v>
      </c>
      <c r="N113" s="47">
        <v>87.6</v>
      </c>
      <c r="O113" s="46" t="s">
        <v>4284</v>
      </c>
      <c r="P113" s="43">
        <v>356</v>
      </c>
      <c r="Q113" s="43">
        <v>40</v>
      </c>
      <c r="R113" s="45" t="s">
        <v>4286</v>
      </c>
      <c r="S113" s="46" t="s">
        <v>1257</v>
      </c>
    </row>
    <row r="114" spans="1:19" ht="31.5">
      <c r="A114" s="43">
        <v>110</v>
      </c>
      <c r="B114" s="43">
        <v>189</v>
      </c>
      <c r="C114" s="43">
        <v>1462</v>
      </c>
      <c r="D114" s="44">
        <v>46251</v>
      </c>
      <c r="E114" s="45" t="s">
        <v>1117</v>
      </c>
      <c r="F114" s="46" t="s">
        <v>360</v>
      </c>
      <c r="G114" s="46" t="s">
        <v>885</v>
      </c>
      <c r="H114" s="46" t="s">
        <v>965</v>
      </c>
      <c r="I114" s="46" t="s">
        <v>519</v>
      </c>
      <c r="J114" s="46" t="s">
        <v>968</v>
      </c>
      <c r="K114" s="43">
        <v>33</v>
      </c>
      <c r="L114" s="43">
        <v>8</v>
      </c>
      <c r="M114" s="47">
        <v>3.6666666666666665</v>
      </c>
      <c r="N114" s="47">
        <v>87.5</v>
      </c>
      <c r="O114" s="46" t="s">
        <v>4284</v>
      </c>
      <c r="P114" s="43">
        <v>412</v>
      </c>
      <c r="Q114" s="43">
        <v>40</v>
      </c>
      <c r="R114" s="45" t="s">
        <v>4287</v>
      </c>
      <c r="S114" s="46" t="s">
        <v>1118</v>
      </c>
    </row>
    <row r="115" spans="1:19" ht="31.5">
      <c r="A115" s="43">
        <v>111</v>
      </c>
      <c r="B115" s="43">
        <v>137</v>
      </c>
      <c r="C115" s="43">
        <v>1388</v>
      </c>
      <c r="D115" s="44">
        <v>46222</v>
      </c>
      <c r="E115" s="45" t="s">
        <v>1357</v>
      </c>
      <c r="F115" s="46" t="s">
        <v>37</v>
      </c>
      <c r="G115" s="46" t="s">
        <v>889</v>
      </c>
      <c r="H115" s="46" t="s">
        <v>965</v>
      </c>
      <c r="I115" s="46" t="s">
        <v>519</v>
      </c>
      <c r="J115" s="46" t="s">
        <v>968</v>
      </c>
      <c r="K115" s="43">
        <v>40</v>
      </c>
      <c r="L115" s="43">
        <v>37</v>
      </c>
      <c r="M115" s="47">
        <v>1.0526315789473684</v>
      </c>
      <c r="N115" s="47">
        <v>87.4</v>
      </c>
      <c r="O115" s="46" t="s">
        <v>4284</v>
      </c>
      <c r="P115" s="43">
        <v>515</v>
      </c>
      <c r="Q115" s="43">
        <v>50</v>
      </c>
      <c r="R115" s="45" t="s">
        <v>4264</v>
      </c>
      <c r="S115" s="46" t="s">
        <v>1358</v>
      </c>
    </row>
    <row r="116" spans="1:19" ht="31.5">
      <c r="A116" s="43">
        <v>112</v>
      </c>
      <c r="B116" s="43">
        <v>138</v>
      </c>
      <c r="C116" s="43">
        <v>1385</v>
      </c>
      <c r="D116" s="44">
        <v>46222</v>
      </c>
      <c r="E116" s="45" t="s">
        <v>1367</v>
      </c>
      <c r="F116" s="46" t="s">
        <v>37</v>
      </c>
      <c r="G116" s="46" t="s">
        <v>902</v>
      </c>
      <c r="H116" s="46" t="s">
        <v>965</v>
      </c>
      <c r="I116" s="46" t="s">
        <v>519</v>
      </c>
      <c r="J116" s="46" t="s">
        <v>968</v>
      </c>
      <c r="K116" s="43">
        <v>40</v>
      </c>
      <c r="L116" s="43">
        <v>37</v>
      </c>
      <c r="M116" s="47">
        <v>1.0526315789473684</v>
      </c>
      <c r="N116" s="47">
        <v>87.4</v>
      </c>
      <c r="O116" s="46" t="s">
        <v>4284</v>
      </c>
      <c r="P116" s="43">
        <v>753</v>
      </c>
      <c r="Q116" s="43">
        <v>40</v>
      </c>
      <c r="R116" s="45" t="s">
        <v>4263</v>
      </c>
      <c r="S116" s="46" t="s">
        <v>1368</v>
      </c>
    </row>
    <row r="117" spans="1:19" ht="31.5">
      <c r="A117" s="43">
        <v>113</v>
      </c>
      <c r="B117" s="43">
        <v>129</v>
      </c>
      <c r="C117" s="43">
        <v>1325</v>
      </c>
      <c r="D117" s="44">
        <v>46202</v>
      </c>
      <c r="E117" s="45" t="s">
        <v>1493</v>
      </c>
      <c r="F117" s="46" t="s">
        <v>37</v>
      </c>
      <c r="G117" s="46" t="s">
        <v>1038</v>
      </c>
      <c r="H117" s="46" t="s">
        <v>1005</v>
      </c>
      <c r="I117" s="46" t="s">
        <v>519</v>
      </c>
      <c r="J117" s="46" t="s">
        <v>968</v>
      </c>
      <c r="K117" s="43">
        <v>41</v>
      </c>
      <c r="L117" s="43">
        <v>57</v>
      </c>
      <c r="M117" s="47">
        <v>0.7068965517241379</v>
      </c>
      <c r="N117" s="47">
        <v>87.1</v>
      </c>
      <c r="O117" s="46" t="s">
        <v>4284</v>
      </c>
      <c r="P117" s="43">
        <v>276</v>
      </c>
      <c r="Q117" s="43">
        <v>30</v>
      </c>
      <c r="R117" s="45" t="s">
        <v>4279</v>
      </c>
      <c r="S117" s="46" t="s">
        <v>1494</v>
      </c>
    </row>
    <row r="118" spans="1:19" ht="21">
      <c r="A118" s="43">
        <v>114</v>
      </c>
      <c r="B118" s="43">
        <v>180</v>
      </c>
      <c r="C118" s="43">
        <v>1449</v>
      </c>
      <c r="D118" s="44">
        <v>46245</v>
      </c>
      <c r="E118" s="45" t="s">
        <v>1166</v>
      </c>
      <c r="F118" s="46" t="s">
        <v>37</v>
      </c>
      <c r="G118" s="46" t="s">
        <v>918</v>
      </c>
      <c r="H118" s="46" t="s">
        <v>965</v>
      </c>
      <c r="I118" s="46" t="s">
        <v>536</v>
      </c>
      <c r="J118" s="46" t="s">
        <v>968</v>
      </c>
      <c r="K118" s="43">
        <v>34</v>
      </c>
      <c r="L118" s="43">
        <v>14</v>
      </c>
      <c r="M118" s="47">
        <v>2.2666666666666666</v>
      </c>
      <c r="N118" s="47">
        <v>87</v>
      </c>
      <c r="O118" s="46" t="s">
        <v>4284</v>
      </c>
      <c r="P118" s="43">
        <v>770</v>
      </c>
      <c r="Q118" s="43">
        <v>50</v>
      </c>
      <c r="R118" s="45" t="s">
        <v>4268</v>
      </c>
      <c r="S118" s="46" t="s">
        <v>1167</v>
      </c>
    </row>
    <row r="119" spans="1:19" ht="31.5">
      <c r="A119" s="43">
        <v>115</v>
      </c>
      <c r="B119" s="43">
        <v>154</v>
      </c>
      <c r="C119" s="43">
        <v>1395</v>
      </c>
      <c r="D119" s="44">
        <v>46225</v>
      </c>
      <c r="E119" s="45" t="s">
        <v>1334</v>
      </c>
      <c r="F119" s="46" t="s">
        <v>37</v>
      </c>
      <c r="G119" s="46" t="s">
        <v>904</v>
      </c>
      <c r="H119" s="46" t="s">
        <v>965</v>
      </c>
      <c r="I119" s="46" t="s">
        <v>519</v>
      </c>
      <c r="J119" s="46" t="s">
        <v>977</v>
      </c>
      <c r="K119" s="43">
        <v>38</v>
      </c>
      <c r="L119" s="43">
        <v>34</v>
      </c>
      <c r="M119" s="47">
        <v>1.0857142857142856</v>
      </c>
      <c r="N119" s="47">
        <v>86.9</v>
      </c>
      <c r="O119" s="46" t="s">
        <v>4284</v>
      </c>
      <c r="P119" s="43">
        <v>1049</v>
      </c>
      <c r="Q119" s="43">
        <v>40</v>
      </c>
      <c r="R119" s="45" t="s">
        <v>4263</v>
      </c>
      <c r="S119" s="46" t="s">
        <v>1335</v>
      </c>
    </row>
    <row r="120" spans="1:19" ht="42">
      <c r="A120" s="43">
        <v>116</v>
      </c>
      <c r="B120" s="43">
        <v>58</v>
      </c>
      <c r="C120" s="43">
        <v>1071</v>
      </c>
      <c r="D120" s="44">
        <v>45865</v>
      </c>
      <c r="E120" s="45" t="s">
        <v>2250</v>
      </c>
      <c r="F120" s="46" t="s">
        <v>382</v>
      </c>
      <c r="G120" s="46" t="s">
        <v>1038</v>
      </c>
      <c r="H120" s="46" t="s">
        <v>1005</v>
      </c>
      <c r="I120" s="46" t="s">
        <v>512</v>
      </c>
      <c r="J120" s="46" t="s">
        <v>968</v>
      </c>
      <c r="K120" s="43">
        <v>54</v>
      </c>
      <c r="L120" s="43">
        <v>394</v>
      </c>
      <c r="M120" s="47">
        <v>0.13670886075949368</v>
      </c>
      <c r="N120" s="47">
        <v>86.8</v>
      </c>
      <c r="O120" s="46" t="s">
        <v>4284</v>
      </c>
      <c r="P120" s="43">
        <v>9</v>
      </c>
      <c r="Q120" s="43">
        <v>10</v>
      </c>
      <c r="R120" s="45" t="s">
        <v>4281</v>
      </c>
      <c r="S120" s="46" t="s">
        <v>2251</v>
      </c>
    </row>
    <row r="121" spans="1:19" ht="42">
      <c r="A121" s="43">
        <v>117</v>
      </c>
      <c r="B121" s="43">
        <v>83</v>
      </c>
      <c r="C121" s="43">
        <v>810</v>
      </c>
      <c r="D121" s="44">
        <v>46019</v>
      </c>
      <c r="E121" s="45" t="s">
        <v>1947</v>
      </c>
      <c r="F121" s="46" t="s">
        <v>37</v>
      </c>
      <c r="G121" s="46" t="s">
        <v>884</v>
      </c>
      <c r="H121" s="46" t="s">
        <v>965</v>
      </c>
      <c r="I121" s="46" t="s">
        <v>530</v>
      </c>
      <c r="J121" s="46" t="s">
        <v>977</v>
      </c>
      <c r="K121" s="43">
        <v>48</v>
      </c>
      <c r="L121" s="43">
        <v>240</v>
      </c>
      <c r="M121" s="47">
        <v>0.19917012448132779</v>
      </c>
      <c r="N121" s="47">
        <v>86.8</v>
      </c>
      <c r="O121" s="46" t="s">
        <v>4284</v>
      </c>
      <c r="P121" s="43">
        <v>626</v>
      </c>
      <c r="Q121" s="43">
        <v>20</v>
      </c>
      <c r="R121" s="45" t="s">
        <v>4278</v>
      </c>
      <c r="S121" s="46" t="s">
        <v>1948</v>
      </c>
    </row>
    <row r="122" spans="1:19" ht="42">
      <c r="A122" s="43">
        <v>118</v>
      </c>
      <c r="B122" s="43">
        <v>114</v>
      </c>
      <c r="C122" s="43">
        <v>1263</v>
      </c>
      <c r="D122" s="44">
        <v>46151</v>
      </c>
      <c r="E122" s="45" t="s">
        <v>1620</v>
      </c>
      <c r="F122" s="46" t="s">
        <v>37</v>
      </c>
      <c r="G122" s="46" t="s">
        <v>878</v>
      </c>
      <c r="H122" s="46" t="s">
        <v>965</v>
      </c>
      <c r="I122" s="46" t="s">
        <v>522</v>
      </c>
      <c r="J122" s="46" t="s">
        <v>977</v>
      </c>
      <c r="K122" s="43">
        <v>43</v>
      </c>
      <c r="L122" s="43">
        <v>108</v>
      </c>
      <c r="M122" s="47">
        <v>0.39449541284403672</v>
      </c>
      <c r="N122" s="47">
        <v>86.7</v>
      </c>
      <c r="O122" s="46" t="s">
        <v>4284</v>
      </c>
      <c r="P122" s="43">
        <v>484</v>
      </c>
      <c r="Q122" s="43">
        <v>20</v>
      </c>
      <c r="R122" s="45" t="s">
        <v>4272</v>
      </c>
      <c r="S122" s="46" t="s">
        <v>1621</v>
      </c>
    </row>
    <row r="123" spans="1:19" ht="31.5">
      <c r="A123" s="43">
        <v>119</v>
      </c>
      <c r="B123" s="43">
        <v>115</v>
      </c>
      <c r="C123" s="43">
        <v>1243</v>
      </c>
      <c r="D123" s="44">
        <v>46143</v>
      </c>
      <c r="E123" s="45" t="s">
        <v>1677</v>
      </c>
      <c r="F123" s="46" t="s">
        <v>37</v>
      </c>
      <c r="G123" s="46" t="s">
        <v>887</v>
      </c>
      <c r="H123" s="46" t="s">
        <v>965</v>
      </c>
      <c r="I123" s="46" t="s">
        <v>526</v>
      </c>
      <c r="J123" s="46" t="s">
        <v>977</v>
      </c>
      <c r="K123" s="43">
        <v>43</v>
      </c>
      <c r="L123" s="43">
        <v>116</v>
      </c>
      <c r="M123" s="47">
        <v>0.36752136752136755</v>
      </c>
      <c r="N123" s="47">
        <v>86.6</v>
      </c>
      <c r="O123" s="46" t="s">
        <v>4284</v>
      </c>
      <c r="P123" s="43">
        <v>599</v>
      </c>
      <c r="Q123" s="43">
        <v>30</v>
      </c>
      <c r="R123" s="45" t="s">
        <v>4266</v>
      </c>
      <c r="S123" s="46" t="s">
        <v>1678</v>
      </c>
    </row>
    <row r="124" spans="1:19" ht="31.5">
      <c r="A124" s="43">
        <v>120</v>
      </c>
      <c r="B124" s="43">
        <v>139</v>
      </c>
      <c r="C124" s="43">
        <v>1352</v>
      </c>
      <c r="D124" s="44">
        <v>46210</v>
      </c>
      <c r="E124" s="45" t="s">
        <v>1443</v>
      </c>
      <c r="F124" s="46" t="s">
        <v>37</v>
      </c>
      <c r="G124" s="46" t="s">
        <v>1038</v>
      </c>
      <c r="H124" s="46" t="s">
        <v>1005</v>
      </c>
      <c r="I124" s="46" t="s">
        <v>512</v>
      </c>
      <c r="J124" s="46" t="s">
        <v>977</v>
      </c>
      <c r="K124" s="43">
        <v>40</v>
      </c>
      <c r="L124" s="43">
        <v>49</v>
      </c>
      <c r="M124" s="47">
        <v>0.8</v>
      </c>
      <c r="N124" s="47">
        <v>86.6</v>
      </c>
      <c r="O124" s="46" t="s">
        <v>4284</v>
      </c>
      <c r="P124" s="43">
        <v>271</v>
      </c>
      <c r="Q124" s="43">
        <v>30</v>
      </c>
      <c r="R124" s="45" t="s">
        <v>4279</v>
      </c>
      <c r="S124" s="46" t="s">
        <v>1444</v>
      </c>
    </row>
    <row r="125" spans="1:19" ht="31.5">
      <c r="A125" s="43">
        <v>121</v>
      </c>
      <c r="B125" s="43">
        <v>118</v>
      </c>
      <c r="C125" s="43">
        <v>1288</v>
      </c>
      <c r="D125" s="44">
        <v>46167</v>
      </c>
      <c r="E125" s="45" t="s">
        <v>1562</v>
      </c>
      <c r="F125" s="46" t="s">
        <v>37</v>
      </c>
      <c r="G125" s="46" t="s">
        <v>928</v>
      </c>
      <c r="H125" s="46" t="s">
        <v>1317</v>
      </c>
      <c r="I125" s="46" t="s">
        <v>515</v>
      </c>
      <c r="J125" s="46" t="s">
        <v>968</v>
      </c>
      <c r="K125" s="43">
        <v>42</v>
      </c>
      <c r="L125" s="43">
        <v>92</v>
      </c>
      <c r="M125" s="47">
        <v>0.45161290322580644</v>
      </c>
      <c r="N125" s="47">
        <v>86.5</v>
      </c>
      <c r="O125" s="46" t="s">
        <v>4284</v>
      </c>
      <c r="P125" s="43">
        <v>642</v>
      </c>
      <c r="Q125" s="43">
        <v>40</v>
      </c>
      <c r="R125" s="45" t="s">
        <v>4273</v>
      </c>
      <c r="S125" s="46" t="s">
        <v>1563</v>
      </c>
    </row>
    <row r="126" spans="1:19" ht="42">
      <c r="A126" s="43">
        <v>122</v>
      </c>
      <c r="B126" s="43">
        <v>130</v>
      </c>
      <c r="C126" s="43">
        <v>1301</v>
      </c>
      <c r="D126" s="44">
        <v>46181</v>
      </c>
      <c r="E126" s="45" t="s">
        <v>1538</v>
      </c>
      <c r="F126" s="46" t="s">
        <v>360</v>
      </c>
      <c r="G126" s="46" t="s">
        <v>882</v>
      </c>
      <c r="H126" s="46" t="s">
        <v>1317</v>
      </c>
      <c r="I126" s="46" t="s">
        <v>515</v>
      </c>
      <c r="J126" s="46" t="s">
        <v>977</v>
      </c>
      <c r="K126" s="43">
        <v>41</v>
      </c>
      <c r="L126" s="43">
        <v>78</v>
      </c>
      <c r="M126" s="47">
        <v>0.51898734177215189</v>
      </c>
      <c r="N126" s="47">
        <v>86.4</v>
      </c>
      <c r="O126" s="46" t="s">
        <v>4284</v>
      </c>
      <c r="P126" s="43">
        <v>222</v>
      </c>
      <c r="Q126" s="43">
        <v>10</v>
      </c>
      <c r="R126" s="45" t="s">
        <v>4281</v>
      </c>
      <c r="S126" s="46" t="s">
        <v>1539</v>
      </c>
    </row>
    <row r="127" spans="1:19" ht="42">
      <c r="A127" s="43">
        <v>123</v>
      </c>
      <c r="B127" s="43">
        <v>140</v>
      </c>
      <c r="C127" s="43">
        <v>1319</v>
      </c>
      <c r="D127" s="44">
        <v>46196</v>
      </c>
      <c r="E127" s="45" t="s">
        <v>1502</v>
      </c>
      <c r="F127" s="46" t="s">
        <v>37</v>
      </c>
      <c r="G127" s="46" t="s">
        <v>907</v>
      </c>
      <c r="H127" s="46" t="s">
        <v>1317</v>
      </c>
      <c r="I127" s="46" t="s">
        <v>526</v>
      </c>
      <c r="J127" s="46" t="s">
        <v>977</v>
      </c>
      <c r="K127" s="43">
        <v>40</v>
      </c>
      <c r="L127" s="43">
        <v>63</v>
      </c>
      <c r="M127" s="47">
        <v>0.625</v>
      </c>
      <c r="N127" s="47">
        <v>86.2</v>
      </c>
      <c r="O127" s="46" t="s">
        <v>4284</v>
      </c>
      <c r="P127" s="43">
        <v>291</v>
      </c>
      <c r="Q127" s="43">
        <v>10</v>
      </c>
      <c r="R127" s="45" t="s">
        <v>4281</v>
      </c>
      <c r="S127" s="46" t="s">
        <v>1503</v>
      </c>
    </row>
    <row r="128" spans="1:19" ht="31.5">
      <c r="A128" s="43">
        <v>124</v>
      </c>
      <c r="B128" s="43">
        <v>168</v>
      </c>
      <c r="C128" s="43">
        <v>1408</v>
      </c>
      <c r="D128" s="44">
        <v>46229</v>
      </c>
      <c r="E128" s="45" t="s">
        <v>1293</v>
      </c>
      <c r="F128" s="46" t="s">
        <v>360</v>
      </c>
      <c r="G128" s="46" t="s">
        <v>1038</v>
      </c>
      <c r="H128" s="46" t="s">
        <v>1005</v>
      </c>
      <c r="I128" s="46" t="s">
        <v>526</v>
      </c>
      <c r="J128" s="46" t="s">
        <v>977</v>
      </c>
      <c r="K128" s="43">
        <v>36</v>
      </c>
      <c r="L128" s="43">
        <v>30</v>
      </c>
      <c r="M128" s="47">
        <v>1.1612903225806452</v>
      </c>
      <c r="N128" s="47">
        <v>86.1</v>
      </c>
      <c r="O128" s="46" t="s">
        <v>4284</v>
      </c>
      <c r="P128" s="43">
        <v>591</v>
      </c>
      <c r="Q128" s="43">
        <v>30</v>
      </c>
      <c r="R128" s="45" t="s">
        <v>4283</v>
      </c>
      <c r="S128" s="46" t="s">
        <v>1294</v>
      </c>
    </row>
    <row r="129" spans="1:19" ht="42">
      <c r="A129" s="43">
        <v>125</v>
      </c>
      <c r="B129" s="43">
        <v>76</v>
      </c>
      <c r="C129" s="43">
        <v>789</v>
      </c>
      <c r="D129" s="44">
        <v>45911</v>
      </c>
      <c r="E129" s="45" t="s">
        <v>2167</v>
      </c>
      <c r="F129" s="46" t="s">
        <v>37</v>
      </c>
      <c r="G129" s="46" t="s">
        <v>878</v>
      </c>
      <c r="H129" s="46" t="s">
        <v>965</v>
      </c>
      <c r="I129" s="46" t="s">
        <v>512</v>
      </c>
      <c r="J129" s="46" t="s">
        <v>977</v>
      </c>
      <c r="K129" s="43">
        <v>50</v>
      </c>
      <c r="L129" s="43">
        <v>348</v>
      </c>
      <c r="M129" s="47">
        <v>0.14326647564469913</v>
      </c>
      <c r="N129" s="47">
        <v>86</v>
      </c>
      <c r="O129" s="46" t="s">
        <v>4284</v>
      </c>
      <c r="P129" s="43">
        <v>545</v>
      </c>
      <c r="Q129" s="43">
        <v>20</v>
      </c>
      <c r="R129" s="45" t="s">
        <v>4278</v>
      </c>
      <c r="S129" s="46" t="s">
        <v>2168</v>
      </c>
    </row>
    <row r="130" spans="1:19" ht="42">
      <c r="A130" s="43">
        <v>126</v>
      </c>
      <c r="B130" s="43">
        <v>103</v>
      </c>
      <c r="C130" s="43">
        <v>1028</v>
      </c>
      <c r="D130" s="44">
        <v>46061</v>
      </c>
      <c r="E130" s="45" t="s">
        <v>1806</v>
      </c>
      <c r="F130" s="46" t="s">
        <v>371</v>
      </c>
      <c r="G130" s="46" t="s">
        <v>885</v>
      </c>
      <c r="H130" s="46" t="s">
        <v>965</v>
      </c>
      <c r="I130" s="46" t="s">
        <v>512</v>
      </c>
      <c r="J130" s="46" t="s">
        <v>968</v>
      </c>
      <c r="K130" s="43">
        <v>45</v>
      </c>
      <c r="L130" s="43">
        <v>198</v>
      </c>
      <c r="M130" s="47">
        <v>0.22613065326633167</v>
      </c>
      <c r="N130" s="47">
        <v>86</v>
      </c>
      <c r="O130" s="46" t="s">
        <v>4284</v>
      </c>
      <c r="P130" s="43">
        <v>894</v>
      </c>
      <c r="Q130" s="43">
        <v>20</v>
      </c>
      <c r="R130" s="45" t="s">
        <v>4278</v>
      </c>
      <c r="S130" s="46" t="s">
        <v>1807</v>
      </c>
    </row>
    <row r="131" spans="1:19" ht="31.5">
      <c r="A131" s="43">
        <v>127</v>
      </c>
      <c r="B131" s="43">
        <v>119</v>
      </c>
      <c r="C131" s="43">
        <v>1220</v>
      </c>
      <c r="D131" s="44">
        <v>46137</v>
      </c>
      <c r="E131" s="45" t="s">
        <v>1701</v>
      </c>
      <c r="F131" s="46" t="s">
        <v>37</v>
      </c>
      <c r="G131" s="46" t="s">
        <v>1038</v>
      </c>
      <c r="H131" s="46" t="s">
        <v>1038</v>
      </c>
      <c r="I131" s="46" t="s">
        <v>530</v>
      </c>
      <c r="J131" s="46" t="s">
        <v>977</v>
      </c>
      <c r="K131" s="43">
        <v>42</v>
      </c>
      <c r="L131" s="43">
        <v>122</v>
      </c>
      <c r="M131" s="47">
        <v>0.34146341463414637</v>
      </c>
      <c r="N131" s="47">
        <v>85.9</v>
      </c>
      <c r="O131" s="46" t="s">
        <v>4284</v>
      </c>
      <c r="P131" s="43">
        <v>239</v>
      </c>
      <c r="Q131" s="43">
        <v>30</v>
      </c>
      <c r="R131" s="45" t="s">
        <v>4279</v>
      </c>
      <c r="S131" s="46" t="s">
        <v>1702</v>
      </c>
    </row>
    <row r="132" spans="1:19" ht="42">
      <c r="A132" s="43">
        <v>128</v>
      </c>
      <c r="B132" s="43">
        <v>120</v>
      </c>
      <c r="C132" s="43">
        <v>1212</v>
      </c>
      <c r="D132" s="44">
        <v>46132</v>
      </c>
      <c r="E132" s="45" t="s">
        <v>1716</v>
      </c>
      <c r="F132" s="46" t="s">
        <v>37</v>
      </c>
      <c r="G132" s="46" t="s">
        <v>885</v>
      </c>
      <c r="H132" s="46" t="s">
        <v>965</v>
      </c>
      <c r="I132" s="46" t="s">
        <v>515</v>
      </c>
      <c r="J132" s="46" t="s">
        <v>968</v>
      </c>
      <c r="K132" s="43">
        <v>42</v>
      </c>
      <c r="L132" s="43">
        <v>127</v>
      </c>
      <c r="M132" s="47">
        <v>0.328125</v>
      </c>
      <c r="N132" s="47">
        <v>85.8</v>
      </c>
      <c r="O132" s="46" t="s">
        <v>4284</v>
      </c>
      <c r="P132" s="43">
        <v>211</v>
      </c>
      <c r="Q132" s="43">
        <v>20</v>
      </c>
      <c r="R132" s="45" t="s">
        <v>4272</v>
      </c>
      <c r="S132" s="46" t="s">
        <v>1717</v>
      </c>
    </row>
    <row r="133" spans="1:19" ht="42">
      <c r="A133" s="43">
        <v>129</v>
      </c>
      <c r="B133" s="43">
        <v>107</v>
      </c>
      <c r="C133" s="43">
        <v>1170</v>
      </c>
      <c r="D133" s="44">
        <v>46066</v>
      </c>
      <c r="E133" s="45" t="s">
        <v>1794</v>
      </c>
      <c r="F133" s="46" t="s">
        <v>360</v>
      </c>
      <c r="G133" s="46" t="s">
        <v>1038</v>
      </c>
      <c r="H133" s="46" t="s">
        <v>1005</v>
      </c>
      <c r="I133" s="46" t="s">
        <v>530</v>
      </c>
      <c r="J133" s="46" t="s">
        <v>977</v>
      </c>
      <c r="K133" s="43">
        <v>44</v>
      </c>
      <c r="L133" s="43">
        <v>193</v>
      </c>
      <c r="M133" s="47">
        <v>0.22680412371134021</v>
      </c>
      <c r="N133" s="47">
        <v>85.7</v>
      </c>
      <c r="O133" s="46" t="s">
        <v>4284</v>
      </c>
      <c r="P133" s="43">
        <v>427</v>
      </c>
      <c r="Q133" s="43">
        <v>20</v>
      </c>
      <c r="R133" s="45" t="s">
        <v>4275</v>
      </c>
      <c r="S133" s="46" t="s">
        <v>1795</v>
      </c>
    </row>
    <row r="134" spans="1:19" ht="42">
      <c r="A134" s="43">
        <v>130</v>
      </c>
      <c r="B134" s="43">
        <v>104</v>
      </c>
      <c r="C134" s="43">
        <v>1086</v>
      </c>
      <c r="D134" s="44">
        <v>46011</v>
      </c>
      <c r="E134" s="45" t="s">
        <v>1986</v>
      </c>
      <c r="F134" s="46" t="s">
        <v>382</v>
      </c>
      <c r="G134" s="46" t="s">
        <v>878</v>
      </c>
      <c r="H134" s="46" t="s">
        <v>965</v>
      </c>
      <c r="I134" s="46" t="s">
        <v>512</v>
      </c>
      <c r="J134" s="46" t="s">
        <v>977</v>
      </c>
      <c r="K134" s="43">
        <v>45</v>
      </c>
      <c r="L134" s="43">
        <v>248</v>
      </c>
      <c r="M134" s="47">
        <v>0.18072289156626506</v>
      </c>
      <c r="N134" s="47">
        <v>85.3</v>
      </c>
      <c r="O134" s="46" t="s">
        <v>4284</v>
      </c>
      <c r="P134" s="43">
        <v>837</v>
      </c>
      <c r="Q134" s="43">
        <v>20</v>
      </c>
      <c r="R134" s="45" t="s">
        <v>4278</v>
      </c>
      <c r="S134" s="46" t="s">
        <v>1987</v>
      </c>
    </row>
    <row r="135" spans="1:19" ht="31.5">
      <c r="A135" s="43">
        <v>131</v>
      </c>
      <c r="B135" s="43">
        <v>181</v>
      </c>
      <c r="C135" s="43">
        <v>1410</v>
      </c>
      <c r="D135" s="44">
        <v>46230</v>
      </c>
      <c r="E135" s="45" t="s">
        <v>1289</v>
      </c>
      <c r="F135" s="46" t="s">
        <v>360</v>
      </c>
      <c r="G135" s="46" t="s">
        <v>922</v>
      </c>
      <c r="H135" s="46" t="s">
        <v>965</v>
      </c>
      <c r="I135" s="46" t="s">
        <v>522</v>
      </c>
      <c r="J135" s="46" t="s">
        <v>977</v>
      </c>
      <c r="K135" s="43">
        <v>34</v>
      </c>
      <c r="L135" s="43">
        <v>29</v>
      </c>
      <c r="M135" s="47">
        <v>1.1333333333333333</v>
      </c>
      <c r="N135" s="47">
        <v>85.3</v>
      </c>
      <c r="O135" s="46" t="s">
        <v>4284</v>
      </c>
      <c r="P135" s="43">
        <v>355</v>
      </c>
      <c r="Q135" s="43">
        <v>30</v>
      </c>
      <c r="R135" s="45" t="s">
        <v>4288</v>
      </c>
      <c r="S135" s="46" t="s">
        <v>1290</v>
      </c>
    </row>
    <row r="136" spans="1:19" ht="31.5">
      <c r="A136" s="43">
        <v>132</v>
      </c>
      <c r="B136" s="43">
        <v>216</v>
      </c>
      <c r="C136" s="43">
        <v>1458</v>
      </c>
      <c r="D136" s="44">
        <v>46249</v>
      </c>
      <c r="E136" s="45" t="s">
        <v>1132</v>
      </c>
      <c r="F136" s="46" t="s">
        <v>37</v>
      </c>
      <c r="G136" s="46" t="s">
        <v>1038</v>
      </c>
      <c r="H136" s="46" t="s">
        <v>1134</v>
      </c>
      <c r="I136" s="46" t="s">
        <v>512</v>
      </c>
      <c r="J136" s="46" t="s">
        <v>977</v>
      </c>
      <c r="K136" s="43">
        <v>31</v>
      </c>
      <c r="L136" s="43">
        <v>10</v>
      </c>
      <c r="M136" s="47">
        <v>2.8181818181818183</v>
      </c>
      <c r="N136" s="47">
        <v>85.2</v>
      </c>
      <c r="O136" s="46" t="s">
        <v>4284</v>
      </c>
      <c r="P136" s="43">
        <v>989</v>
      </c>
      <c r="Q136" s="43">
        <v>50</v>
      </c>
      <c r="R136" s="45" t="s">
        <v>4264</v>
      </c>
      <c r="S136" s="46" t="s">
        <v>1133</v>
      </c>
    </row>
    <row r="137" spans="1:19" ht="42">
      <c r="A137" s="43">
        <v>133</v>
      </c>
      <c r="B137" s="43">
        <v>141</v>
      </c>
      <c r="C137" s="43">
        <v>1278</v>
      </c>
      <c r="D137" s="44">
        <v>46165</v>
      </c>
      <c r="E137" s="45" t="s">
        <v>1578</v>
      </c>
      <c r="F137" s="46" t="s">
        <v>37</v>
      </c>
      <c r="G137" s="46" t="s">
        <v>931</v>
      </c>
      <c r="H137" s="46" t="s">
        <v>1317</v>
      </c>
      <c r="I137" s="46" t="s">
        <v>519</v>
      </c>
      <c r="J137" s="46" t="s">
        <v>968</v>
      </c>
      <c r="K137" s="43">
        <v>40</v>
      </c>
      <c r="L137" s="43">
        <v>94</v>
      </c>
      <c r="M137" s="47">
        <v>0.42105263157894735</v>
      </c>
      <c r="N137" s="47">
        <v>85.1</v>
      </c>
      <c r="O137" s="46" t="s">
        <v>4284</v>
      </c>
      <c r="P137" s="43">
        <v>364</v>
      </c>
      <c r="Q137" s="43">
        <v>20</v>
      </c>
      <c r="R137" s="45" t="s">
        <v>4272</v>
      </c>
      <c r="S137" s="46" t="s">
        <v>1579</v>
      </c>
    </row>
    <row r="138" spans="1:19" ht="31.5">
      <c r="A138" s="43">
        <v>134</v>
      </c>
      <c r="B138" s="43">
        <v>155</v>
      </c>
      <c r="C138" s="43">
        <v>1309</v>
      </c>
      <c r="D138" s="44">
        <v>46185</v>
      </c>
      <c r="E138" s="45" t="s">
        <v>1526</v>
      </c>
      <c r="F138" s="46" t="s">
        <v>37</v>
      </c>
      <c r="G138" s="46" t="s">
        <v>893</v>
      </c>
      <c r="H138" s="46" t="s">
        <v>1317</v>
      </c>
      <c r="I138" s="46" t="s">
        <v>515</v>
      </c>
      <c r="J138" s="46" t="s">
        <v>968</v>
      </c>
      <c r="K138" s="43">
        <v>38</v>
      </c>
      <c r="L138" s="43">
        <v>74</v>
      </c>
      <c r="M138" s="47">
        <v>0.50666666666666671</v>
      </c>
      <c r="N138" s="47">
        <v>84.9</v>
      </c>
      <c r="O138" s="46" t="s">
        <v>4284</v>
      </c>
      <c r="P138" s="43">
        <v>598</v>
      </c>
      <c r="Q138" s="43">
        <v>30</v>
      </c>
      <c r="R138" s="45" t="s">
        <v>4266</v>
      </c>
      <c r="S138" s="46" t="s">
        <v>1527</v>
      </c>
    </row>
    <row r="139" spans="1:19" ht="31.5">
      <c r="A139" s="43">
        <v>135</v>
      </c>
      <c r="B139" s="43">
        <v>169</v>
      </c>
      <c r="C139" s="43">
        <v>1354</v>
      </c>
      <c r="D139" s="44">
        <v>46211</v>
      </c>
      <c r="E139" s="45" t="s">
        <v>1437</v>
      </c>
      <c r="F139" s="46" t="s">
        <v>37</v>
      </c>
      <c r="G139" s="46" t="s">
        <v>1038</v>
      </c>
      <c r="H139" s="46" t="s">
        <v>1038</v>
      </c>
      <c r="I139" s="46" t="s">
        <v>512</v>
      </c>
      <c r="J139" s="46" t="s">
        <v>977</v>
      </c>
      <c r="K139" s="43">
        <v>36</v>
      </c>
      <c r="L139" s="43">
        <v>48</v>
      </c>
      <c r="M139" s="47">
        <v>0.73469387755102045</v>
      </c>
      <c r="N139" s="47">
        <v>84.9</v>
      </c>
      <c r="O139" s="46" t="s">
        <v>4284</v>
      </c>
      <c r="P139" s="43">
        <v>962</v>
      </c>
      <c r="Q139" s="43">
        <v>30</v>
      </c>
      <c r="R139" s="45" t="s">
        <v>4266</v>
      </c>
      <c r="S139" s="46" t="s">
        <v>1438</v>
      </c>
    </row>
    <row r="140" spans="1:19" ht="31.5">
      <c r="A140" s="43">
        <v>136</v>
      </c>
      <c r="B140" s="43">
        <v>142</v>
      </c>
      <c r="C140" s="43">
        <v>1251</v>
      </c>
      <c r="D140" s="44">
        <v>46147</v>
      </c>
      <c r="E140" s="45" t="s">
        <v>1656</v>
      </c>
      <c r="F140" s="46" t="s">
        <v>37</v>
      </c>
      <c r="G140" s="46" t="s">
        <v>1038</v>
      </c>
      <c r="H140" s="46" t="s">
        <v>1005</v>
      </c>
      <c r="I140" s="46" t="s">
        <v>519</v>
      </c>
      <c r="J140" s="46" t="s">
        <v>977</v>
      </c>
      <c r="K140" s="43">
        <v>40</v>
      </c>
      <c r="L140" s="43">
        <v>112</v>
      </c>
      <c r="M140" s="47">
        <v>0.35398230088495575</v>
      </c>
      <c r="N140" s="47">
        <v>84.8</v>
      </c>
      <c r="O140" s="46" t="s">
        <v>4284</v>
      </c>
      <c r="P140" s="43">
        <v>767</v>
      </c>
      <c r="Q140" s="43">
        <v>30</v>
      </c>
      <c r="R140" s="45" t="s">
        <v>4266</v>
      </c>
      <c r="S140" s="46" t="s">
        <v>1657</v>
      </c>
    </row>
    <row r="141" spans="1:19" ht="31.5">
      <c r="A141" s="43">
        <v>137</v>
      </c>
      <c r="B141" s="43">
        <v>149</v>
      </c>
      <c r="C141" s="43">
        <v>1259</v>
      </c>
      <c r="D141" s="44">
        <v>46150</v>
      </c>
      <c r="E141" s="45" t="s">
        <v>1632</v>
      </c>
      <c r="F141" s="46" t="s">
        <v>37</v>
      </c>
      <c r="G141" s="46" t="s">
        <v>1038</v>
      </c>
      <c r="H141" s="46" t="s">
        <v>1038</v>
      </c>
      <c r="I141" s="46" t="s">
        <v>530</v>
      </c>
      <c r="J141" s="46" t="s">
        <v>977</v>
      </c>
      <c r="K141" s="43">
        <v>39</v>
      </c>
      <c r="L141" s="43">
        <v>109</v>
      </c>
      <c r="M141" s="47">
        <v>0.35454545454545455</v>
      </c>
      <c r="N141" s="47">
        <v>84.4</v>
      </c>
      <c r="O141" s="46" t="s">
        <v>4284</v>
      </c>
      <c r="P141" s="43">
        <v>337</v>
      </c>
      <c r="Q141" s="43">
        <v>30</v>
      </c>
      <c r="R141" s="45" t="s">
        <v>4279</v>
      </c>
      <c r="S141" s="46" t="s">
        <v>1633</v>
      </c>
    </row>
    <row r="142" spans="1:19" ht="31.5">
      <c r="A142" s="43">
        <v>138</v>
      </c>
      <c r="B142" s="43">
        <v>182</v>
      </c>
      <c r="C142" s="43">
        <v>1381</v>
      </c>
      <c r="D142" s="44">
        <v>46221</v>
      </c>
      <c r="E142" s="45" t="s">
        <v>1373</v>
      </c>
      <c r="F142" s="46" t="s">
        <v>360</v>
      </c>
      <c r="G142" s="46" t="s">
        <v>902</v>
      </c>
      <c r="H142" s="46" t="s">
        <v>965</v>
      </c>
      <c r="I142" s="46" t="s">
        <v>519</v>
      </c>
      <c r="J142" s="46" t="s">
        <v>977</v>
      </c>
      <c r="K142" s="43">
        <v>34</v>
      </c>
      <c r="L142" s="43">
        <v>38</v>
      </c>
      <c r="M142" s="47">
        <v>0.87179487179487181</v>
      </c>
      <c r="N142" s="47">
        <v>84.4</v>
      </c>
      <c r="O142" s="46" t="s">
        <v>4284</v>
      </c>
      <c r="P142" s="43">
        <v>480</v>
      </c>
      <c r="Q142" s="43">
        <v>40</v>
      </c>
      <c r="R142" s="45" t="s">
        <v>4287</v>
      </c>
      <c r="S142" s="46" t="s">
        <v>1374</v>
      </c>
    </row>
    <row r="143" spans="1:19" ht="42">
      <c r="A143" s="43">
        <v>139</v>
      </c>
      <c r="B143" s="43">
        <v>90</v>
      </c>
      <c r="C143" s="43">
        <v>1059</v>
      </c>
      <c r="D143" s="44">
        <v>45841</v>
      </c>
      <c r="E143" s="45" t="s">
        <v>2343</v>
      </c>
      <c r="F143" s="46" t="s">
        <v>382</v>
      </c>
      <c r="G143" s="46" t="s">
        <v>884</v>
      </c>
      <c r="H143" s="46" t="s">
        <v>965</v>
      </c>
      <c r="I143" s="46" t="s">
        <v>512</v>
      </c>
      <c r="J143" s="46" t="s">
        <v>977</v>
      </c>
      <c r="K143" s="43">
        <v>47</v>
      </c>
      <c r="L143" s="43">
        <v>418</v>
      </c>
      <c r="M143" s="47">
        <v>0.11217183770883055</v>
      </c>
      <c r="N143" s="47">
        <v>84.2</v>
      </c>
      <c r="O143" s="46" t="s">
        <v>4284</v>
      </c>
      <c r="P143" s="43">
        <v>553</v>
      </c>
      <c r="Q143" s="43">
        <v>20</v>
      </c>
      <c r="R143" s="45" t="s">
        <v>4278</v>
      </c>
      <c r="S143" s="46" t="s">
        <v>2344</v>
      </c>
    </row>
    <row r="144" spans="1:19" ht="42">
      <c r="A144" s="43">
        <v>140</v>
      </c>
      <c r="B144" s="43">
        <v>158</v>
      </c>
      <c r="C144" s="43">
        <v>1299</v>
      </c>
      <c r="D144" s="44">
        <v>46177</v>
      </c>
      <c r="E144" s="45" t="s">
        <v>1541</v>
      </c>
      <c r="F144" s="46" t="s">
        <v>360</v>
      </c>
      <c r="G144" s="46" t="s">
        <v>878</v>
      </c>
      <c r="H144" s="46" t="s">
        <v>965</v>
      </c>
      <c r="I144" s="46" t="s">
        <v>536</v>
      </c>
      <c r="J144" s="46" t="s">
        <v>977</v>
      </c>
      <c r="K144" s="43">
        <v>37</v>
      </c>
      <c r="L144" s="43">
        <v>82</v>
      </c>
      <c r="M144" s="47">
        <v>0.44578313253012047</v>
      </c>
      <c r="N144" s="47">
        <v>84.1</v>
      </c>
      <c r="O144" s="46" t="s">
        <v>4284</v>
      </c>
      <c r="P144" s="43">
        <v>329</v>
      </c>
      <c r="Q144" s="43">
        <v>20</v>
      </c>
      <c r="R144" s="45" t="s">
        <v>4272</v>
      </c>
      <c r="S144" s="46" t="s">
        <v>1542</v>
      </c>
    </row>
    <row r="145" spans="1:19" ht="42">
      <c r="A145" s="43">
        <v>141</v>
      </c>
      <c r="B145" s="43">
        <v>97</v>
      </c>
      <c r="C145" s="43">
        <v>960</v>
      </c>
      <c r="D145" s="44">
        <v>45879</v>
      </c>
      <c r="E145" s="45" t="s">
        <v>2222</v>
      </c>
      <c r="F145" s="46" t="s">
        <v>371</v>
      </c>
      <c r="G145" s="46" t="s">
        <v>1038</v>
      </c>
      <c r="H145" s="46" t="s">
        <v>1005</v>
      </c>
      <c r="I145" s="46" t="s">
        <v>512</v>
      </c>
      <c r="J145" s="46" t="s">
        <v>977</v>
      </c>
      <c r="K145" s="43">
        <v>46</v>
      </c>
      <c r="L145" s="43">
        <v>380</v>
      </c>
      <c r="M145" s="47">
        <v>0.12073490813648294</v>
      </c>
      <c r="N145" s="47">
        <v>84</v>
      </c>
      <c r="O145" s="46" t="s">
        <v>4284</v>
      </c>
      <c r="P145" s="43">
        <v>923</v>
      </c>
      <c r="Q145" s="43">
        <v>20</v>
      </c>
      <c r="R145" s="45" t="s">
        <v>4278</v>
      </c>
      <c r="S145" s="46" t="s">
        <v>2223</v>
      </c>
    </row>
    <row r="146" spans="1:19" ht="42">
      <c r="A146" s="43">
        <v>142</v>
      </c>
      <c r="B146" s="43">
        <v>121</v>
      </c>
      <c r="C146" s="43">
        <v>807</v>
      </c>
      <c r="D146" s="44">
        <v>46013</v>
      </c>
      <c r="E146" s="45" t="s">
        <v>1977</v>
      </c>
      <c r="F146" s="46" t="s">
        <v>37</v>
      </c>
      <c r="G146" s="46" t="s">
        <v>882</v>
      </c>
      <c r="H146" s="46" t="s">
        <v>965</v>
      </c>
      <c r="I146" s="46" t="s">
        <v>512</v>
      </c>
      <c r="J146" s="46" t="s">
        <v>977</v>
      </c>
      <c r="K146" s="43">
        <v>42</v>
      </c>
      <c r="L146" s="43">
        <v>246</v>
      </c>
      <c r="M146" s="47">
        <v>0.17004048582995951</v>
      </c>
      <c r="N146" s="47">
        <v>84</v>
      </c>
      <c r="O146" s="46" t="s">
        <v>4284</v>
      </c>
      <c r="P146" s="43">
        <v>1076</v>
      </c>
      <c r="Q146" s="43">
        <v>20</v>
      </c>
      <c r="R146" s="45" t="s">
        <v>4278</v>
      </c>
      <c r="S146" s="46" t="s">
        <v>1978</v>
      </c>
    </row>
    <row r="147" spans="1:19" ht="21">
      <c r="A147" s="43">
        <v>143</v>
      </c>
      <c r="B147" s="43">
        <v>190</v>
      </c>
      <c r="C147" s="43">
        <v>1387</v>
      </c>
      <c r="D147" s="44">
        <v>46222</v>
      </c>
      <c r="E147" s="45" t="s">
        <v>1360</v>
      </c>
      <c r="F147" s="46" t="s">
        <v>37</v>
      </c>
      <c r="G147" s="46" t="s">
        <v>1038</v>
      </c>
      <c r="H147" s="46" t="s">
        <v>1134</v>
      </c>
      <c r="I147" s="46" t="s">
        <v>519</v>
      </c>
      <c r="J147" s="46" t="s">
        <v>968</v>
      </c>
      <c r="K147" s="43">
        <v>33</v>
      </c>
      <c r="L147" s="43">
        <v>37</v>
      </c>
      <c r="M147" s="47">
        <v>0.86842105263157898</v>
      </c>
      <c r="N147" s="47">
        <v>83.7</v>
      </c>
      <c r="O147" s="46" t="s">
        <v>4284</v>
      </c>
      <c r="P147" s="43">
        <v>723</v>
      </c>
      <c r="Q147" s="43">
        <v>60</v>
      </c>
      <c r="R147" s="45" t="s">
        <v>4267</v>
      </c>
      <c r="S147" s="46" t="s">
        <v>1361</v>
      </c>
    </row>
    <row r="148" spans="1:19" ht="21">
      <c r="A148" s="43">
        <v>144</v>
      </c>
      <c r="B148" s="43">
        <v>217</v>
      </c>
      <c r="C148" s="43">
        <v>1437</v>
      </c>
      <c r="D148" s="44">
        <v>46241</v>
      </c>
      <c r="E148" s="45" t="s">
        <v>1202</v>
      </c>
      <c r="F148" s="46" t="s">
        <v>37</v>
      </c>
      <c r="G148" s="46" t="s">
        <v>885</v>
      </c>
      <c r="H148" s="46" t="s">
        <v>965</v>
      </c>
      <c r="I148" s="46" t="s">
        <v>536</v>
      </c>
      <c r="J148" s="46" t="s">
        <v>968</v>
      </c>
      <c r="K148" s="43">
        <v>31</v>
      </c>
      <c r="L148" s="43">
        <v>18</v>
      </c>
      <c r="M148" s="47">
        <v>1.631578947368421</v>
      </c>
      <c r="N148" s="47">
        <v>83.7</v>
      </c>
      <c r="O148" s="46" t="s">
        <v>4284</v>
      </c>
      <c r="P148" s="43">
        <v>569</v>
      </c>
      <c r="Q148" s="43">
        <v>60</v>
      </c>
      <c r="R148" s="45" t="s">
        <v>4267</v>
      </c>
      <c r="S148" s="46" t="s">
        <v>1203</v>
      </c>
    </row>
    <row r="149" spans="1:19" ht="31.5">
      <c r="A149" s="43">
        <v>145</v>
      </c>
      <c r="B149" s="43">
        <v>243</v>
      </c>
      <c r="C149" s="43">
        <v>1460</v>
      </c>
      <c r="D149" s="44">
        <v>46250</v>
      </c>
      <c r="E149" s="45" t="s">
        <v>1125</v>
      </c>
      <c r="F149" s="46" t="s">
        <v>37</v>
      </c>
      <c r="G149" s="46" t="s">
        <v>882</v>
      </c>
      <c r="H149" s="46" t="s">
        <v>965</v>
      </c>
      <c r="I149" s="46" t="s">
        <v>515</v>
      </c>
      <c r="J149" s="46" t="s">
        <v>977</v>
      </c>
      <c r="K149" s="43">
        <v>29</v>
      </c>
      <c r="L149" s="43">
        <v>9</v>
      </c>
      <c r="M149" s="47">
        <v>2.9</v>
      </c>
      <c r="N149" s="47">
        <v>83.6</v>
      </c>
      <c r="O149" s="46" t="s">
        <v>4284</v>
      </c>
      <c r="P149" s="43">
        <v>1128</v>
      </c>
      <c r="Q149" s="43">
        <v>50</v>
      </c>
      <c r="R149" s="45" t="s">
        <v>4264</v>
      </c>
      <c r="S149" s="46" t="s">
        <v>1126</v>
      </c>
    </row>
    <row r="150" spans="1:19" ht="42">
      <c r="A150" s="43">
        <v>146</v>
      </c>
      <c r="B150" s="43">
        <v>122</v>
      </c>
      <c r="C150" s="43">
        <v>1126</v>
      </c>
      <c r="D150" s="44">
        <v>45971</v>
      </c>
      <c r="E150" s="45" t="s">
        <v>2086</v>
      </c>
      <c r="F150" s="46" t="s">
        <v>360</v>
      </c>
      <c r="G150" s="46" t="s">
        <v>878</v>
      </c>
      <c r="H150" s="46" t="s">
        <v>965</v>
      </c>
      <c r="I150" s="46" t="s">
        <v>512</v>
      </c>
      <c r="J150" s="46" t="s">
        <v>977</v>
      </c>
      <c r="K150" s="43">
        <v>42</v>
      </c>
      <c r="L150" s="43">
        <v>288</v>
      </c>
      <c r="M150" s="47">
        <v>0.1453287197231834</v>
      </c>
      <c r="N150" s="47">
        <v>83.5</v>
      </c>
      <c r="O150" s="46" t="s">
        <v>4284</v>
      </c>
      <c r="P150" s="43">
        <v>268</v>
      </c>
      <c r="Q150" s="43">
        <v>20</v>
      </c>
      <c r="R150" s="45" t="s">
        <v>4275</v>
      </c>
      <c r="S150" s="46" t="s">
        <v>2087</v>
      </c>
    </row>
    <row r="151" spans="1:19" ht="31.5">
      <c r="A151" s="43">
        <v>147</v>
      </c>
      <c r="B151" s="43">
        <v>159</v>
      </c>
      <c r="C151" s="43">
        <v>1254</v>
      </c>
      <c r="D151" s="44">
        <v>46149</v>
      </c>
      <c r="E151" s="45" t="s">
        <v>1647</v>
      </c>
      <c r="F151" s="46" t="s">
        <v>37</v>
      </c>
      <c r="G151" s="46" t="s">
        <v>1038</v>
      </c>
      <c r="H151" s="46" t="s">
        <v>1005</v>
      </c>
      <c r="I151" s="46" t="s">
        <v>519</v>
      </c>
      <c r="J151" s="46" t="s">
        <v>968</v>
      </c>
      <c r="K151" s="43">
        <v>37</v>
      </c>
      <c r="L151" s="43">
        <v>110</v>
      </c>
      <c r="M151" s="47">
        <v>0.33333333333333331</v>
      </c>
      <c r="N151" s="47">
        <v>83.5</v>
      </c>
      <c r="O151" s="46" t="s">
        <v>4284</v>
      </c>
      <c r="P151" s="43">
        <v>737</v>
      </c>
      <c r="Q151" s="43">
        <v>30</v>
      </c>
      <c r="R151" s="45" t="s">
        <v>4266</v>
      </c>
      <c r="S151" s="46" t="s">
        <v>1648</v>
      </c>
    </row>
    <row r="152" spans="1:19" ht="42">
      <c r="A152" s="43">
        <v>148</v>
      </c>
      <c r="B152" s="43">
        <v>143</v>
      </c>
      <c r="C152" s="43">
        <v>1107</v>
      </c>
      <c r="D152" s="44">
        <v>46055</v>
      </c>
      <c r="E152" s="45" t="s">
        <v>1835</v>
      </c>
      <c r="F152" s="46" t="s">
        <v>382</v>
      </c>
      <c r="G152" s="46" t="s">
        <v>1038</v>
      </c>
      <c r="H152" s="46" t="s">
        <v>1005</v>
      </c>
      <c r="I152" s="46" t="s">
        <v>512</v>
      </c>
      <c r="J152" s="46" t="s">
        <v>977</v>
      </c>
      <c r="K152" s="43">
        <v>40</v>
      </c>
      <c r="L152" s="43">
        <v>204</v>
      </c>
      <c r="M152" s="47">
        <v>0.1951219512195122</v>
      </c>
      <c r="N152" s="47">
        <v>83.4</v>
      </c>
      <c r="O152" s="46" t="s">
        <v>4284</v>
      </c>
      <c r="P152" s="43">
        <v>553</v>
      </c>
      <c r="Q152" s="43">
        <v>20</v>
      </c>
      <c r="R152" s="45" t="s">
        <v>4278</v>
      </c>
      <c r="S152" s="46" t="s">
        <v>1836</v>
      </c>
    </row>
    <row r="153" spans="1:19" ht="42">
      <c r="A153" s="43">
        <v>149</v>
      </c>
      <c r="B153" s="43">
        <v>160</v>
      </c>
      <c r="C153" s="43">
        <v>1249</v>
      </c>
      <c r="D153" s="44">
        <v>46147</v>
      </c>
      <c r="E153" s="45" t="s">
        <v>1662</v>
      </c>
      <c r="F153" s="46" t="s">
        <v>37</v>
      </c>
      <c r="G153" s="46" t="s">
        <v>882</v>
      </c>
      <c r="H153" s="46" t="s">
        <v>965</v>
      </c>
      <c r="I153" s="46" t="s">
        <v>515</v>
      </c>
      <c r="J153" s="46" t="s">
        <v>968</v>
      </c>
      <c r="K153" s="43">
        <v>37</v>
      </c>
      <c r="L153" s="43">
        <v>112</v>
      </c>
      <c r="M153" s="47">
        <v>0.32743362831858408</v>
      </c>
      <c r="N153" s="47">
        <v>83.4</v>
      </c>
      <c r="O153" s="46" t="s">
        <v>4284</v>
      </c>
      <c r="P153" s="43">
        <v>299</v>
      </c>
      <c r="Q153" s="43">
        <v>20</v>
      </c>
      <c r="R153" s="45" t="s">
        <v>4275</v>
      </c>
      <c r="S153" s="46" t="s">
        <v>1663</v>
      </c>
    </row>
    <row r="154" spans="1:19" ht="42">
      <c r="A154" s="43">
        <v>150</v>
      </c>
      <c r="B154" s="43">
        <v>144</v>
      </c>
      <c r="C154" s="43">
        <v>1104</v>
      </c>
      <c r="D154" s="44">
        <v>46051</v>
      </c>
      <c r="E154" s="45" t="s">
        <v>1848</v>
      </c>
      <c r="F154" s="46" t="s">
        <v>382</v>
      </c>
      <c r="G154" s="46" t="s">
        <v>885</v>
      </c>
      <c r="H154" s="46" t="s">
        <v>965</v>
      </c>
      <c r="I154" s="46" t="s">
        <v>512</v>
      </c>
      <c r="J154" s="46" t="s">
        <v>977</v>
      </c>
      <c r="K154" s="43">
        <v>40</v>
      </c>
      <c r="L154" s="43">
        <v>208</v>
      </c>
      <c r="M154" s="47">
        <v>0.19138755980861244</v>
      </c>
      <c r="N154" s="47">
        <v>83.2</v>
      </c>
      <c r="O154" s="46" t="s">
        <v>4284</v>
      </c>
      <c r="P154" s="43">
        <v>883</v>
      </c>
      <c r="Q154" s="43">
        <v>20</v>
      </c>
      <c r="R154" s="45" t="s">
        <v>4278</v>
      </c>
      <c r="S154" s="46" t="s">
        <v>1849</v>
      </c>
    </row>
    <row r="155" spans="1:19" ht="31.5">
      <c r="A155" s="43">
        <v>151</v>
      </c>
      <c r="B155" s="43">
        <v>202</v>
      </c>
      <c r="C155" s="43">
        <v>1397</v>
      </c>
      <c r="D155" s="44">
        <v>46226</v>
      </c>
      <c r="E155" s="45" t="s">
        <v>1328</v>
      </c>
      <c r="F155" s="46" t="s">
        <v>37</v>
      </c>
      <c r="G155" s="46" t="s">
        <v>882</v>
      </c>
      <c r="H155" s="46" t="s">
        <v>965</v>
      </c>
      <c r="I155" s="46" t="s">
        <v>522</v>
      </c>
      <c r="J155" s="46" t="s">
        <v>977</v>
      </c>
      <c r="K155" s="43">
        <v>32</v>
      </c>
      <c r="L155" s="43">
        <v>33</v>
      </c>
      <c r="M155" s="47">
        <v>0.94117647058823528</v>
      </c>
      <c r="N155" s="47">
        <v>83.2</v>
      </c>
      <c r="O155" s="46" t="s">
        <v>4284</v>
      </c>
      <c r="P155" s="43">
        <v>952</v>
      </c>
      <c r="Q155" s="43">
        <v>40</v>
      </c>
      <c r="R155" s="45" t="s">
        <v>4263</v>
      </c>
      <c r="S155" s="46" t="s">
        <v>1329</v>
      </c>
    </row>
    <row r="156" spans="1:19" ht="42">
      <c r="A156" s="43">
        <v>152</v>
      </c>
      <c r="B156" s="43">
        <v>145</v>
      </c>
      <c r="C156" s="43">
        <v>827</v>
      </c>
      <c r="D156" s="44">
        <v>46048</v>
      </c>
      <c r="E156" s="45" t="s">
        <v>1851</v>
      </c>
      <c r="F156" s="46" t="s">
        <v>37</v>
      </c>
      <c r="G156" s="46" t="s">
        <v>882</v>
      </c>
      <c r="H156" s="46" t="s">
        <v>965</v>
      </c>
      <c r="I156" s="46" t="s">
        <v>519</v>
      </c>
      <c r="J156" s="46" t="s">
        <v>977</v>
      </c>
      <c r="K156" s="43">
        <v>40</v>
      </c>
      <c r="L156" s="43">
        <v>211</v>
      </c>
      <c r="M156" s="47">
        <v>0.18867924528301888</v>
      </c>
      <c r="N156" s="47">
        <v>83.1</v>
      </c>
      <c r="O156" s="46" t="s">
        <v>4284</v>
      </c>
      <c r="P156" s="43">
        <v>405</v>
      </c>
      <c r="Q156" s="43">
        <v>10</v>
      </c>
      <c r="R156" s="45" t="s">
        <v>4281</v>
      </c>
      <c r="S156" s="46" t="s">
        <v>1852</v>
      </c>
    </row>
    <row r="157" spans="1:19" ht="31.5">
      <c r="A157" s="43">
        <v>153</v>
      </c>
      <c r="B157" s="43">
        <v>174</v>
      </c>
      <c r="C157" s="43">
        <v>1289</v>
      </c>
      <c r="D157" s="44">
        <v>46168</v>
      </c>
      <c r="E157" s="45" t="s">
        <v>1559</v>
      </c>
      <c r="F157" s="46" t="s">
        <v>37</v>
      </c>
      <c r="G157" s="46" t="s">
        <v>1038</v>
      </c>
      <c r="H157" s="46" t="s">
        <v>1005</v>
      </c>
      <c r="I157" s="46" t="s">
        <v>522</v>
      </c>
      <c r="J157" s="46" t="s">
        <v>968</v>
      </c>
      <c r="K157" s="43">
        <v>35</v>
      </c>
      <c r="L157" s="43">
        <v>91</v>
      </c>
      <c r="M157" s="47">
        <v>0.38043478260869568</v>
      </c>
      <c r="N157" s="47">
        <v>83</v>
      </c>
      <c r="O157" s="46" t="s">
        <v>4284</v>
      </c>
      <c r="P157" s="43">
        <v>500</v>
      </c>
      <c r="Q157" s="43">
        <v>40</v>
      </c>
      <c r="R157" s="45" t="s">
        <v>4273</v>
      </c>
      <c r="S157" s="46" t="s">
        <v>1560</v>
      </c>
    </row>
    <row r="158" spans="1:19" ht="42">
      <c r="A158" s="43">
        <v>154</v>
      </c>
      <c r="B158" s="43">
        <v>98</v>
      </c>
      <c r="C158" s="43">
        <v>902</v>
      </c>
      <c r="D158" s="44">
        <v>45765</v>
      </c>
      <c r="E158" s="45" t="s">
        <v>2482</v>
      </c>
      <c r="F158" s="46" t="s">
        <v>371</v>
      </c>
      <c r="G158" s="46" t="s">
        <v>878</v>
      </c>
      <c r="H158" s="46" t="s">
        <v>965</v>
      </c>
      <c r="I158" s="46" t="s">
        <v>536</v>
      </c>
      <c r="J158" s="46" t="s">
        <v>968</v>
      </c>
      <c r="K158" s="43">
        <v>46</v>
      </c>
      <c r="L158" s="43">
        <v>494</v>
      </c>
      <c r="M158" s="47">
        <v>9.2929292929292931E-2</v>
      </c>
      <c r="N158" s="47">
        <v>82.9</v>
      </c>
      <c r="O158" s="46" t="s">
        <v>4284</v>
      </c>
      <c r="P158" s="43">
        <v>682</v>
      </c>
      <c r="Q158" s="43">
        <v>20</v>
      </c>
      <c r="R158" s="45" t="s">
        <v>4278</v>
      </c>
      <c r="S158" s="46" t="s">
        <v>2483</v>
      </c>
    </row>
    <row r="159" spans="1:19" ht="31.5">
      <c r="A159" s="43">
        <v>155</v>
      </c>
      <c r="B159" s="43">
        <v>170</v>
      </c>
      <c r="C159" s="43">
        <v>1262</v>
      </c>
      <c r="D159" s="44">
        <v>46150</v>
      </c>
      <c r="E159" s="45" t="s">
        <v>1623</v>
      </c>
      <c r="F159" s="46" t="s">
        <v>37</v>
      </c>
      <c r="G159" s="46" t="s">
        <v>878</v>
      </c>
      <c r="H159" s="46" t="s">
        <v>965</v>
      </c>
      <c r="I159" s="46" t="s">
        <v>526</v>
      </c>
      <c r="J159" s="46" t="s">
        <v>977</v>
      </c>
      <c r="K159" s="43">
        <v>36</v>
      </c>
      <c r="L159" s="43">
        <v>109</v>
      </c>
      <c r="M159" s="47">
        <v>0.32727272727272727</v>
      </c>
      <c r="N159" s="47">
        <v>82.9</v>
      </c>
      <c r="O159" s="46" t="s">
        <v>4284</v>
      </c>
      <c r="P159" s="43">
        <v>864</v>
      </c>
      <c r="Q159" s="43">
        <v>30</v>
      </c>
      <c r="R159" s="45" t="s">
        <v>4266</v>
      </c>
      <c r="S159" s="46" t="s">
        <v>1624</v>
      </c>
    </row>
    <row r="160" spans="1:19" ht="42">
      <c r="A160" s="43">
        <v>156</v>
      </c>
      <c r="B160" s="43">
        <v>80</v>
      </c>
      <c r="C160" s="43">
        <v>662</v>
      </c>
      <c r="D160" s="44">
        <v>45621</v>
      </c>
      <c r="E160" s="45" t="s">
        <v>2783</v>
      </c>
      <c r="F160" s="46" t="s">
        <v>37</v>
      </c>
      <c r="G160" s="46" t="s">
        <v>1038</v>
      </c>
      <c r="H160" s="46" t="s">
        <v>1038</v>
      </c>
      <c r="I160" s="46" t="s">
        <v>512</v>
      </c>
      <c r="J160" s="46" t="s">
        <v>977</v>
      </c>
      <c r="K160" s="43">
        <v>49</v>
      </c>
      <c r="L160" s="43">
        <v>638</v>
      </c>
      <c r="M160" s="47">
        <v>7.6682316118935834E-2</v>
      </c>
      <c r="N160" s="47">
        <v>82.8</v>
      </c>
      <c r="O160" s="46" t="s">
        <v>4284</v>
      </c>
      <c r="P160" s="43">
        <v>739</v>
      </c>
      <c r="Q160" s="43">
        <v>20</v>
      </c>
      <c r="R160" s="45" t="s">
        <v>4278</v>
      </c>
      <c r="S160" s="46" t="s">
        <v>2784</v>
      </c>
    </row>
    <row r="161" spans="1:19" ht="42">
      <c r="A161" s="43">
        <v>157</v>
      </c>
      <c r="B161" s="43">
        <v>146</v>
      </c>
      <c r="C161" s="43">
        <v>825</v>
      </c>
      <c r="D161" s="44">
        <v>46027</v>
      </c>
      <c r="E161" s="45" t="s">
        <v>1917</v>
      </c>
      <c r="F161" s="46" t="s">
        <v>37</v>
      </c>
      <c r="G161" s="46" t="s">
        <v>892</v>
      </c>
      <c r="H161" s="46" t="s">
        <v>965</v>
      </c>
      <c r="I161" s="46" t="s">
        <v>512</v>
      </c>
      <c r="J161" s="46" t="s">
        <v>977</v>
      </c>
      <c r="K161" s="43">
        <v>40</v>
      </c>
      <c r="L161" s="43">
        <v>232</v>
      </c>
      <c r="M161" s="47">
        <v>0.17167381974248927</v>
      </c>
      <c r="N161" s="47">
        <v>82.8</v>
      </c>
      <c r="O161" s="46" t="s">
        <v>4284</v>
      </c>
      <c r="P161" s="43">
        <v>680</v>
      </c>
      <c r="Q161" s="43">
        <v>20</v>
      </c>
      <c r="R161" s="45" t="s">
        <v>4278</v>
      </c>
      <c r="S161" s="46" t="s">
        <v>1918</v>
      </c>
    </row>
    <row r="162" spans="1:19" ht="31.5">
      <c r="A162" s="43">
        <v>158</v>
      </c>
      <c r="B162" s="43">
        <v>235</v>
      </c>
      <c r="C162" s="43">
        <v>1434</v>
      </c>
      <c r="D162" s="44">
        <v>46241</v>
      </c>
      <c r="E162" s="45" t="s">
        <v>1211</v>
      </c>
      <c r="F162" s="46" t="s">
        <v>37</v>
      </c>
      <c r="G162" s="46" t="s">
        <v>1038</v>
      </c>
      <c r="H162" s="46" t="s">
        <v>1134</v>
      </c>
      <c r="I162" s="46" t="s">
        <v>519</v>
      </c>
      <c r="J162" s="46" t="s">
        <v>968</v>
      </c>
      <c r="K162" s="43">
        <v>30</v>
      </c>
      <c r="L162" s="43">
        <v>18</v>
      </c>
      <c r="M162" s="47">
        <v>1.5789473684210527</v>
      </c>
      <c r="N162" s="47">
        <v>82.8</v>
      </c>
      <c r="O162" s="46" t="s">
        <v>4284</v>
      </c>
      <c r="P162" s="43">
        <v>1201</v>
      </c>
      <c r="Q162" s="43">
        <v>40</v>
      </c>
      <c r="R162" s="45" t="s">
        <v>4263</v>
      </c>
      <c r="S162" s="46" t="s">
        <v>1212</v>
      </c>
    </row>
    <row r="163" spans="1:19" ht="42">
      <c r="A163" s="43">
        <v>159</v>
      </c>
      <c r="B163" s="43">
        <v>147</v>
      </c>
      <c r="C163" s="43">
        <v>804</v>
      </c>
      <c r="D163" s="44">
        <v>46011</v>
      </c>
      <c r="E163" s="45" t="s">
        <v>1998</v>
      </c>
      <c r="F163" s="46" t="s">
        <v>37</v>
      </c>
      <c r="G163" s="46" t="s">
        <v>887</v>
      </c>
      <c r="H163" s="46" t="s">
        <v>965</v>
      </c>
      <c r="I163" s="46" t="s">
        <v>512</v>
      </c>
      <c r="J163" s="46" t="s">
        <v>977</v>
      </c>
      <c r="K163" s="43">
        <v>40</v>
      </c>
      <c r="L163" s="43">
        <v>248</v>
      </c>
      <c r="M163" s="47">
        <v>0.1606425702811245</v>
      </c>
      <c r="N163" s="47">
        <v>82.7</v>
      </c>
      <c r="O163" s="46" t="s">
        <v>4284</v>
      </c>
      <c r="P163" s="43">
        <v>520</v>
      </c>
      <c r="Q163" s="43">
        <v>20</v>
      </c>
      <c r="R163" s="45" t="s">
        <v>4278</v>
      </c>
      <c r="S163" s="46" t="s">
        <v>1999</v>
      </c>
    </row>
    <row r="164" spans="1:19" ht="21">
      <c r="A164" s="43">
        <v>160</v>
      </c>
      <c r="B164" s="43">
        <v>218</v>
      </c>
      <c r="C164" s="43">
        <v>1414</v>
      </c>
      <c r="D164" s="44">
        <v>46230</v>
      </c>
      <c r="E164" s="45" t="s">
        <v>1276</v>
      </c>
      <c r="F164" s="46" t="s">
        <v>37</v>
      </c>
      <c r="G164" s="46" t="s">
        <v>906</v>
      </c>
      <c r="H164" s="46" t="s">
        <v>965</v>
      </c>
      <c r="I164" s="46" t="s">
        <v>526</v>
      </c>
      <c r="J164" s="46" t="s">
        <v>977</v>
      </c>
      <c r="K164" s="43">
        <v>31</v>
      </c>
      <c r="L164" s="43">
        <v>29</v>
      </c>
      <c r="M164" s="47">
        <v>1.0333333333333334</v>
      </c>
      <c r="N164" s="47">
        <v>82.5</v>
      </c>
      <c r="O164" s="46" t="s">
        <v>4284</v>
      </c>
      <c r="P164" s="43">
        <v>768</v>
      </c>
      <c r="Q164" s="43">
        <v>60</v>
      </c>
      <c r="R164" s="45" t="s">
        <v>4267</v>
      </c>
      <c r="S164" s="46" t="s">
        <v>1277</v>
      </c>
    </row>
    <row r="165" spans="1:19" ht="31.5">
      <c r="A165" s="43">
        <v>161</v>
      </c>
      <c r="B165" s="43">
        <v>105</v>
      </c>
      <c r="C165" s="43">
        <v>896</v>
      </c>
      <c r="D165" s="44">
        <v>45756</v>
      </c>
      <c r="E165" s="45" t="s">
        <v>2509</v>
      </c>
      <c r="F165" s="46" t="s">
        <v>371</v>
      </c>
      <c r="G165" s="46" t="s">
        <v>878</v>
      </c>
      <c r="H165" s="46" t="s">
        <v>965</v>
      </c>
      <c r="I165" s="46" t="s">
        <v>512</v>
      </c>
      <c r="J165" s="46" t="s">
        <v>977</v>
      </c>
      <c r="K165" s="43">
        <v>45</v>
      </c>
      <c r="L165" s="43">
        <v>503</v>
      </c>
      <c r="M165" s="47">
        <v>8.9285714285714288E-2</v>
      </c>
      <c r="N165" s="47">
        <v>82.3</v>
      </c>
      <c r="O165" s="46" t="s">
        <v>4284</v>
      </c>
      <c r="P165" s="43">
        <v>609</v>
      </c>
      <c r="Q165" s="43">
        <v>30</v>
      </c>
      <c r="R165" s="45" t="s">
        <v>4283</v>
      </c>
      <c r="S165" s="46" t="s">
        <v>2510</v>
      </c>
    </row>
    <row r="166" spans="1:19" ht="31.5">
      <c r="A166" s="43">
        <v>162</v>
      </c>
      <c r="B166" s="43">
        <v>175</v>
      </c>
      <c r="C166" s="43">
        <v>1214</v>
      </c>
      <c r="D166" s="44">
        <v>46133</v>
      </c>
      <c r="E166" s="45" t="s">
        <v>1710</v>
      </c>
      <c r="F166" s="46" t="s">
        <v>37</v>
      </c>
      <c r="G166" s="46" t="s">
        <v>1038</v>
      </c>
      <c r="H166" s="46" t="s">
        <v>1134</v>
      </c>
      <c r="I166" s="46" t="s">
        <v>515</v>
      </c>
      <c r="J166" s="46" t="s">
        <v>977</v>
      </c>
      <c r="K166" s="43">
        <v>35</v>
      </c>
      <c r="L166" s="43">
        <v>126</v>
      </c>
      <c r="M166" s="47">
        <v>0.27559055118110237</v>
      </c>
      <c r="N166" s="47">
        <v>82.3</v>
      </c>
      <c r="O166" s="46" t="s">
        <v>4284</v>
      </c>
      <c r="P166" s="43">
        <v>577</v>
      </c>
      <c r="Q166" s="43">
        <v>30</v>
      </c>
      <c r="R166" s="45" t="s">
        <v>4266</v>
      </c>
      <c r="S166" s="46" t="s">
        <v>1711</v>
      </c>
    </row>
    <row r="167" spans="1:19" ht="31.5">
      <c r="A167" s="43">
        <v>163</v>
      </c>
      <c r="B167" s="43">
        <v>219</v>
      </c>
      <c r="C167" s="43">
        <v>1406</v>
      </c>
      <c r="D167" s="44">
        <v>46229</v>
      </c>
      <c r="E167" s="45" t="s">
        <v>1299</v>
      </c>
      <c r="F167" s="46" t="s">
        <v>37</v>
      </c>
      <c r="G167" s="46" t="s">
        <v>878</v>
      </c>
      <c r="H167" s="46" t="s">
        <v>965</v>
      </c>
      <c r="I167" s="46" t="s">
        <v>515</v>
      </c>
      <c r="J167" s="46" t="s">
        <v>977</v>
      </c>
      <c r="K167" s="43">
        <v>31</v>
      </c>
      <c r="L167" s="43">
        <v>30</v>
      </c>
      <c r="M167" s="47">
        <v>1</v>
      </c>
      <c r="N167" s="47">
        <v>82.3</v>
      </c>
      <c r="O167" s="46" t="s">
        <v>4284</v>
      </c>
      <c r="P167" s="43">
        <v>1085</v>
      </c>
      <c r="Q167" s="43">
        <v>40</v>
      </c>
      <c r="R167" s="45" t="s">
        <v>4263</v>
      </c>
      <c r="S167" s="46" t="s">
        <v>1300</v>
      </c>
    </row>
    <row r="168" spans="1:19" ht="42">
      <c r="A168" s="43">
        <v>164</v>
      </c>
      <c r="B168" s="43">
        <v>220</v>
      </c>
      <c r="C168" s="43">
        <v>1398</v>
      </c>
      <c r="D168" s="44">
        <v>46227</v>
      </c>
      <c r="E168" s="45" t="s">
        <v>1325</v>
      </c>
      <c r="F168" s="46" t="s">
        <v>360</v>
      </c>
      <c r="G168" s="46" t="s">
        <v>889</v>
      </c>
      <c r="H168" s="46" t="s">
        <v>965</v>
      </c>
      <c r="I168" s="46" t="s">
        <v>522</v>
      </c>
      <c r="J168" s="46" t="s">
        <v>977</v>
      </c>
      <c r="K168" s="43">
        <v>31</v>
      </c>
      <c r="L168" s="43">
        <v>32</v>
      </c>
      <c r="M168" s="47">
        <v>0.93939393939393945</v>
      </c>
      <c r="N168" s="47">
        <v>82.2</v>
      </c>
      <c r="O168" s="46" t="s">
        <v>4284</v>
      </c>
      <c r="P168" s="43">
        <v>473</v>
      </c>
      <c r="Q168" s="43">
        <v>20</v>
      </c>
      <c r="R168" s="45" t="s">
        <v>4272</v>
      </c>
      <c r="S168" s="46" t="s">
        <v>1326</v>
      </c>
    </row>
    <row r="169" spans="1:19" ht="31.5">
      <c r="A169" s="43">
        <v>165</v>
      </c>
      <c r="B169" s="43">
        <v>123</v>
      </c>
      <c r="C169" s="43">
        <v>775</v>
      </c>
      <c r="D169" s="44">
        <v>45871</v>
      </c>
      <c r="E169" s="45" t="s">
        <v>2237</v>
      </c>
      <c r="F169" s="46" t="s">
        <v>37</v>
      </c>
      <c r="G169" s="46" t="s">
        <v>906</v>
      </c>
      <c r="H169" s="46" t="s">
        <v>965</v>
      </c>
      <c r="I169" s="46" t="s">
        <v>530</v>
      </c>
      <c r="J169" s="46" t="s">
        <v>968</v>
      </c>
      <c r="K169" s="43">
        <v>42</v>
      </c>
      <c r="L169" s="43">
        <v>388</v>
      </c>
      <c r="M169" s="47">
        <v>0.10796915167095116</v>
      </c>
      <c r="N169" s="47">
        <v>82.1</v>
      </c>
      <c r="O169" s="46" t="s">
        <v>4284</v>
      </c>
      <c r="P169" s="43">
        <v>511</v>
      </c>
      <c r="Q169" s="43">
        <v>30</v>
      </c>
      <c r="R169" s="45" t="s">
        <v>4283</v>
      </c>
      <c r="S169" s="46" t="s">
        <v>2238</v>
      </c>
    </row>
    <row r="170" spans="1:19" ht="42">
      <c r="A170" s="43">
        <v>166</v>
      </c>
      <c r="B170" s="43">
        <v>183</v>
      </c>
      <c r="C170" s="43">
        <v>1261</v>
      </c>
      <c r="D170" s="44">
        <v>46150</v>
      </c>
      <c r="E170" s="45" t="s">
        <v>1626</v>
      </c>
      <c r="F170" s="46" t="s">
        <v>37</v>
      </c>
      <c r="G170" s="46" t="s">
        <v>878</v>
      </c>
      <c r="H170" s="46" t="s">
        <v>965</v>
      </c>
      <c r="I170" s="46" t="s">
        <v>515</v>
      </c>
      <c r="J170" s="46" t="s">
        <v>977</v>
      </c>
      <c r="K170" s="43">
        <v>34</v>
      </c>
      <c r="L170" s="43">
        <v>109</v>
      </c>
      <c r="M170" s="47">
        <v>0.30909090909090908</v>
      </c>
      <c r="N170" s="47">
        <v>82.1</v>
      </c>
      <c r="O170" s="46" t="s">
        <v>4284</v>
      </c>
      <c r="P170" s="43">
        <v>435</v>
      </c>
      <c r="Q170" s="43">
        <v>20</v>
      </c>
      <c r="R170" s="45" t="s">
        <v>4272</v>
      </c>
      <c r="S170" s="46" t="s">
        <v>1627</v>
      </c>
    </row>
    <row r="171" spans="1:19" ht="42">
      <c r="A171" s="43">
        <v>167</v>
      </c>
      <c r="B171" s="43">
        <v>191</v>
      </c>
      <c r="C171" s="43">
        <v>1303</v>
      </c>
      <c r="D171" s="44">
        <v>46182</v>
      </c>
      <c r="E171" s="45" t="s">
        <v>1535</v>
      </c>
      <c r="F171" s="46" t="s">
        <v>360</v>
      </c>
      <c r="G171" s="46" t="s">
        <v>885</v>
      </c>
      <c r="H171" s="46" t="s">
        <v>965</v>
      </c>
      <c r="I171" s="46" t="s">
        <v>536</v>
      </c>
      <c r="J171" s="46" t="s">
        <v>977</v>
      </c>
      <c r="K171" s="43">
        <v>33</v>
      </c>
      <c r="L171" s="43">
        <v>77</v>
      </c>
      <c r="M171" s="47">
        <v>0.42307692307692307</v>
      </c>
      <c r="N171" s="47">
        <v>82.1</v>
      </c>
      <c r="O171" s="46" t="s">
        <v>4284</v>
      </c>
      <c r="P171" s="43">
        <v>406</v>
      </c>
      <c r="Q171" s="43">
        <v>20</v>
      </c>
      <c r="R171" s="45" t="s">
        <v>4275</v>
      </c>
      <c r="S171" s="46" t="s">
        <v>1536</v>
      </c>
    </row>
    <row r="172" spans="1:19" ht="31.5">
      <c r="A172" s="43">
        <v>168</v>
      </c>
      <c r="B172" s="43">
        <v>298</v>
      </c>
      <c r="C172" s="43">
        <v>1485</v>
      </c>
      <c r="D172" s="44">
        <v>46257</v>
      </c>
      <c r="E172" s="45" t="s">
        <v>1032</v>
      </c>
      <c r="F172" s="46" t="s">
        <v>37</v>
      </c>
      <c r="G172" s="46" t="s">
        <v>908</v>
      </c>
      <c r="H172" s="46" t="s">
        <v>965</v>
      </c>
      <c r="I172" s="46" t="s">
        <v>515</v>
      </c>
      <c r="J172" s="46" t="s">
        <v>977</v>
      </c>
      <c r="K172" s="43">
        <v>26</v>
      </c>
      <c r="L172" s="43">
        <v>2</v>
      </c>
      <c r="M172" s="47">
        <v>8.6666666666666661</v>
      </c>
      <c r="N172" s="47">
        <v>82.1</v>
      </c>
      <c r="O172" s="46" t="s">
        <v>4284</v>
      </c>
      <c r="P172" s="43">
        <v>1036</v>
      </c>
      <c r="Q172" s="43">
        <v>50</v>
      </c>
      <c r="R172" s="45" t="s">
        <v>4264</v>
      </c>
      <c r="S172" s="46" t="s">
        <v>1033</v>
      </c>
    </row>
    <row r="173" spans="1:19" ht="42">
      <c r="A173" s="43">
        <v>169</v>
      </c>
      <c r="B173" s="43">
        <v>23</v>
      </c>
      <c r="C173" s="43">
        <v>40</v>
      </c>
      <c r="D173" s="44">
        <v>44686</v>
      </c>
      <c r="E173" s="45" t="s">
        <v>4027</v>
      </c>
      <c r="F173" s="46" t="s">
        <v>37</v>
      </c>
      <c r="G173" s="46" t="s">
        <v>894</v>
      </c>
      <c r="H173" s="46" t="s">
        <v>965</v>
      </c>
      <c r="I173" s="46" t="s">
        <v>522</v>
      </c>
      <c r="J173" s="46" t="s">
        <v>977</v>
      </c>
      <c r="K173" s="43">
        <v>68</v>
      </c>
      <c r="L173" s="43">
        <v>1573</v>
      </c>
      <c r="M173" s="47">
        <v>4.3202033036848796E-2</v>
      </c>
      <c r="N173" s="47">
        <v>82</v>
      </c>
      <c r="O173" s="46" t="s">
        <v>4284</v>
      </c>
      <c r="P173" s="43">
        <v>114</v>
      </c>
      <c r="Q173" s="43">
        <v>20</v>
      </c>
      <c r="R173" s="45" t="s">
        <v>4275</v>
      </c>
      <c r="S173" s="46" t="s">
        <v>4028</v>
      </c>
    </row>
    <row r="174" spans="1:19" ht="42">
      <c r="A174" s="43">
        <v>170</v>
      </c>
      <c r="B174" s="43">
        <v>161</v>
      </c>
      <c r="C174" s="43">
        <v>832</v>
      </c>
      <c r="D174" s="44">
        <v>46055</v>
      </c>
      <c r="E174" s="45" t="s">
        <v>1831</v>
      </c>
      <c r="F174" s="46" t="s">
        <v>37</v>
      </c>
      <c r="G174" s="46" t="s">
        <v>924</v>
      </c>
      <c r="H174" s="46" t="s">
        <v>1317</v>
      </c>
      <c r="I174" s="46" t="s">
        <v>512</v>
      </c>
      <c r="J174" s="46" t="s">
        <v>977</v>
      </c>
      <c r="K174" s="43">
        <v>37</v>
      </c>
      <c r="L174" s="43">
        <v>204</v>
      </c>
      <c r="M174" s="47">
        <v>0.18048780487804877</v>
      </c>
      <c r="N174" s="47">
        <v>81.8</v>
      </c>
      <c r="O174" s="46" t="s">
        <v>4284</v>
      </c>
      <c r="P174" s="43">
        <v>468</v>
      </c>
      <c r="Q174" s="43">
        <v>10</v>
      </c>
      <c r="R174" s="45" t="s">
        <v>4281</v>
      </c>
      <c r="S174" s="46" t="s">
        <v>1832</v>
      </c>
    </row>
    <row r="175" spans="1:19" ht="42">
      <c r="A175" s="43">
        <v>171</v>
      </c>
      <c r="B175" s="43">
        <v>162</v>
      </c>
      <c r="C175" s="43">
        <v>1100</v>
      </c>
      <c r="D175" s="44">
        <v>46046</v>
      </c>
      <c r="E175" s="45" t="s">
        <v>1863</v>
      </c>
      <c r="F175" s="46" t="s">
        <v>382</v>
      </c>
      <c r="G175" s="46" t="s">
        <v>932</v>
      </c>
      <c r="H175" s="46" t="s">
        <v>1317</v>
      </c>
      <c r="I175" s="46" t="s">
        <v>512</v>
      </c>
      <c r="J175" s="46" t="s">
        <v>977</v>
      </c>
      <c r="K175" s="43">
        <v>37</v>
      </c>
      <c r="L175" s="43">
        <v>213</v>
      </c>
      <c r="M175" s="47">
        <v>0.17289719626168223</v>
      </c>
      <c r="N175" s="47">
        <v>81.7</v>
      </c>
      <c r="O175" s="46" t="s">
        <v>4284</v>
      </c>
      <c r="P175" s="43">
        <v>650</v>
      </c>
      <c r="Q175" s="43">
        <v>20</v>
      </c>
      <c r="R175" s="45" t="s">
        <v>4278</v>
      </c>
      <c r="S175" s="46" t="s">
        <v>1864</v>
      </c>
    </row>
    <row r="176" spans="1:19" ht="31.5">
      <c r="A176" s="43">
        <v>172</v>
      </c>
      <c r="B176" s="43">
        <v>192</v>
      </c>
      <c r="C176" s="43">
        <v>1279</v>
      </c>
      <c r="D176" s="44">
        <v>46165</v>
      </c>
      <c r="E176" s="45" t="s">
        <v>1575</v>
      </c>
      <c r="F176" s="46" t="s">
        <v>37</v>
      </c>
      <c r="G176" s="46" t="s">
        <v>894</v>
      </c>
      <c r="H176" s="46" t="s">
        <v>965</v>
      </c>
      <c r="I176" s="46" t="s">
        <v>522</v>
      </c>
      <c r="J176" s="46" t="s">
        <v>977</v>
      </c>
      <c r="K176" s="43">
        <v>33</v>
      </c>
      <c r="L176" s="43">
        <v>94</v>
      </c>
      <c r="M176" s="47">
        <v>0.3473684210526316</v>
      </c>
      <c r="N176" s="47">
        <v>81.7</v>
      </c>
      <c r="O176" s="46" t="s">
        <v>4284</v>
      </c>
      <c r="P176" s="43">
        <v>589</v>
      </c>
      <c r="Q176" s="43">
        <v>30</v>
      </c>
      <c r="R176" s="45" t="s">
        <v>4266</v>
      </c>
      <c r="S176" s="46" t="s">
        <v>1576</v>
      </c>
    </row>
    <row r="177" spans="1:19" ht="42">
      <c r="A177" s="43">
        <v>173</v>
      </c>
      <c r="B177" s="43">
        <v>156</v>
      </c>
      <c r="C177" s="43">
        <v>1142</v>
      </c>
      <c r="D177" s="44">
        <v>45999</v>
      </c>
      <c r="E177" s="45" t="s">
        <v>2032</v>
      </c>
      <c r="F177" s="46" t="s">
        <v>360</v>
      </c>
      <c r="G177" s="46" t="s">
        <v>885</v>
      </c>
      <c r="H177" s="46" t="s">
        <v>965</v>
      </c>
      <c r="I177" s="46" t="s">
        <v>515</v>
      </c>
      <c r="J177" s="46" t="s">
        <v>968</v>
      </c>
      <c r="K177" s="43">
        <v>38</v>
      </c>
      <c r="L177" s="43">
        <v>260</v>
      </c>
      <c r="M177" s="47">
        <v>0.14559386973180077</v>
      </c>
      <c r="N177" s="47">
        <v>81.599999999999994</v>
      </c>
      <c r="O177" s="46" t="s">
        <v>4284</v>
      </c>
      <c r="P177" s="43">
        <v>355</v>
      </c>
      <c r="Q177" s="43">
        <v>20</v>
      </c>
      <c r="R177" s="45" t="s">
        <v>4275</v>
      </c>
      <c r="S177" s="46" t="s">
        <v>2033</v>
      </c>
    </row>
    <row r="178" spans="1:19" ht="42">
      <c r="A178" s="43">
        <v>174</v>
      </c>
      <c r="B178" s="43">
        <v>30</v>
      </c>
      <c r="C178" s="43">
        <v>83</v>
      </c>
      <c r="D178" s="44">
        <v>44741</v>
      </c>
      <c r="E178" s="45" t="s">
        <v>3955</v>
      </c>
      <c r="F178" s="46" t="s">
        <v>37</v>
      </c>
      <c r="G178" s="46" t="s">
        <v>878</v>
      </c>
      <c r="H178" s="46" t="s">
        <v>965</v>
      </c>
      <c r="I178" s="46" t="s">
        <v>526</v>
      </c>
      <c r="J178" s="46" t="s">
        <v>977</v>
      </c>
      <c r="K178" s="43">
        <v>65</v>
      </c>
      <c r="L178" s="43">
        <v>1518</v>
      </c>
      <c r="M178" s="47">
        <v>4.2791310072416065E-2</v>
      </c>
      <c r="N178" s="47">
        <v>81.400000000000006</v>
      </c>
      <c r="O178" s="46" t="s">
        <v>4284</v>
      </c>
      <c r="P178" s="43">
        <v>497</v>
      </c>
      <c r="Q178" s="43">
        <v>20</v>
      </c>
      <c r="R178" s="45" t="s">
        <v>4275</v>
      </c>
      <c r="S178" s="46" t="s">
        <v>3956</v>
      </c>
    </row>
    <row r="179" spans="1:19" ht="31.5">
      <c r="A179" s="43">
        <v>175</v>
      </c>
      <c r="B179" s="43">
        <v>266</v>
      </c>
      <c r="C179" s="43">
        <v>1452</v>
      </c>
      <c r="D179" s="44">
        <v>46246</v>
      </c>
      <c r="E179" s="45" t="s">
        <v>1156</v>
      </c>
      <c r="F179" s="46" t="s">
        <v>360</v>
      </c>
      <c r="G179" s="46" t="s">
        <v>889</v>
      </c>
      <c r="H179" s="46" t="s">
        <v>965</v>
      </c>
      <c r="I179" s="46" t="s">
        <v>515</v>
      </c>
      <c r="J179" s="46" t="s">
        <v>977</v>
      </c>
      <c r="K179" s="43">
        <v>28</v>
      </c>
      <c r="L179" s="43">
        <v>13</v>
      </c>
      <c r="M179" s="47">
        <v>2</v>
      </c>
      <c r="N179" s="47">
        <v>81.400000000000006</v>
      </c>
      <c r="O179" s="46" t="s">
        <v>4284</v>
      </c>
      <c r="P179" s="43">
        <v>222</v>
      </c>
      <c r="Q179" s="43">
        <v>40</v>
      </c>
      <c r="R179" s="45" t="s">
        <v>4289</v>
      </c>
      <c r="S179" s="46" t="s">
        <v>1157</v>
      </c>
    </row>
    <row r="180" spans="1:19" ht="42">
      <c r="A180" s="43">
        <v>176</v>
      </c>
      <c r="B180" s="43">
        <v>31</v>
      </c>
      <c r="C180" s="43">
        <v>82</v>
      </c>
      <c r="D180" s="44">
        <v>44738</v>
      </c>
      <c r="E180" s="45" t="s">
        <v>3958</v>
      </c>
      <c r="F180" s="46" t="s">
        <v>37</v>
      </c>
      <c r="G180" s="46" t="s">
        <v>878</v>
      </c>
      <c r="H180" s="46" t="s">
        <v>965</v>
      </c>
      <c r="I180" s="46" t="s">
        <v>522</v>
      </c>
      <c r="J180" s="46" t="s">
        <v>977</v>
      </c>
      <c r="K180" s="43">
        <v>65</v>
      </c>
      <c r="L180" s="43">
        <v>1521</v>
      </c>
      <c r="M180" s="47">
        <v>4.2706964520367936E-2</v>
      </c>
      <c r="N180" s="47">
        <v>81.3</v>
      </c>
      <c r="O180" s="46" t="s">
        <v>4284</v>
      </c>
      <c r="P180" s="43">
        <v>623</v>
      </c>
      <c r="Q180" s="43">
        <v>20</v>
      </c>
      <c r="R180" s="45" t="s">
        <v>4278</v>
      </c>
      <c r="S180" s="46" t="s">
        <v>3959</v>
      </c>
    </row>
    <row r="181" spans="1:19" ht="21">
      <c r="A181" s="43">
        <v>177</v>
      </c>
      <c r="B181" s="43">
        <v>267</v>
      </c>
      <c r="C181" s="43">
        <v>1446</v>
      </c>
      <c r="D181" s="44">
        <v>46245</v>
      </c>
      <c r="E181" s="45" t="s">
        <v>1176</v>
      </c>
      <c r="F181" s="46" t="s">
        <v>37</v>
      </c>
      <c r="G181" s="46" t="s">
        <v>891</v>
      </c>
      <c r="H181" s="46" t="s">
        <v>965</v>
      </c>
      <c r="I181" s="46" t="s">
        <v>519</v>
      </c>
      <c r="J181" s="46" t="s">
        <v>968</v>
      </c>
      <c r="K181" s="43">
        <v>28</v>
      </c>
      <c r="L181" s="43">
        <v>14</v>
      </c>
      <c r="M181" s="47">
        <v>1.8666666666666667</v>
      </c>
      <c r="N181" s="47">
        <v>81.2</v>
      </c>
      <c r="O181" s="46" t="s">
        <v>4284</v>
      </c>
      <c r="P181" s="43">
        <v>722</v>
      </c>
      <c r="Q181" s="43">
        <v>60</v>
      </c>
      <c r="R181" s="45" t="s">
        <v>4267</v>
      </c>
      <c r="S181" s="46" t="s">
        <v>1177</v>
      </c>
    </row>
    <row r="182" spans="1:19" ht="31.5">
      <c r="A182" s="43">
        <v>178</v>
      </c>
      <c r="B182" s="43">
        <v>221</v>
      </c>
      <c r="C182" s="43">
        <v>1326</v>
      </c>
      <c r="D182" s="44">
        <v>46203</v>
      </c>
      <c r="E182" s="45" t="s">
        <v>1490</v>
      </c>
      <c r="F182" s="46" t="s">
        <v>37</v>
      </c>
      <c r="G182" s="46" t="s">
        <v>1038</v>
      </c>
      <c r="H182" s="46" t="s">
        <v>1134</v>
      </c>
      <c r="I182" s="46" t="s">
        <v>522</v>
      </c>
      <c r="J182" s="46" t="s">
        <v>977</v>
      </c>
      <c r="K182" s="43">
        <v>31</v>
      </c>
      <c r="L182" s="43">
        <v>56</v>
      </c>
      <c r="M182" s="47">
        <v>0.54385964912280704</v>
      </c>
      <c r="N182" s="47">
        <v>81.099999999999994</v>
      </c>
      <c r="O182" s="46" t="s">
        <v>4284</v>
      </c>
      <c r="P182" s="43">
        <v>274</v>
      </c>
      <c r="Q182" s="43">
        <v>30</v>
      </c>
      <c r="R182" s="45" t="s">
        <v>4279</v>
      </c>
      <c r="S182" s="46" t="s">
        <v>1491</v>
      </c>
    </row>
    <row r="183" spans="1:19" ht="42">
      <c r="A183" s="43">
        <v>179</v>
      </c>
      <c r="B183" s="43">
        <v>193</v>
      </c>
      <c r="C183" s="43">
        <v>1213</v>
      </c>
      <c r="D183" s="44">
        <v>46133</v>
      </c>
      <c r="E183" s="45" t="s">
        <v>1713</v>
      </c>
      <c r="F183" s="46" t="s">
        <v>37</v>
      </c>
      <c r="G183" s="46" t="s">
        <v>884</v>
      </c>
      <c r="H183" s="46" t="s">
        <v>965</v>
      </c>
      <c r="I183" s="46" t="s">
        <v>515</v>
      </c>
      <c r="J183" s="46" t="s">
        <v>968</v>
      </c>
      <c r="K183" s="43">
        <v>33</v>
      </c>
      <c r="L183" s="43">
        <v>126</v>
      </c>
      <c r="M183" s="47">
        <v>0.25984251968503935</v>
      </c>
      <c r="N183" s="47">
        <v>81</v>
      </c>
      <c r="O183" s="46" t="s">
        <v>4284</v>
      </c>
      <c r="P183" s="43">
        <v>281</v>
      </c>
      <c r="Q183" s="43">
        <v>20</v>
      </c>
      <c r="R183" s="45" t="s">
        <v>4272</v>
      </c>
      <c r="S183" s="46" t="s">
        <v>1714</v>
      </c>
    </row>
    <row r="184" spans="1:19" ht="31.5">
      <c r="A184" s="43">
        <v>180</v>
      </c>
      <c r="B184" s="43">
        <v>222</v>
      </c>
      <c r="C184" s="43">
        <v>1316</v>
      </c>
      <c r="D184" s="44">
        <v>46192</v>
      </c>
      <c r="E184" s="45" t="s">
        <v>1508</v>
      </c>
      <c r="F184" s="46" t="s">
        <v>37</v>
      </c>
      <c r="G184" s="46" t="s">
        <v>1038</v>
      </c>
      <c r="H184" s="46" t="s">
        <v>1005</v>
      </c>
      <c r="I184" s="46" t="s">
        <v>519</v>
      </c>
      <c r="J184" s="46" t="s">
        <v>968</v>
      </c>
      <c r="K184" s="43">
        <v>31</v>
      </c>
      <c r="L184" s="43">
        <v>67</v>
      </c>
      <c r="M184" s="47">
        <v>0.45588235294117646</v>
      </c>
      <c r="N184" s="47">
        <v>80.599999999999994</v>
      </c>
      <c r="O184" s="46" t="s">
        <v>4284</v>
      </c>
      <c r="P184" s="43">
        <v>314</v>
      </c>
      <c r="Q184" s="43">
        <v>30</v>
      </c>
      <c r="R184" s="45" t="s">
        <v>4279</v>
      </c>
      <c r="S184" s="46" t="s">
        <v>1509</v>
      </c>
    </row>
    <row r="185" spans="1:19" ht="42">
      <c r="A185" s="43">
        <v>181</v>
      </c>
      <c r="B185" s="43">
        <v>236</v>
      </c>
      <c r="C185" s="43">
        <v>1355</v>
      </c>
      <c r="D185" s="44">
        <v>46211</v>
      </c>
      <c r="E185" s="45" t="s">
        <v>1434</v>
      </c>
      <c r="F185" s="46" t="s">
        <v>37</v>
      </c>
      <c r="G185" s="46" t="s">
        <v>1038</v>
      </c>
      <c r="H185" s="46" t="s">
        <v>1038</v>
      </c>
      <c r="I185" s="46" t="s">
        <v>533</v>
      </c>
      <c r="J185" s="46" t="s">
        <v>977</v>
      </c>
      <c r="K185" s="43">
        <v>30</v>
      </c>
      <c r="L185" s="43">
        <v>48</v>
      </c>
      <c r="M185" s="47">
        <v>0.61224489795918369</v>
      </c>
      <c r="N185" s="47">
        <v>80.599999999999994</v>
      </c>
      <c r="O185" s="46" t="s">
        <v>4284</v>
      </c>
      <c r="P185" s="43">
        <v>327</v>
      </c>
      <c r="Q185" s="43">
        <v>10</v>
      </c>
      <c r="R185" s="45" t="s">
        <v>4281</v>
      </c>
      <c r="S185" s="46" t="s">
        <v>1435</v>
      </c>
    </row>
    <row r="186" spans="1:19" ht="42">
      <c r="A186" s="43">
        <v>182</v>
      </c>
      <c r="B186" s="43">
        <v>184</v>
      </c>
      <c r="C186" s="43">
        <v>1101</v>
      </c>
      <c r="D186" s="44">
        <v>46047</v>
      </c>
      <c r="E186" s="45" t="s">
        <v>1857</v>
      </c>
      <c r="F186" s="46" t="s">
        <v>382</v>
      </c>
      <c r="G186" s="46" t="s">
        <v>878</v>
      </c>
      <c r="H186" s="46" t="s">
        <v>965</v>
      </c>
      <c r="I186" s="46" t="s">
        <v>512</v>
      </c>
      <c r="J186" s="46" t="s">
        <v>968</v>
      </c>
      <c r="K186" s="43">
        <v>34</v>
      </c>
      <c r="L186" s="43">
        <v>212</v>
      </c>
      <c r="M186" s="47">
        <v>0.15962441314553991</v>
      </c>
      <c r="N186" s="47">
        <v>80.3</v>
      </c>
      <c r="O186" s="46" t="s">
        <v>4284</v>
      </c>
      <c r="P186" s="43">
        <v>642</v>
      </c>
      <c r="Q186" s="43">
        <v>20</v>
      </c>
      <c r="R186" s="45" t="s">
        <v>4278</v>
      </c>
      <c r="S186" s="46" t="s">
        <v>1858</v>
      </c>
    </row>
    <row r="187" spans="1:19" ht="42">
      <c r="A187" s="43">
        <v>183</v>
      </c>
      <c r="B187" s="43">
        <v>223</v>
      </c>
      <c r="C187" s="43">
        <v>1306</v>
      </c>
      <c r="D187" s="44">
        <v>46183</v>
      </c>
      <c r="E187" s="45" t="s">
        <v>1529</v>
      </c>
      <c r="F187" s="46" t="s">
        <v>37</v>
      </c>
      <c r="G187" s="46" t="s">
        <v>1038</v>
      </c>
      <c r="H187" s="46" t="s">
        <v>1005</v>
      </c>
      <c r="I187" s="46" t="s">
        <v>526</v>
      </c>
      <c r="J187" s="46" t="s">
        <v>968</v>
      </c>
      <c r="K187" s="43">
        <v>31</v>
      </c>
      <c r="L187" s="43">
        <v>76</v>
      </c>
      <c r="M187" s="47">
        <v>0.40259740259740262</v>
      </c>
      <c r="N187" s="47">
        <v>80.3</v>
      </c>
      <c r="O187" s="46" t="s">
        <v>4284</v>
      </c>
      <c r="P187" s="43">
        <v>285</v>
      </c>
      <c r="Q187" s="43">
        <v>10</v>
      </c>
      <c r="R187" s="45" t="s">
        <v>4281</v>
      </c>
      <c r="S187" s="46" t="s">
        <v>1530</v>
      </c>
    </row>
    <row r="188" spans="1:19" ht="42">
      <c r="A188" s="43">
        <v>184</v>
      </c>
      <c r="B188" s="43">
        <v>244</v>
      </c>
      <c r="C188" s="43">
        <v>1392</v>
      </c>
      <c r="D188" s="44">
        <v>46225</v>
      </c>
      <c r="E188" s="45" t="s">
        <v>1344</v>
      </c>
      <c r="F188" s="46" t="s">
        <v>360</v>
      </c>
      <c r="G188" s="46" t="s">
        <v>904</v>
      </c>
      <c r="H188" s="46" t="s">
        <v>965</v>
      </c>
      <c r="I188" s="46" t="s">
        <v>519</v>
      </c>
      <c r="J188" s="46" t="s">
        <v>977</v>
      </c>
      <c r="K188" s="43">
        <v>29</v>
      </c>
      <c r="L188" s="43">
        <v>34</v>
      </c>
      <c r="M188" s="47">
        <v>0.82857142857142863</v>
      </c>
      <c r="N188" s="47">
        <v>80.3</v>
      </c>
      <c r="O188" s="46" t="s">
        <v>4284</v>
      </c>
      <c r="P188" s="43">
        <v>227</v>
      </c>
      <c r="Q188" s="43">
        <v>20</v>
      </c>
      <c r="R188" s="45" t="s">
        <v>4272</v>
      </c>
      <c r="S188" s="46" t="s">
        <v>1345</v>
      </c>
    </row>
    <row r="189" spans="1:19" ht="42">
      <c r="A189" s="43">
        <v>185</v>
      </c>
      <c r="B189" s="43">
        <v>124</v>
      </c>
      <c r="C189" s="43">
        <v>1041</v>
      </c>
      <c r="D189" s="44">
        <v>45678</v>
      </c>
      <c r="E189" s="45" t="s">
        <v>2566</v>
      </c>
      <c r="F189" s="46" t="s">
        <v>382</v>
      </c>
      <c r="G189" s="46" t="s">
        <v>907</v>
      </c>
      <c r="H189" s="46" t="s">
        <v>965</v>
      </c>
      <c r="I189" s="46" t="s">
        <v>522</v>
      </c>
      <c r="J189" s="46" t="s">
        <v>977</v>
      </c>
      <c r="K189" s="43">
        <v>42</v>
      </c>
      <c r="L189" s="43">
        <v>581</v>
      </c>
      <c r="M189" s="47">
        <v>7.2164948453608241E-2</v>
      </c>
      <c r="N189" s="47">
        <v>80.2</v>
      </c>
      <c r="O189" s="46" t="s">
        <v>4284</v>
      </c>
      <c r="P189" s="43">
        <v>671</v>
      </c>
      <c r="Q189" s="43">
        <v>20</v>
      </c>
      <c r="R189" s="45" t="s">
        <v>4278</v>
      </c>
      <c r="S189" s="46" t="s">
        <v>2567</v>
      </c>
    </row>
    <row r="190" spans="1:19" ht="42">
      <c r="A190" s="43">
        <v>186</v>
      </c>
      <c r="B190" s="43">
        <v>185</v>
      </c>
      <c r="C190" s="43">
        <v>823</v>
      </c>
      <c r="D190" s="44">
        <v>46043</v>
      </c>
      <c r="E190" s="45" t="s">
        <v>1881</v>
      </c>
      <c r="F190" s="46" t="s">
        <v>37</v>
      </c>
      <c r="G190" s="46" t="s">
        <v>1038</v>
      </c>
      <c r="H190" s="46" t="s">
        <v>1038</v>
      </c>
      <c r="I190" s="46" t="s">
        <v>512</v>
      </c>
      <c r="J190" s="46" t="s">
        <v>977</v>
      </c>
      <c r="K190" s="43">
        <v>34</v>
      </c>
      <c r="L190" s="43">
        <v>216</v>
      </c>
      <c r="M190" s="47">
        <v>0.15668202764976957</v>
      </c>
      <c r="N190" s="47">
        <v>80.2</v>
      </c>
      <c r="O190" s="46" t="s">
        <v>4284</v>
      </c>
      <c r="P190" s="43">
        <v>680</v>
      </c>
      <c r="Q190" s="43">
        <v>20</v>
      </c>
      <c r="R190" s="45" t="s">
        <v>4278</v>
      </c>
      <c r="S190" s="46" t="s">
        <v>1882</v>
      </c>
    </row>
    <row r="191" spans="1:19" ht="21">
      <c r="A191" s="43">
        <v>187</v>
      </c>
      <c r="B191" s="43">
        <v>285</v>
      </c>
      <c r="C191" s="43">
        <v>1448</v>
      </c>
      <c r="D191" s="44">
        <v>46245</v>
      </c>
      <c r="E191" s="45" t="s">
        <v>1170</v>
      </c>
      <c r="F191" s="46" t="s">
        <v>37</v>
      </c>
      <c r="G191" s="46" t="s">
        <v>1038</v>
      </c>
      <c r="H191" s="46" t="s">
        <v>1038</v>
      </c>
      <c r="I191" s="46" t="s">
        <v>512</v>
      </c>
      <c r="J191" s="46" t="s">
        <v>977</v>
      </c>
      <c r="K191" s="43">
        <v>27</v>
      </c>
      <c r="L191" s="43">
        <v>14</v>
      </c>
      <c r="M191" s="47">
        <v>1.8</v>
      </c>
      <c r="N191" s="47">
        <v>80.2</v>
      </c>
      <c r="O191" s="46" t="s">
        <v>4284</v>
      </c>
      <c r="P191" s="43">
        <v>1281</v>
      </c>
      <c r="Q191" s="43">
        <v>50</v>
      </c>
      <c r="R191" s="45" t="s">
        <v>4268</v>
      </c>
      <c r="S191" s="46" t="s">
        <v>1171</v>
      </c>
    </row>
    <row r="192" spans="1:19" ht="31.5">
      <c r="A192" s="43">
        <v>188</v>
      </c>
      <c r="B192" s="43">
        <v>91</v>
      </c>
      <c r="C192" s="43">
        <v>449</v>
      </c>
      <c r="D192" s="44">
        <v>45347</v>
      </c>
      <c r="E192" s="45" t="s">
        <v>3308</v>
      </c>
      <c r="F192" s="46" t="s">
        <v>37</v>
      </c>
      <c r="G192" s="46" t="s">
        <v>1038</v>
      </c>
      <c r="H192" s="46" t="s">
        <v>1038</v>
      </c>
      <c r="I192" s="46" t="s">
        <v>512</v>
      </c>
      <c r="J192" s="46" t="s">
        <v>968</v>
      </c>
      <c r="K192" s="43">
        <v>47</v>
      </c>
      <c r="L192" s="43">
        <v>912</v>
      </c>
      <c r="M192" s="47">
        <v>5.1478641840087623E-2</v>
      </c>
      <c r="N192" s="47">
        <v>80</v>
      </c>
      <c r="O192" s="46" t="s">
        <v>4284</v>
      </c>
      <c r="P192" s="43">
        <v>5498</v>
      </c>
      <c r="Q192" s="43">
        <v>30</v>
      </c>
      <c r="R192" s="45" t="s">
        <v>4283</v>
      </c>
      <c r="S192" s="46" t="s">
        <v>3309</v>
      </c>
    </row>
    <row r="193" spans="1:19" ht="42">
      <c r="A193" s="43">
        <v>189</v>
      </c>
      <c r="B193" s="43">
        <v>194</v>
      </c>
      <c r="C193" s="43">
        <v>850</v>
      </c>
      <c r="D193" s="44">
        <v>46060</v>
      </c>
      <c r="E193" s="45" t="s">
        <v>1812</v>
      </c>
      <c r="F193" s="46" t="s">
        <v>37</v>
      </c>
      <c r="G193" s="46" t="s">
        <v>887</v>
      </c>
      <c r="H193" s="46" t="s">
        <v>965</v>
      </c>
      <c r="I193" s="46" t="s">
        <v>512</v>
      </c>
      <c r="J193" s="46" t="s">
        <v>977</v>
      </c>
      <c r="K193" s="43">
        <v>33</v>
      </c>
      <c r="L193" s="43">
        <v>199</v>
      </c>
      <c r="M193" s="47">
        <v>0.16500000000000001</v>
      </c>
      <c r="N193" s="47">
        <v>79.7</v>
      </c>
      <c r="O193" s="46" t="s">
        <v>4284</v>
      </c>
      <c r="P193" s="43">
        <v>604</v>
      </c>
      <c r="Q193" s="43">
        <v>20</v>
      </c>
      <c r="R193" s="45" t="s">
        <v>4278</v>
      </c>
      <c r="S193" s="46" t="s">
        <v>1813</v>
      </c>
    </row>
    <row r="194" spans="1:19" ht="42">
      <c r="A194" s="43">
        <v>190</v>
      </c>
      <c r="B194" s="43">
        <v>224</v>
      </c>
      <c r="C194" s="43">
        <v>1275</v>
      </c>
      <c r="D194" s="44">
        <v>46158</v>
      </c>
      <c r="E194" s="45" t="s">
        <v>1584</v>
      </c>
      <c r="F194" s="46" t="s">
        <v>37</v>
      </c>
      <c r="G194" s="46" t="s">
        <v>1038</v>
      </c>
      <c r="H194" s="46" t="s">
        <v>1038</v>
      </c>
      <c r="I194" s="46" t="s">
        <v>515</v>
      </c>
      <c r="J194" s="46" t="s">
        <v>977</v>
      </c>
      <c r="K194" s="43">
        <v>31</v>
      </c>
      <c r="L194" s="43">
        <v>101</v>
      </c>
      <c r="M194" s="47">
        <v>0.30392156862745096</v>
      </c>
      <c r="N194" s="47">
        <v>79.599999999999994</v>
      </c>
      <c r="O194" s="46" t="s">
        <v>4284</v>
      </c>
      <c r="P194" s="43">
        <v>320</v>
      </c>
      <c r="Q194" s="43">
        <v>20</v>
      </c>
      <c r="R194" s="45" t="s">
        <v>4272</v>
      </c>
      <c r="S194" s="46" t="s">
        <v>1585</v>
      </c>
    </row>
    <row r="195" spans="1:19" ht="31.5">
      <c r="A195" s="43">
        <v>191</v>
      </c>
      <c r="B195" s="43">
        <v>225</v>
      </c>
      <c r="C195" s="43">
        <v>1265</v>
      </c>
      <c r="D195" s="44">
        <v>46151</v>
      </c>
      <c r="E195" s="45" t="s">
        <v>1614</v>
      </c>
      <c r="F195" s="46" t="s">
        <v>37</v>
      </c>
      <c r="G195" s="46" t="s">
        <v>887</v>
      </c>
      <c r="H195" s="46" t="s">
        <v>965</v>
      </c>
      <c r="I195" s="46" t="s">
        <v>526</v>
      </c>
      <c r="J195" s="46" t="s">
        <v>977</v>
      </c>
      <c r="K195" s="43">
        <v>31</v>
      </c>
      <c r="L195" s="43">
        <v>108</v>
      </c>
      <c r="M195" s="47">
        <v>0.28440366972477066</v>
      </c>
      <c r="N195" s="47">
        <v>79.5</v>
      </c>
      <c r="O195" s="46" t="s">
        <v>4284</v>
      </c>
      <c r="P195" s="43">
        <v>821</v>
      </c>
      <c r="Q195" s="43">
        <v>30</v>
      </c>
      <c r="R195" s="45" t="s">
        <v>4266</v>
      </c>
      <c r="S195" s="46" t="s">
        <v>1615</v>
      </c>
    </row>
    <row r="196" spans="1:19" ht="31.5">
      <c r="A196" s="43">
        <v>192</v>
      </c>
      <c r="B196" s="43">
        <v>245</v>
      </c>
      <c r="C196" s="43">
        <v>1351</v>
      </c>
      <c r="D196" s="44">
        <v>46207</v>
      </c>
      <c r="E196" s="45" t="s">
        <v>1446</v>
      </c>
      <c r="F196" s="46" t="s">
        <v>37</v>
      </c>
      <c r="G196" s="46" t="s">
        <v>1038</v>
      </c>
      <c r="H196" s="46" t="s">
        <v>1005</v>
      </c>
      <c r="I196" s="46" t="s">
        <v>512</v>
      </c>
      <c r="J196" s="46" t="s">
        <v>977</v>
      </c>
      <c r="K196" s="43">
        <v>29</v>
      </c>
      <c r="L196" s="43">
        <v>52</v>
      </c>
      <c r="M196" s="47">
        <v>0.54716981132075471</v>
      </c>
      <c r="N196" s="47">
        <v>79.5</v>
      </c>
      <c r="O196" s="46" t="s">
        <v>4284</v>
      </c>
      <c r="P196" s="43">
        <v>924</v>
      </c>
      <c r="Q196" s="43">
        <v>40</v>
      </c>
      <c r="R196" s="45" t="s">
        <v>4273</v>
      </c>
      <c r="S196" s="46" t="s">
        <v>1447</v>
      </c>
    </row>
    <row r="197" spans="1:19" ht="31.5">
      <c r="A197" s="43">
        <v>193</v>
      </c>
      <c r="B197" s="43">
        <v>246</v>
      </c>
      <c r="C197" s="43">
        <v>1350</v>
      </c>
      <c r="D197" s="44">
        <v>46207</v>
      </c>
      <c r="E197" s="45" t="s">
        <v>1449</v>
      </c>
      <c r="F197" s="46" t="s">
        <v>37</v>
      </c>
      <c r="G197" s="46" t="s">
        <v>905</v>
      </c>
      <c r="H197" s="46" t="s">
        <v>965</v>
      </c>
      <c r="I197" s="46" t="s">
        <v>512</v>
      </c>
      <c r="J197" s="46" t="s">
        <v>977</v>
      </c>
      <c r="K197" s="43">
        <v>29</v>
      </c>
      <c r="L197" s="43">
        <v>52</v>
      </c>
      <c r="M197" s="47">
        <v>0.54716981132075471</v>
      </c>
      <c r="N197" s="47">
        <v>79.5</v>
      </c>
      <c r="O197" s="46" t="s">
        <v>4284</v>
      </c>
      <c r="P197" s="43">
        <v>560</v>
      </c>
      <c r="Q197" s="43">
        <v>30</v>
      </c>
      <c r="R197" s="45" t="s">
        <v>4266</v>
      </c>
      <c r="S197" s="46" t="s">
        <v>1450</v>
      </c>
    </row>
    <row r="198" spans="1:19" ht="42">
      <c r="A198" s="43">
        <v>194</v>
      </c>
      <c r="B198" s="43">
        <v>176</v>
      </c>
      <c r="C198" s="43">
        <v>1127</v>
      </c>
      <c r="D198" s="44">
        <v>45973</v>
      </c>
      <c r="E198" s="45" t="s">
        <v>2083</v>
      </c>
      <c r="F198" s="46" t="s">
        <v>360</v>
      </c>
      <c r="G198" s="46" t="s">
        <v>913</v>
      </c>
      <c r="H198" s="46" t="s">
        <v>1317</v>
      </c>
      <c r="I198" s="46" t="s">
        <v>512</v>
      </c>
      <c r="J198" s="46" t="s">
        <v>977</v>
      </c>
      <c r="K198" s="43">
        <v>35</v>
      </c>
      <c r="L198" s="43">
        <v>286</v>
      </c>
      <c r="M198" s="47">
        <v>0.12195121951219512</v>
      </c>
      <c r="N198" s="47">
        <v>79.400000000000006</v>
      </c>
      <c r="O198" s="46" t="s">
        <v>4284</v>
      </c>
      <c r="P198" s="43">
        <v>241</v>
      </c>
      <c r="Q198" s="43">
        <v>20</v>
      </c>
      <c r="R198" s="45" t="s">
        <v>4275</v>
      </c>
      <c r="S198" s="46" t="s">
        <v>2084</v>
      </c>
    </row>
    <row r="199" spans="1:19" ht="42">
      <c r="A199" s="43">
        <v>195</v>
      </c>
      <c r="B199" s="43">
        <v>226</v>
      </c>
      <c r="C199" s="43">
        <v>1219</v>
      </c>
      <c r="D199" s="44">
        <v>46137</v>
      </c>
      <c r="E199" s="45" t="s">
        <v>1704</v>
      </c>
      <c r="F199" s="46" t="s">
        <v>37</v>
      </c>
      <c r="G199" s="46" t="s">
        <v>1038</v>
      </c>
      <c r="H199" s="46" t="s">
        <v>1005</v>
      </c>
      <c r="I199" s="46" t="s">
        <v>530</v>
      </c>
      <c r="J199" s="46" t="s">
        <v>968</v>
      </c>
      <c r="K199" s="43">
        <v>31</v>
      </c>
      <c r="L199" s="43">
        <v>122</v>
      </c>
      <c r="M199" s="47">
        <v>0.25203252032520324</v>
      </c>
      <c r="N199" s="47">
        <v>79.3</v>
      </c>
      <c r="O199" s="46" t="s">
        <v>4284</v>
      </c>
      <c r="P199" s="43">
        <v>265</v>
      </c>
      <c r="Q199" s="43">
        <v>20</v>
      </c>
      <c r="R199" s="45" t="s">
        <v>4272</v>
      </c>
      <c r="S199" s="46" t="s">
        <v>1705</v>
      </c>
    </row>
    <row r="200" spans="1:19" ht="31.5">
      <c r="A200" s="43">
        <v>196</v>
      </c>
      <c r="B200" s="43">
        <v>203</v>
      </c>
      <c r="C200" s="43">
        <v>1186</v>
      </c>
      <c r="D200" s="44">
        <v>46088</v>
      </c>
      <c r="E200" s="45" t="s">
        <v>1761</v>
      </c>
      <c r="F200" s="46" t="s">
        <v>37</v>
      </c>
      <c r="G200" s="46" t="s">
        <v>1038</v>
      </c>
      <c r="H200" s="46" t="s">
        <v>1005</v>
      </c>
      <c r="I200" s="46" t="s">
        <v>515</v>
      </c>
      <c r="J200" s="46" t="s">
        <v>977</v>
      </c>
      <c r="K200" s="43">
        <v>32</v>
      </c>
      <c r="L200" s="43">
        <v>171</v>
      </c>
      <c r="M200" s="47">
        <v>0.18604651162790697</v>
      </c>
      <c r="N200" s="47">
        <v>79.2</v>
      </c>
      <c r="O200" s="46" t="s">
        <v>4284</v>
      </c>
      <c r="P200" s="43">
        <v>602</v>
      </c>
      <c r="Q200" s="43">
        <v>30</v>
      </c>
      <c r="R200" s="45" t="s">
        <v>4266</v>
      </c>
      <c r="S200" s="46" t="s">
        <v>1762</v>
      </c>
    </row>
    <row r="201" spans="1:19" ht="31.5">
      <c r="A201" s="43">
        <v>197</v>
      </c>
      <c r="B201" s="43">
        <v>131</v>
      </c>
      <c r="C201" s="43">
        <v>681</v>
      </c>
      <c r="D201" s="44">
        <v>45642</v>
      </c>
      <c r="E201" s="45" t="s">
        <v>2740</v>
      </c>
      <c r="F201" s="46" t="s">
        <v>37</v>
      </c>
      <c r="G201" s="46" t="s">
        <v>1038</v>
      </c>
      <c r="H201" s="46" t="s">
        <v>1005</v>
      </c>
      <c r="I201" s="46" t="s">
        <v>512</v>
      </c>
      <c r="J201" s="46" t="s">
        <v>968</v>
      </c>
      <c r="K201" s="43">
        <v>41</v>
      </c>
      <c r="L201" s="43">
        <v>617</v>
      </c>
      <c r="M201" s="47">
        <v>6.6343042071197414E-2</v>
      </c>
      <c r="N201" s="47">
        <v>79.099999999999994</v>
      </c>
      <c r="O201" s="46" t="s">
        <v>4284</v>
      </c>
      <c r="P201" s="43">
        <v>988</v>
      </c>
      <c r="Q201" s="43">
        <v>40</v>
      </c>
      <c r="R201" s="45" t="s">
        <v>4290</v>
      </c>
      <c r="S201" s="46" t="s">
        <v>2741</v>
      </c>
    </row>
    <row r="202" spans="1:19" ht="42">
      <c r="A202" s="43">
        <v>198</v>
      </c>
      <c r="B202" s="43">
        <v>186</v>
      </c>
      <c r="C202" s="43">
        <v>799</v>
      </c>
      <c r="D202" s="44">
        <v>45983</v>
      </c>
      <c r="E202" s="45" t="s">
        <v>2068</v>
      </c>
      <c r="F202" s="46" t="s">
        <v>37</v>
      </c>
      <c r="G202" s="46" t="s">
        <v>878</v>
      </c>
      <c r="H202" s="46" t="s">
        <v>965</v>
      </c>
      <c r="I202" s="46" t="s">
        <v>512</v>
      </c>
      <c r="J202" s="46" t="s">
        <v>977</v>
      </c>
      <c r="K202" s="43">
        <v>34</v>
      </c>
      <c r="L202" s="43">
        <v>276</v>
      </c>
      <c r="M202" s="47">
        <v>0.12274368231046931</v>
      </c>
      <c r="N202" s="47">
        <v>79.099999999999994</v>
      </c>
      <c r="O202" s="46" t="s">
        <v>4284</v>
      </c>
      <c r="P202" s="43">
        <v>887</v>
      </c>
      <c r="Q202" s="43">
        <v>20</v>
      </c>
      <c r="R202" s="45" t="s">
        <v>4278</v>
      </c>
      <c r="S202" s="46" t="s">
        <v>2069</v>
      </c>
    </row>
    <row r="203" spans="1:19" ht="31.5">
      <c r="A203" s="43">
        <v>199</v>
      </c>
      <c r="B203" s="43">
        <v>195</v>
      </c>
      <c r="C203" s="43">
        <v>1153</v>
      </c>
      <c r="D203" s="44">
        <v>46030</v>
      </c>
      <c r="E203" s="45" t="s">
        <v>1908</v>
      </c>
      <c r="F203" s="46" t="s">
        <v>360</v>
      </c>
      <c r="G203" s="46" t="s">
        <v>1038</v>
      </c>
      <c r="H203" s="46" t="s">
        <v>1005</v>
      </c>
      <c r="I203" s="46" t="s">
        <v>530</v>
      </c>
      <c r="J203" s="46" t="s">
        <v>968</v>
      </c>
      <c r="K203" s="43">
        <v>33</v>
      </c>
      <c r="L203" s="43">
        <v>229</v>
      </c>
      <c r="M203" s="47">
        <v>0.14347826086956522</v>
      </c>
      <c r="N203" s="47">
        <v>79.099999999999994</v>
      </c>
      <c r="O203" s="46" t="s">
        <v>4284</v>
      </c>
      <c r="P203" s="43">
        <v>527</v>
      </c>
      <c r="Q203" s="43">
        <v>30</v>
      </c>
      <c r="R203" s="45" t="s">
        <v>4283</v>
      </c>
      <c r="S203" s="46" t="s">
        <v>1909</v>
      </c>
    </row>
    <row r="204" spans="1:19" ht="42">
      <c r="A204" s="43">
        <v>200</v>
      </c>
      <c r="B204" s="43">
        <v>177</v>
      </c>
      <c r="C204" s="43">
        <v>791</v>
      </c>
      <c r="D204" s="44">
        <v>45913</v>
      </c>
      <c r="E204" s="45" t="s">
        <v>2149</v>
      </c>
      <c r="F204" s="46" t="s">
        <v>37</v>
      </c>
      <c r="G204" s="46" t="s">
        <v>878</v>
      </c>
      <c r="H204" s="46" t="s">
        <v>965</v>
      </c>
      <c r="I204" s="46" t="s">
        <v>515</v>
      </c>
      <c r="J204" s="46" t="s">
        <v>977</v>
      </c>
      <c r="K204" s="43">
        <v>35</v>
      </c>
      <c r="L204" s="43">
        <v>346</v>
      </c>
      <c r="M204" s="47">
        <v>0.10086455331412104</v>
      </c>
      <c r="N204" s="47">
        <v>78.599999999999994</v>
      </c>
      <c r="O204" s="46" t="s">
        <v>4284</v>
      </c>
      <c r="P204" s="43">
        <v>513</v>
      </c>
      <c r="Q204" s="43">
        <v>20</v>
      </c>
      <c r="R204" s="45" t="s">
        <v>4278</v>
      </c>
      <c r="S204" s="46" t="s">
        <v>2150</v>
      </c>
    </row>
    <row r="205" spans="1:19" ht="21">
      <c r="A205" s="43">
        <v>201</v>
      </c>
      <c r="B205" s="43">
        <v>354</v>
      </c>
      <c r="C205" s="43">
        <v>1488</v>
      </c>
      <c r="D205" s="44">
        <v>46257</v>
      </c>
      <c r="E205" s="45" t="s">
        <v>1019</v>
      </c>
      <c r="F205" s="46" t="s">
        <v>37</v>
      </c>
      <c r="G205" s="46" t="s">
        <v>1038</v>
      </c>
      <c r="H205" s="46" t="s">
        <v>1005</v>
      </c>
      <c r="I205" s="46" t="s">
        <v>533</v>
      </c>
      <c r="J205" s="46" t="s">
        <v>968</v>
      </c>
      <c r="K205" s="43">
        <v>23</v>
      </c>
      <c r="L205" s="43">
        <v>2</v>
      </c>
      <c r="M205" s="47">
        <v>7.666666666666667</v>
      </c>
      <c r="N205" s="47">
        <v>78.599999999999994</v>
      </c>
      <c r="O205" s="46" t="s">
        <v>4284</v>
      </c>
      <c r="P205" s="43">
        <v>783</v>
      </c>
      <c r="Q205" s="43">
        <v>50</v>
      </c>
      <c r="R205" s="45" t="s">
        <v>4280</v>
      </c>
      <c r="S205" s="46" t="s">
        <v>1020</v>
      </c>
    </row>
    <row r="206" spans="1:19" ht="42">
      <c r="A206" s="43">
        <v>202</v>
      </c>
      <c r="B206" s="43">
        <v>132</v>
      </c>
      <c r="C206" s="43">
        <v>633</v>
      </c>
      <c r="D206" s="44">
        <v>45577</v>
      </c>
      <c r="E206" s="45" t="s">
        <v>2865</v>
      </c>
      <c r="F206" s="46" t="s">
        <v>37</v>
      </c>
      <c r="G206" s="46" t="s">
        <v>1038</v>
      </c>
      <c r="H206" s="46" t="s">
        <v>1038</v>
      </c>
      <c r="I206" s="46" t="s">
        <v>533</v>
      </c>
      <c r="J206" s="46" t="s">
        <v>977</v>
      </c>
      <c r="K206" s="43">
        <v>41</v>
      </c>
      <c r="L206" s="43">
        <v>682</v>
      </c>
      <c r="M206" s="47">
        <v>6.0029282576866766E-2</v>
      </c>
      <c r="N206" s="47">
        <v>78.400000000000006</v>
      </c>
      <c r="O206" s="46" t="s">
        <v>4284</v>
      </c>
      <c r="P206" s="43">
        <v>690</v>
      </c>
      <c r="Q206" s="43">
        <v>20</v>
      </c>
      <c r="R206" s="45" t="s">
        <v>4278</v>
      </c>
      <c r="S206" s="46" t="s">
        <v>2866</v>
      </c>
    </row>
    <row r="207" spans="1:19" ht="42">
      <c r="A207" s="43">
        <v>203</v>
      </c>
      <c r="B207" s="43">
        <v>355</v>
      </c>
      <c r="C207" s="43">
        <v>1482</v>
      </c>
      <c r="D207" s="44">
        <v>46256</v>
      </c>
      <c r="E207" s="45" t="s">
        <v>1043</v>
      </c>
      <c r="F207" s="46" t="s">
        <v>37</v>
      </c>
      <c r="G207" s="46" t="s">
        <v>1038</v>
      </c>
      <c r="H207" s="46" t="s">
        <v>1005</v>
      </c>
      <c r="I207" s="46" t="s">
        <v>533</v>
      </c>
      <c r="J207" s="46" t="s">
        <v>977</v>
      </c>
      <c r="K207" s="43">
        <v>23</v>
      </c>
      <c r="L207" s="43">
        <v>3</v>
      </c>
      <c r="M207" s="47">
        <v>5.75</v>
      </c>
      <c r="N207" s="47">
        <v>78.400000000000006</v>
      </c>
      <c r="O207" s="46" t="s">
        <v>4284</v>
      </c>
      <c r="P207" s="43">
        <v>839</v>
      </c>
      <c r="Q207" s="43">
        <v>20</v>
      </c>
      <c r="R207" s="45" t="s">
        <v>4278</v>
      </c>
      <c r="S207" s="46" t="s">
        <v>1044</v>
      </c>
    </row>
    <row r="208" spans="1:19" ht="42">
      <c r="A208" s="43">
        <v>204</v>
      </c>
      <c r="B208" s="43">
        <v>204</v>
      </c>
      <c r="C208" s="43">
        <v>1155</v>
      </c>
      <c r="D208" s="44">
        <v>46031</v>
      </c>
      <c r="E208" s="45" t="s">
        <v>1902</v>
      </c>
      <c r="F208" s="46" t="s">
        <v>360</v>
      </c>
      <c r="G208" s="46" t="s">
        <v>1038</v>
      </c>
      <c r="H208" s="46" t="s">
        <v>1005</v>
      </c>
      <c r="I208" s="46" t="s">
        <v>519</v>
      </c>
      <c r="J208" s="46" t="s">
        <v>968</v>
      </c>
      <c r="K208" s="43">
        <v>32</v>
      </c>
      <c r="L208" s="43">
        <v>228</v>
      </c>
      <c r="M208" s="47">
        <v>0.13973799126637554</v>
      </c>
      <c r="N208" s="47">
        <v>78.2</v>
      </c>
      <c r="O208" s="46" t="s">
        <v>4284</v>
      </c>
      <c r="P208" s="43">
        <v>309</v>
      </c>
      <c r="Q208" s="43">
        <v>10</v>
      </c>
      <c r="R208" s="45" t="s">
        <v>4281</v>
      </c>
      <c r="S208" s="46" t="s">
        <v>1903</v>
      </c>
    </row>
    <row r="209" spans="1:19" ht="42">
      <c r="A209" s="43">
        <v>205</v>
      </c>
      <c r="B209" s="43">
        <v>133</v>
      </c>
      <c r="C209" s="43">
        <v>583</v>
      </c>
      <c r="D209" s="44">
        <v>45522</v>
      </c>
      <c r="E209" s="45" t="s">
        <v>3024</v>
      </c>
      <c r="F209" s="46" t="s">
        <v>37</v>
      </c>
      <c r="G209" s="46" t="s">
        <v>884</v>
      </c>
      <c r="H209" s="46" t="s">
        <v>965</v>
      </c>
      <c r="I209" s="46" t="s">
        <v>530</v>
      </c>
      <c r="J209" s="46" t="s">
        <v>977</v>
      </c>
      <c r="K209" s="43">
        <v>41</v>
      </c>
      <c r="L209" s="43">
        <v>737</v>
      </c>
      <c r="M209" s="47">
        <v>5.5555555555555552E-2</v>
      </c>
      <c r="N209" s="47">
        <v>78</v>
      </c>
      <c r="O209" s="46" t="s">
        <v>4284</v>
      </c>
      <c r="P209" s="43">
        <v>386</v>
      </c>
      <c r="Q209" s="43">
        <v>10</v>
      </c>
      <c r="R209" s="45" t="s">
        <v>4281</v>
      </c>
      <c r="S209" s="46" t="s">
        <v>3025</v>
      </c>
    </row>
    <row r="210" spans="1:19" ht="42">
      <c r="A210" s="43">
        <v>206</v>
      </c>
      <c r="B210" s="43">
        <v>171</v>
      </c>
      <c r="C210" s="43">
        <v>923</v>
      </c>
      <c r="D210" s="44">
        <v>45822</v>
      </c>
      <c r="E210" s="45" t="s">
        <v>2386</v>
      </c>
      <c r="F210" s="46" t="s">
        <v>371</v>
      </c>
      <c r="G210" s="46" t="s">
        <v>942</v>
      </c>
      <c r="H210" s="46" t="s">
        <v>965</v>
      </c>
      <c r="I210" s="46" t="s">
        <v>515</v>
      </c>
      <c r="J210" s="46" t="s">
        <v>968</v>
      </c>
      <c r="K210" s="43">
        <v>36</v>
      </c>
      <c r="L210" s="43">
        <v>437</v>
      </c>
      <c r="M210" s="47">
        <v>8.2191780821917804E-2</v>
      </c>
      <c r="N210" s="47">
        <v>77.900000000000006</v>
      </c>
      <c r="O210" s="46" t="s">
        <v>4284</v>
      </c>
      <c r="P210" s="43">
        <v>743</v>
      </c>
      <c r="Q210" s="43">
        <v>20</v>
      </c>
      <c r="R210" s="45" t="s">
        <v>4278</v>
      </c>
      <c r="S210" s="46" t="s">
        <v>2387</v>
      </c>
    </row>
    <row r="211" spans="1:19" ht="42">
      <c r="A211" s="43">
        <v>207</v>
      </c>
      <c r="B211" s="43">
        <v>187</v>
      </c>
      <c r="C211" s="43">
        <v>1092</v>
      </c>
      <c r="D211" s="44">
        <v>45906</v>
      </c>
      <c r="E211" s="45" t="s">
        <v>2180</v>
      </c>
      <c r="F211" s="46" t="s">
        <v>360</v>
      </c>
      <c r="G211" s="46" t="s">
        <v>1038</v>
      </c>
      <c r="H211" s="46" t="s">
        <v>1005</v>
      </c>
      <c r="I211" s="46" t="s">
        <v>512</v>
      </c>
      <c r="J211" s="46" t="s">
        <v>968</v>
      </c>
      <c r="K211" s="43">
        <v>34</v>
      </c>
      <c r="L211" s="43">
        <v>353</v>
      </c>
      <c r="M211" s="47">
        <v>9.6045197740112997E-2</v>
      </c>
      <c r="N211" s="47">
        <v>77.900000000000006</v>
      </c>
      <c r="O211" s="46" t="s">
        <v>4284</v>
      </c>
      <c r="P211" s="43">
        <v>263</v>
      </c>
      <c r="Q211" s="43">
        <v>10</v>
      </c>
      <c r="R211" s="45" t="s">
        <v>4281</v>
      </c>
      <c r="S211" s="46" t="s">
        <v>2181</v>
      </c>
    </row>
    <row r="212" spans="1:19" ht="42">
      <c r="A212" s="43">
        <v>208</v>
      </c>
      <c r="B212" s="43">
        <v>227</v>
      </c>
      <c r="C212" s="43">
        <v>1110</v>
      </c>
      <c r="D212" s="44">
        <v>46060</v>
      </c>
      <c r="E212" s="45" t="s">
        <v>1809</v>
      </c>
      <c r="F212" s="46" t="s">
        <v>382</v>
      </c>
      <c r="G212" s="46" t="s">
        <v>1038</v>
      </c>
      <c r="H212" s="46" t="s">
        <v>1038</v>
      </c>
      <c r="I212" s="46" t="s">
        <v>512</v>
      </c>
      <c r="J212" s="46" t="s">
        <v>977</v>
      </c>
      <c r="K212" s="43">
        <v>31</v>
      </c>
      <c r="L212" s="43">
        <v>199</v>
      </c>
      <c r="M212" s="47">
        <v>0.155</v>
      </c>
      <c r="N212" s="47">
        <v>77.8</v>
      </c>
      <c r="O212" s="46" t="s">
        <v>4284</v>
      </c>
      <c r="P212" s="43">
        <v>762</v>
      </c>
      <c r="Q212" s="43">
        <v>20</v>
      </c>
      <c r="R212" s="45" t="s">
        <v>4278</v>
      </c>
      <c r="S212" s="46" t="s">
        <v>1810</v>
      </c>
    </row>
    <row r="213" spans="1:19" ht="31.5">
      <c r="A213" s="43">
        <v>209</v>
      </c>
      <c r="B213" s="43">
        <v>247</v>
      </c>
      <c r="C213" s="43">
        <v>1269</v>
      </c>
      <c r="D213" s="44">
        <v>46153</v>
      </c>
      <c r="E213" s="45" t="s">
        <v>1602</v>
      </c>
      <c r="F213" s="46" t="s">
        <v>37</v>
      </c>
      <c r="G213" s="46" t="s">
        <v>1038</v>
      </c>
      <c r="H213" s="46" t="s">
        <v>1005</v>
      </c>
      <c r="I213" s="46" t="s">
        <v>522</v>
      </c>
      <c r="J213" s="46" t="s">
        <v>968</v>
      </c>
      <c r="K213" s="43">
        <v>29</v>
      </c>
      <c r="L213" s="43">
        <v>106</v>
      </c>
      <c r="M213" s="47">
        <v>0.27102803738317754</v>
      </c>
      <c r="N213" s="47">
        <v>77.7</v>
      </c>
      <c r="O213" s="46" t="s">
        <v>4284</v>
      </c>
      <c r="P213" s="43">
        <v>987</v>
      </c>
      <c r="Q213" s="43">
        <v>30</v>
      </c>
      <c r="R213" s="45" t="s">
        <v>4266</v>
      </c>
      <c r="S213" s="46" t="s">
        <v>1603</v>
      </c>
    </row>
    <row r="214" spans="1:19" ht="31.5">
      <c r="A214" s="43">
        <v>210</v>
      </c>
      <c r="B214" s="43">
        <v>248</v>
      </c>
      <c r="C214" s="43">
        <v>1257</v>
      </c>
      <c r="D214" s="44">
        <v>46150</v>
      </c>
      <c r="E214" s="45" t="s">
        <v>1638</v>
      </c>
      <c r="F214" s="46" t="s">
        <v>37</v>
      </c>
      <c r="G214" s="46" t="s">
        <v>887</v>
      </c>
      <c r="H214" s="46" t="s">
        <v>965</v>
      </c>
      <c r="I214" s="46" t="s">
        <v>519</v>
      </c>
      <c r="J214" s="46" t="s">
        <v>977</v>
      </c>
      <c r="K214" s="43">
        <v>29</v>
      </c>
      <c r="L214" s="43">
        <v>109</v>
      </c>
      <c r="M214" s="47">
        <v>0.26363636363636361</v>
      </c>
      <c r="N214" s="47">
        <v>77.7</v>
      </c>
      <c r="O214" s="46" t="s">
        <v>4284</v>
      </c>
      <c r="P214" s="43">
        <v>878</v>
      </c>
      <c r="Q214" s="43">
        <v>30</v>
      </c>
      <c r="R214" s="45" t="s">
        <v>4266</v>
      </c>
      <c r="S214" s="46" t="s">
        <v>1639</v>
      </c>
    </row>
    <row r="215" spans="1:19" ht="42">
      <c r="A215" s="43">
        <v>211</v>
      </c>
      <c r="B215" s="43">
        <v>228</v>
      </c>
      <c r="C215" s="43">
        <v>828</v>
      </c>
      <c r="D215" s="44">
        <v>46046</v>
      </c>
      <c r="E215" s="45" t="s">
        <v>1860</v>
      </c>
      <c r="F215" s="46" t="s">
        <v>37</v>
      </c>
      <c r="G215" s="46" t="s">
        <v>1038</v>
      </c>
      <c r="H215" s="46" t="s">
        <v>1484</v>
      </c>
      <c r="I215" s="46" t="s">
        <v>512</v>
      </c>
      <c r="J215" s="46" t="s">
        <v>977</v>
      </c>
      <c r="K215" s="43">
        <v>31</v>
      </c>
      <c r="L215" s="43">
        <v>213</v>
      </c>
      <c r="M215" s="47">
        <v>0.14485981308411214</v>
      </c>
      <c r="N215" s="47">
        <v>77.400000000000006</v>
      </c>
      <c r="O215" s="46" t="s">
        <v>4284</v>
      </c>
      <c r="P215" s="43">
        <v>716</v>
      </c>
      <c r="Q215" s="43">
        <v>20</v>
      </c>
      <c r="R215" s="45" t="s">
        <v>4278</v>
      </c>
      <c r="S215" s="46" t="s">
        <v>1861</v>
      </c>
    </row>
    <row r="216" spans="1:19" ht="31.5">
      <c r="A216" s="43">
        <v>212</v>
      </c>
      <c r="B216" s="43">
        <v>108</v>
      </c>
      <c r="C216" s="43">
        <v>332</v>
      </c>
      <c r="D216" s="44">
        <v>45246</v>
      </c>
      <c r="E216" s="45" t="s">
        <v>3531</v>
      </c>
      <c r="F216" s="46" t="s">
        <v>37</v>
      </c>
      <c r="G216" s="46" t="s">
        <v>1038</v>
      </c>
      <c r="H216" s="46" t="s">
        <v>1038</v>
      </c>
      <c r="I216" s="46" t="s">
        <v>533</v>
      </c>
      <c r="J216" s="46" t="s">
        <v>968</v>
      </c>
      <c r="K216" s="43">
        <v>44</v>
      </c>
      <c r="L216" s="43">
        <v>1013</v>
      </c>
      <c r="M216" s="47">
        <v>4.3392504930966469E-2</v>
      </c>
      <c r="N216" s="47">
        <v>77.3</v>
      </c>
      <c r="O216" s="46" t="s">
        <v>4284</v>
      </c>
      <c r="P216" s="43">
        <v>1231</v>
      </c>
      <c r="Q216" s="43">
        <v>30</v>
      </c>
      <c r="R216" s="45" t="s">
        <v>4283</v>
      </c>
      <c r="S216" s="46" t="s">
        <v>3532</v>
      </c>
    </row>
    <row r="217" spans="1:19" ht="31.5">
      <c r="A217" s="43">
        <v>213</v>
      </c>
      <c r="B217" s="43">
        <v>373</v>
      </c>
      <c r="C217" s="43">
        <v>1483</v>
      </c>
      <c r="D217" s="44">
        <v>46256</v>
      </c>
      <c r="E217" s="45" t="s">
        <v>1040</v>
      </c>
      <c r="F217" s="46" t="s">
        <v>37</v>
      </c>
      <c r="G217" s="46" t="s">
        <v>891</v>
      </c>
      <c r="H217" s="46" t="s">
        <v>965</v>
      </c>
      <c r="I217" s="46" t="s">
        <v>522</v>
      </c>
      <c r="J217" s="46" t="s">
        <v>968</v>
      </c>
      <c r="K217" s="43">
        <v>22</v>
      </c>
      <c r="L217" s="43">
        <v>3</v>
      </c>
      <c r="M217" s="47">
        <v>5.5</v>
      </c>
      <c r="N217" s="47">
        <v>77</v>
      </c>
      <c r="O217" s="46" t="s">
        <v>4284</v>
      </c>
      <c r="P217" s="43">
        <v>928</v>
      </c>
      <c r="Q217" s="43">
        <v>50</v>
      </c>
      <c r="R217" s="45" t="s">
        <v>4264</v>
      </c>
      <c r="S217" s="46" t="s">
        <v>1041</v>
      </c>
    </row>
    <row r="218" spans="1:19" ht="42">
      <c r="A218" s="43">
        <v>214</v>
      </c>
      <c r="B218" s="43">
        <v>178</v>
      </c>
      <c r="C218" s="43">
        <v>1051</v>
      </c>
      <c r="D218" s="44">
        <v>45765</v>
      </c>
      <c r="E218" s="45" t="s">
        <v>2479</v>
      </c>
      <c r="F218" s="46" t="s">
        <v>382</v>
      </c>
      <c r="G218" s="46" t="s">
        <v>893</v>
      </c>
      <c r="H218" s="46" t="s">
        <v>965</v>
      </c>
      <c r="I218" s="46" t="s">
        <v>515</v>
      </c>
      <c r="J218" s="46" t="s">
        <v>977</v>
      </c>
      <c r="K218" s="43">
        <v>35</v>
      </c>
      <c r="L218" s="43">
        <v>494</v>
      </c>
      <c r="M218" s="47">
        <v>7.0707070707070704E-2</v>
      </c>
      <c r="N218" s="47">
        <v>76.8</v>
      </c>
      <c r="O218" s="46" t="s">
        <v>4284</v>
      </c>
      <c r="P218" s="43">
        <v>75</v>
      </c>
      <c r="Q218" s="43">
        <v>20</v>
      </c>
      <c r="R218" s="45" t="s">
        <v>4275</v>
      </c>
      <c r="S218" s="46" t="s">
        <v>2480</v>
      </c>
    </row>
    <row r="219" spans="1:19" ht="42">
      <c r="A219" s="43">
        <v>215</v>
      </c>
      <c r="B219" s="43">
        <v>229</v>
      </c>
      <c r="C219" s="43">
        <v>809</v>
      </c>
      <c r="D219" s="44">
        <v>46016</v>
      </c>
      <c r="E219" s="45" t="s">
        <v>1959</v>
      </c>
      <c r="F219" s="46" t="s">
        <v>37</v>
      </c>
      <c r="G219" s="46" t="s">
        <v>882</v>
      </c>
      <c r="H219" s="46" t="s">
        <v>965</v>
      </c>
      <c r="I219" s="46" t="s">
        <v>512</v>
      </c>
      <c r="J219" s="46" t="s">
        <v>968</v>
      </c>
      <c r="K219" s="43">
        <v>31</v>
      </c>
      <c r="L219" s="43">
        <v>243</v>
      </c>
      <c r="M219" s="47">
        <v>0.12704918032786885</v>
      </c>
      <c r="N219" s="47">
        <v>76.8</v>
      </c>
      <c r="O219" s="46" t="s">
        <v>4284</v>
      </c>
      <c r="P219" s="43">
        <v>533</v>
      </c>
      <c r="Q219" s="43">
        <v>20</v>
      </c>
      <c r="R219" s="45" t="s">
        <v>4278</v>
      </c>
      <c r="S219" s="46" t="s">
        <v>1960</v>
      </c>
    </row>
    <row r="220" spans="1:19" ht="31.5">
      <c r="A220" s="43">
        <v>216</v>
      </c>
      <c r="B220" s="43">
        <v>334</v>
      </c>
      <c r="C220" s="43">
        <v>1447</v>
      </c>
      <c r="D220" s="44">
        <v>46245</v>
      </c>
      <c r="E220" s="45" t="s">
        <v>1173</v>
      </c>
      <c r="F220" s="46" t="s">
        <v>360</v>
      </c>
      <c r="G220" s="46" t="s">
        <v>1038</v>
      </c>
      <c r="H220" s="46" t="s">
        <v>1005</v>
      </c>
      <c r="I220" s="46" t="s">
        <v>522</v>
      </c>
      <c r="J220" s="46" t="s">
        <v>968</v>
      </c>
      <c r="K220" s="43">
        <v>24</v>
      </c>
      <c r="L220" s="43">
        <v>14</v>
      </c>
      <c r="M220" s="47">
        <v>1.6</v>
      </c>
      <c r="N220" s="47">
        <v>76.8</v>
      </c>
      <c r="O220" s="46" t="s">
        <v>4284</v>
      </c>
      <c r="P220" s="43">
        <v>428</v>
      </c>
      <c r="Q220" s="43">
        <v>30</v>
      </c>
      <c r="R220" s="45" t="s">
        <v>4291</v>
      </c>
      <c r="S220" s="46" t="s">
        <v>1174</v>
      </c>
    </row>
    <row r="221" spans="1:19" ht="31.5">
      <c r="A221" s="43">
        <v>217</v>
      </c>
      <c r="B221" s="43">
        <v>374</v>
      </c>
      <c r="C221" s="43">
        <v>1475</v>
      </c>
      <c r="D221" s="44">
        <v>46255</v>
      </c>
      <c r="E221" s="45" t="s">
        <v>1068</v>
      </c>
      <c r="F221" s="46" t="s">
        <v>360</v>
      </c>
      <c r="G221" s="46" t="s">
        <v>885</v>
      </c>
      <c r="H221" s="46" t="s">
        <v>965</v>
      </c>
      <c r="I221" s="46" t="s">
        <v>536</v>
      </c>
      <c r="J221" s="46" t="s">
        <v>977</v>
      </c>
      <c r="K221" s="43">
        <v>22</v>
      </c>
      <c r="L221" s="43">
        <v>4</v>
      </c>
      <c r="M221" s="47">
        <v>4.4000000000000004</v>
      </c>
      <c r="N221" s="47">
        <v>76.8</v>
      </c>
      <c r="O221" s="46" t="s">
        <v>4284</v>
      </c>
      <c r="P221" s="43">
        <v>353</v>
      </c>
      <c r="Q221" s="43">
        <v>40</v>
      </c>
      <c r="R221" s="45" t="s">
        <v>4289</v>
      </c>
      <c r="S221" s="46" t="s">
        <v>1069</v>
      </c>
    </row>
    <row r="222" spans="1:19" ht="31.5">
      <c r="A222" s="43">
        <v>218</v>
      </c>
      <c r="B222" s="43">
        <v>230</v>
      </c>
      <c r="C222" s="43">
        <v>1149</v>
      </c>
      <c r="D222" s="44">
        <v>46013</v>
      </c>
      <c r="E222" s="45" t="s">
        <v>1974</v>
      </c>
      <c r="F222" s="46" t="s">
        <v>360</v>
      </c>
      <c r="G222" s="46" t="s">
        <v>892</v>
      </c>
      <c r="H222" s="46" t="s">
        <v>965</v>
      </c>
      <c r="I222" s="46" t="s">
        <v>512</v>
      </c>
      <c r="J222" s="46" t="s">
        <v>977</v>
      </c>
      <c r="K222" s="43">
        <v>31</v>
      </c>
      <c r="L222" s="43">
        <v>246</v>
      </c>
      <c r="M222" s="47">
        <v>0.12550607287449392</v>
      </c>
      <c r="N222" s="47">
        <v>76.7</v>
      </c>
      <c r="O222" s="46" t="s">
        <v>4284</v>
      </c>
      <c r="P222" s="43">
        <v>564</v>
      </c>
      <c r="Q222" s="43">
        <v>30</v>
      </c>
      <c r="R222" s="45" t="s">
        <v>4283</v>
      </c>
      <c r="S222" s="46" t="s">
        <v>1975</v>
      </c>
    </row>
    <row r="223" spans="1:19" ht="42">
      <c r="A223" s="43">
        <v>219</v>
      </c>
      <c r="B223" s="43">
        <v>205</v>
      </c>
      <c r="C223" s="43">
        <v>1078</v>
      </c>
      <c r="D223" s="44">
        <v>45924</v>
      </c>
      <c r="E223" s="45" t="s">
        <v>2122</v>
      </c>
      <c r="F223" s="46" t="s">
        <v>382</v>
      </c>
      <c r="G223" s="46" t="s">
        <v>892</v>
      </c>
      <c r="H223" s="46" t="s">
        <v>965</v>
      </c>
      <c r="I223" s="46" t="s">
        <v>515</v>
      </c>
      <c r="J223" s="46" t="s">
        <v>977</v>
      </c>
      <c r="K223" s="43">
        <v>32</v>
      </c>
      <c r="L223" s="43">
        <v>335</v>
      </c>
      <c r="M223" s="47">
        <v>9.5238095238095233E-2</v>
      </c>
      <c r="N223" s="47">
        <v>76.400000000000006</v>
      </c>
      <c r="O223" s="46" t="s">
        <v>4284</v>
      </c>
      <c r="P223" s="43">
        <v>414</v>
      </c>
      <c r="Q223" s="43">
        <v>10</v>
      </c>
      <c r="R223" s="45" t="s">
        <v>4281</v>
      </c>
      <c r="S223" s="46" t="s">
        <v>2123</v>
      </c>
    </row>
    <row r="224" spans="1:19" ht="42">
      <c r="A224" s="43">
        <v>220</v>
      </c>
      <c r="B224" s="43">
        <v>163</v>
      </c>
      <c r="C224" s="43">
        <v>641</v>
      </c>
      <c r="D224" s="44">
        <v>45599</v>
      </c>
      <c r="E224" s="45" t="s">
        <v>2834</v>
      </c>
      <c r="F224" s="46" t="s">
        <v>37</v>
      </c>
      <c r="G224" s="46" t="s">
        <v>1038</v>
      </c>
      <c r="H224" s="46" t="s">
        <v>1038</v>
      </c>
      <c r="I224" s="46" t="s">
        <v>512</v>
      </c>
      <c r="J224" s="46" t="s">
        <v>977</v>
      </c>
      <c r="K224" s="43">
        <v>37</v>
      </c>
      <c r="L224" s="43">
        <v>660</v>
      </c>
      <c r="M224" s="47">
        <v>5.5975794251134643E-2</v>
      </c>
      <c r="N224" s="47">
        <v>76.2</v>
      </c>
      <c r="O224" s="46" t="s">
        <v>4284</v>
      </c>
      <c r="P224" s="43">
        <v>1165</v>
      </c>
      <c r="Q224" s="43">
        <v>20</v>
      </c>
      <c r="R224" s="45" t="s">
        <v>4278</v>
      </c>
      <c r="S224" s="46" t="s">
        <v>2835</v>
      </c>
    </row>
    <row r="225" spans="1:19" ht="42">
      <c r="A225" s="43">
        <v>221</v>
      </c>
      <c r="B225" s="43">
        <v>206</v>
      </c>
      <c r="C225" s="43">
        <v>787</v>
      </c>
      <c r="D225" s="44">
        <v>45906</v>
      </c>
      <c r="E225" s="45" t="s">
        <v>2170</v>
      </c>
      <c r="F225" s="46" t="s">
        <v>37</v>
      </c>
      <c r="G225" s="46" t="s">
        <v>912</v>
      </c>
      <c r="H225" s="46" t="s">
        <v>965</v>
      </c>
      <c r="I225" s="46" t="s">
        <v>530</v>
      </c>
      <c r="J225" s="46" t="s">
        <v>977</v>
      </c>
      <c r="K225" s="43">
        <v>32</v>
      </c>
      <c r="L225" s="43">
        <v>353</v>
      </c>
      <c r="M225" s="47">
        <v>9.03954802259887E-2</v>
      </c>
      <c r="N225" s="47">
        <v>76.2</v>
      </c>
      <c r="O225" s="46" t="s">
        <v>4284</v>
      </c>
      <c r="P225" s="43">
        <v>231</v>
      </c>
      <c r="Q225" s="43">
        <v>10</v>
      </c>
      <c r="R225" s="45" t="s">
        <v>4281</v>
      </c>
      <c r="S225" s="46" t="s">
        <v>2171</v>
      </c>
    </row>
    <row r="226" spans="1:19" ht="42">
      <c r="A226" s="43">
        <v>222</v>
      </c>
      <c r="B226" s="43">
        <v>125</v>
      </c>
      <c r="C226" s="43">
        <v>341</v>
      </c>
      <c r="D226" s="44">
        <v>45270</v>
      </c>
      <c r="E226" s="45" t="s">
        <v>3510</v>
      </c>
      <c r="F226" s="46" t="s">
        <v>37</v>
      </c>
      <c r="G226" s="46" t="s">
        <v>882</v>
      </c>
      <c r="H226" s="46" t="s">
        <v>965</v>
      </c>
      <c r="I226" s="46" t="s">
        <v>515</v>
      </c>
      <c r="J226" s="46" t="s">
        <v>977</v>
      </c>
      <c r="K226" s="43">
        <v>42</v>
      </c>
      <c r="L226" s="43">
        <v>989</v>
      </c>
      <c r="M226" s="47">
        <v>4.2424242424242427E-2</v>
      </c>
      <c r="N226" s="47">
        <v>76</v>
      </c>
      <c r="O226" s="46" t="s">
        <v>4284</v>
      </c>
      <c r="P226" s="43">
        <v>65</v>
      </c>
      <c r="Q226" s="43">
        <v>10</v>
      </c>
      <c r="R226" s="45" t="s">
        <v>4281</v>
      </c>
      <c r="S226" s="46" t="s">
        <v>3511</v>
      </c>
    </row>
    <row r="227" spans="1:19" ht="42">
      <c r="A227" s="43">
        <v>223</v>
      </c>
      <c r="B227" s="43">
        <v>268</v>
      </c>
      <c r="C227" s="43">
        <v>1218</v>
      </c>
      <c r="D227" s="44">
        <v>46136</v>
      </c>
      <c r="E227" s="45" t="s">
        <v>1707</v>
      </c>
      <c r="F227" s="46" t="s">
        <v>37</v>
      </c>
      <c r="G227" s="46" t="s">
        <v>885</v>
      </c>
      <c r="H227" s="46" t="s">
        <v>1317</v>
      </c>
      <c r="I227" s="46" t="s">
        <v>530</v>
      </c>
      <c r="J227" s="46" t="s">
        <v>977</v>
      </c>
      <c r="K227" s="43">
        <v>28</v>
      </c>
      <c r="L227" s="43">
        <v>123</v>
      </c>
      <c r="M227" s="47">
        <v>0.22580645161290322</v>
      </c>
      <c r="N227" s="47">
        <v>76</v>
      </c>
      <c r="O227" s="46" t="s">
        <v>4284</v>
      </c>
      <c r="P227" s="43">
        <v>347</v>
      </c>
      <c r="Q227" s="43">
        <v>10</v>
      </c>
      <c r="R227" s="45" t="s">
        <v>4281</v>
      </c>
      <c r="S227" s="46" t="s">
        <v>1708</v>
      </c>
    </row>
    <row r="228" spans="1:19" ht="31.5">
      <c r="A228" s="43">
        <v>224</v>
      </c>
      <c r="B228" s="43">
        <v>299</v>
      </c>
      <c r="C228" s="43">
        <v>1336</v>
      </c>
      <c r="D228" s="44">
        <v>46204</v>
      </c>
      <c r="E228" s="45" t="s">
        <v>1467</v>
      </c>
      <c r="F228" s="46" t="s">
        <v>37</v>
      </c>
      <c r="G228" s="46" t="s">
        <v>899</v>
      </c>
      <c r="H228" s="46" t="s">
        <v>965</v>
      </c>
      <c r="I228" s="46" t="s">
        <v>519</v>
      </c>
      <c r="J228" s="46" t="s">
        <v>968</v>
      </c>
      <c r="K228" s="43">
        <v>26</v>
      </c>
      <c r="L228" s="43">
        <v>55</v>
      </c>
      <c r="M228" s="47">
        <v>0.4642857142857143</v>
      </c>
      <c r="N228" s="47">
        <v>76</v>
      </c>
      <c r="O228" s="46" t="s">
        <v>4284</v>
      </c>
      <c r="P228" s="43">
        <v>829</v>
      </c>
      <c r="Q228" s="43">
        <v>40</v>
      </c>
      <c r="R228" s="45" t="s">
        <v>4273</v>
      </c>
      <c r="S228" s="46" t="s">
        <v>1468</v>
      </c>
    </row>
    <row r="229" spans="1:19" ht="42">
      <c r="A229" s="43">
        <v>225</v>
      </c>
      <c r="B229" s="43">
        <v>207</v>
      </c>
      <c r="C229" s="43">
        <v>959</v>
      </c>
      <c r="D229" s="44">
        <v>45877</v>
      </c>
      <c r="E229" s="45" t="s">
        <v>2225</v>
      </c>
      <c r="F229" s="46" t="s">
        <v>371</v>
      </c>
      <c r="G229" s="46" t="s">
        <v>887</v>
      </c>
      <c r="H229" s="46" t="s">
        <v>965</v>
      </c>
      <c r="I229" s="46" t="s">
        <v>519</v>
      </c>
      <c r="J229" s="46" t="s">
        <v>977</v>
      </c>
      <c r="K229" s="43">
        <v>32</v>
      </c>
      <c r="L229" s="43">
        <v>382</v>
      </c>
      <c r="M229" s="47">
        <v>8.3550913838120106E-2</v>
      </c>
      <c r="N229" s="47">
        <v>75.900000000000006</v>
      </c>
      <c r="O229" s="46" t="s">
        <v>4284</v>
      </c>
      <c r="P229" s="43">
        <v>333</v>
      </c>
      <c r="Q229" s="43">
        <v>10</v>
      </c>
      <c r="R229" s="45" t="s">
        <v>4281</v>
      </c>
      <c r="S229" s="46" t="s">
        <v>2226</v>
      </c>
    </row>
    <row r="230" spans="1:19" ht="31.5">
      <c r="A230" s="43">
        <v>226</v>
      </c>
      <c r="B230" s="43">
        <v>313</v>
      </c>
      <c r="C230" s="43">
        <v>1390</v>
      </c>
      <c r="D230" s="44">
        <v>46223</v>
      </c>
      <c r="E230" s="45" t="s">
        <v>1350</v>
      </c>
      <c r="F230" s="46" t="s">
        <v>360</v>
      </c>
      <c r="G230" s="46" t="s">
        <v>893</v>
      </c>
      <c r="H230" s="46" t="s">
        <v>1317</v>
      </c>
      <c r="I230" s="46" t="s">
        <v>512</v>
      </c>
      <c r="J230" s="46" t="s">
        <v>977</v>
      </c>
      <c r="K230" s="43">
        <v>25</v>
      </c>
      <c r="L230" s="43">
        <v>36</v>
      </c>
      <c r="M230" s="47">
        <v>0.67567567567567566</v>
      </c>
      <c r="N230" s="47">
        <v>75.900000000000006</v>
      </c>
      <c r="O230" s="46" t="s">
        <v>4284</v>
      </c>
      <c r="P230" s="43">
        <v>356</v>
      </c>
      <c r="Q230" s="43">
        <v>30</v>
      </c>
      <c r="R230" s="45" t="s">
        <v>4292</v>
      </c>
      <c r="S230" s="46" t="s">
        <v>1351</v>
      </c>
    </row>
    <row r="231" spans="1:19" ht="42">
      <c r="A231" s="43">
        <v>227</v>
      </c>
      <c r="B231" s="43">
        <v>196</v>
      </c>
      <c r="C231" s="43">
        <v>771</v>
      </c>
      <c r="D231" s="44">
        <v>45797</v>
      </c>
      <c r="E231" s="45" t="s">
        <v>2424</v>
      </c>
      <c r="F231" s="46" t="s">
        <v>37</v>
      </c>
      <c r="G231" s="46" t="s">
        <v>905</v>
      </c>
      <c r="H231" s="46" t="s">
        <v>965</v>
      </c>
      <c r="I231" s="46" t="s">
        <v>515</v>
      </c>
      <c r="J231" s="46" t="s">
        <v>968</v>
      </c>
      <c r="K231" s="43">
        <v>33</v>
      </c>
      <c r="L231" s="43">
        <v>462</v>
      </c>
      <c r="M231" s="47">
        <v>7.1274298056155511E-2</v>
      </c>
      <c r="N231" s="47">
        <v>75.8</v>
      </c>
      <c r="O231" s="46" t="s">
        <v>4284</v>
      </c>
      <c r="P231" s="43">
        <v>415</v>
      </c>
      <c r="Q231" s="43">
        <v>10</v>
      </c>
      <c r="R231" s="45" t="s">
        <v>4281</v>
      </c>
      <c r="S231" s="46" t="s">
        <v>2425</v>
      </c>
    </row>
    <row r="232" spans="1:19" ht="31.5">
      <c r="A232" s="43">
        <v>228</v>
      </c>
      <c r="B232" s="43">
        <v>269</v>
      </c>
      <c r="C232" s="43">
        <v>1200</v>
      </c>
      <c r="D232" s="44">
        <v>46125</v>
      </c>
      <c r="E232" s="45" t="s">
        <v>1728</v>
      </c>
      <c r="F232" s="46" t="s">
        <v>37</v>
      </c>
      <c r="G232" s="46" t="s">
        <v>894</v>
      </c>
      <c r="H232" s="46" t="s">
        <v>965</v>
      </c>
      <c r="I232" s="46" t="s">
        <v>515</v>
      </c>
      <c r="J232" s="46" t="s">
        <v>968</v>
      </c>
      <c r="K232" s="43">
        <v>28</v>
      </c>
      <c r="L232" s="43">
        <v>134</v>
      </c>
      <c r="M232" s="47">
        <v>0.2074074074074074</v>
      </c>
      <c r="N232" s="47">
        <v>75.8</v>
      </c>
      <c r="O232" s="46" t="s">
        <v>4284</v>
      </c>
      <c r="P232" s="43">
        <v>223</v>
      </c>
      <c r="Q232" s="43">
        <v>30</v>
      </c>
      <c r="R232" s="45" t="s">
        <v>4279</v>
      </c>
      <c r="S232" s="46" t="s">
        <v>1729</v>
      </c>
    </row>
    <row r="233" spans="1:19" ht="31.5">
      <c r="A233" s="43">
        <v>229</v>
      </c>
      <c r="B233" s="43">
        <v>300</v>
      </c>
      <c r="C233" s="43">
        <v>1318</v>
      </c>
      <c r="D233" s="44">
        <v>46195</v>
      </c>
      <c r="E233" s="45" t="s">
        <v>1505</v>
      </c>
      <c r="F233" s="46" t="s">
        <v>37</v>
      </c>
      <c r="G233" s="46" t="s">
        <v>1038</v>
      </c>
      <c r="H233" s="46" t="s">
        <v>1005</v>
      </c>
      <c r="I233" s="46" t="s">
        <v>522</v>
      </c>
      <c r="J233" s="46" t="s">
        <v>968</v>
      </c>
      <c r="K233" s="43">
        <v>26</v>
      </c>
      <c r="L233" s="43">
        <v>64</v>
      </c>
      <c r="M233" s="47">
        <v>0.4</v>
      </c>
      <c r="N233" s="47">
        <v>75.599999999999994</v>
      </c>
      <c r="O233" s="46" t="s">
        <v>4284</v>
      </c>
      <c r="P233" s="43">
        <v>353</v>
      </c>
      <c r="Q233" s="43">
        <v>30</v>
      </c>
      <c r="R233" s="45" t="s">
        <v>4279</v>
      </c>
      <c r="S233" s="46" t="s">
        <v>1506</v>
      </c>
    </row>
    <row r="234" spans="1:19" ht="31.5">
      <c r="A234" s="43">
        <v>230</v>
      </c>
      <c r="B234" s="43">
        <v>314</v>
      </c>
      <c r="C234" s="43">
        <v>1361</v>
      </c>
      <c r="D234" s="44">
        <v>46214</v>
      </c>
      <c r="E234" s="45" t="s">
        <v>1416</v>
      </c>
      <c r="F234" s="46" t="s">
        <v>37</v>
      </c>
      <c r="G234" s="46" t="s">
        <v>1038</v>
      </c>
      <c r="H234" s="46" t="s">
        <v>1038</v>
      </c>
      <c r="I234" s="46" t="s">
        <v>512</v>
      </c>
      <c r="J234" s="46" t="s">
        <v>977</v>
      </c>
      <c r="K234" s="43">
        <v>25</v>
      </c>
      <c r="L234" s="43">
        <v>45</v>
      </c>
      <c r="M234" s="47">
        <v>0.54347826086956519</v>
      </c>
      <c r="N234" s="47">
        <v>75.5</v>
      </c>
      <c r="O234" s="46" t="s">
        <v>4284</v>
      </c>
      <c r="P234" s="43">
        <v>975</v>
      </c>
      <c r="Q234" s="43">
        <v>30</v>
      </c>
      <c r="R234" s="45" t="s">
        <v>4266</v>
      </c>
      <c r="S234" s="46" t="s">
        <v>1417</v>
      </c>
    </row>
    <row r="235" spans="1:19" ht="42">
      <c r="A235" s="43">
        <v>231</v>
      </c>
      <c r="B235" s="43">
        <v>164</v>
      </c>
      <c r="C235" s="43">
        <v>582</v>
      </c>
      <c r="D235" s="44">
        <v>45521</v>
      </c>
      <c r="E235" s="45" t="s">
        <v>3027</v>
      </c>
      <c r="F235" s="46" t="s">
        <v>37</v>
      </c>
      <c r="G235" s="46" t="s">
        <v>906</v>
      </c>
      <c r="H235" s="46" t="s">
        <v>965</v>
      </c>
      <c r="I235" s="46" t="s">
        <v>515</v>
      </c>
      <c r="J235" s="46" t="s">
        <v>977</v>
      </c>
      <c r="K235" s="43">
        <v>37</v>
      </c>
      <c r="L235" s="43">
        <v>738</v>
      </c>
      <c r="M235" s="47">
        <v>5.0067658998646819E-2</v>
      </c>
      <c r="N235" s="47">
        <v>75.400000000000006</v>
      </c>
      <c r="O235" s="46" t="s">
        <v>4284</v>
      </c>
      <c r="P235" s="43">
        <v>224</v>
      </c>
      <c r="Q235" s="43">
        <v>20</v>
      </c>
      <c r="R235" s="45" t="s">
        <v>4275</v>
      </c>
      <c r="S235" s="46" t="s">
        <v>3028</v>
      </c>
    </row>
    <row r="236" spans="1:19" ht="42">
      <c r="A236" s="43">
        <v>232</v>
      </c>
      <c r="B236" s="43">
        <v>237</v>
      </c>
      <c r="C236" s="43">
        <v>1138</v>
      </c>
      <c r="D236" s="44">
        <v>45988</v>
      </c>
      <c r="E236" s="45" t="s">
        <v>2038</v>
      </c>
      <c r="F236" s="46" t="s">
        <v>360</v>
      </c>
      <c r="G236" s="46" t="s">
        <v>892</v>
      </c>
      <c r="H236" s="46" t="s">
        <v>965</v>
      </c>
      <c r="I236" s="46" t="s">
        <v>512</v>
      </c>
      <c r="J236" s="46" t="s">
        <v>977</v>
      </c>
      <c r="K236" s="43">
        <v>30</v>
      </c>
      <c r="L236" s="43">
        <v>271</v>
      </c>
      <c r="M236" s="47">
        <v>0.11029411764705882</v>
      </c>
      <c r="N236" s="47">
        <v>75.400000000000006</v>
      </c>
      <c r="O236" s="46" t="s">
        <v>4284</v>
      </c>
      <c r="P236" s="43">
        <v>159</v>
      </c>
      <c r="Q236" s="43">
        <v>20</v>
      </c>
      <c r="R236" s="45" t="s">
        <v>4275</v>
      </c>
      <c r="S236" s="46" t="s">
        <v>2039</v>
      </c>
    </row>
    <row r="237" spans="1:19" ht="42">
      <c r="A237" s="43">
        <v>233</v>
      </c>
      <c r="B237" s="43">
        <v>249</v>
      </c>
      <c r="C237" s="43">
        <v>1162</v>
      </c>
      <c r="D237" s="44">
        <v>46045</v>
      </c>
      <c r="E237" s="45" t="s">
        <v>1875</v>
      </c>
      <c r="F237" s="46" t="s">
        <v>360</v>
      </c>
      <c r="G237" s="46" t="s">
        <v>878</v>
      </c>
      <c r="H237" s="46" t="s">
        <v>965</v>
      </c>
      <c r="I237" s="46" t="s">
        <v>512</v>
      </c>
      <c r="J237" s="46" t="s">
        <v>977</v>
      </c>
      <c r="K237" s="43">
        <v>29</v>
      </c>
      <c r="L237" s="43">
        <v>214</v>
      </c>
      <c r="M237" s="47">
        <v>0.13488372093023257</v>
      </c>
      <c r="N237" s="47">
        <v>75.400000000000006</v>
      </c>
      <c r="O237" s="46" t="s">
        <v>4284</v>
      </c>
      <c r="P237" s="43">
        <v>661</v>
      </c>
      <c r="Q237" s="43">
        <v>20</v>
      </c>
      <c r="R237" s="45" t="s">
        <v>4278</v>
      </c>
      <c r="S237" s="46" t="s">
        <v>1876</v>
      </c>
    </row>
    <row r="238" spans="1:19" ht="42">
      <c r="A238" s="43">
        <v>234</v>
      </c>
      <c r="B238" s="43">
        <v>208</v>
      </c>
      <c r="C238" s="43">
        <v>928</v>
      </c>
      <c r="D238" s="44">
        <v>45836</v>
      </c>
      <c r="E238" s="45" t="s">
        <v>2346</v>
      </c>
      <c r="F238" s="46" t="s">
        <v>371</v>
      </c>
      <c r="G238" s="46" t="s">
        <v>904</v>
      </c>
      <c r="H238" s="46" t="s">
        <v>965</v>
      </c>
      <c r="I238" s="46" t="s">
        <v>522</v>
      </c>
      <c r="J238" s="46" t="s">
        <v>977</v>
      </c>
      <c r="K238" s="43">
        <v>32</v>
      </c>
      <c r="L238" s="43">
        <v>423</v>
      </c>
      <c r="M238" s="47">
        <v>7.5471698113207544E-2</v>
      </c>
      <c r="N238" s="47">
        <v>75.3</v>
      </c>
      <c r="O238" s="46" t="s">
        <v>4284</v>
      </c>
      <c r="P238" s="43">
        <v>501</v>
      </c>
      <c r="Q238" s="43">
        <v>20</v>
      </c>
      <c r="R238" s="45" t="s">
        <v>4278</v>
      </c>
      <c r="S238" s="46" t="s">
        <v>2347</v>
      </c>
    </row>
    <row r="239" spans="1:19" ht="42">
      <c r="A239" s="43">
        <v>235</v>
      </c>
      <c r="B239" s="43">
        <v>335</v>
      </c>
      <c r="C239" s="43">
        <v>1418</v>
      </c>
      <c r="D239" s="44">
        <v>46234</v>
      </c>
      <c r="E239" s="45" t="s">
        <v>1262</v>
      </c>
      <c r="F239" s="46" t="s">
        <v>360</v>
      </c>
      <c r="G239" s="46" t="s">
        <v>1038</v>
      </c>
      <c r="H239" s="46" t="s">
        <v>1038</v>
      </c>
      <c r="I239" s="46" t="s">
        <v>522</v>
      </c>
      <c r="J239" s="46" t="s">
        <v>977</v>
      </c>
      <c r="K239" s="43">
        <v>24</v>
      </c>
      <c r="L239" s="43">
        <v>25</v>
      </c>
      <c r="M239" s="47">
        <v>0.92307692307692313</v>
      </c>
      <c r="N239" s="47">
        <v>75.3</v>
      </c>
      <c r="O239" s="46" t="s">
        <v>4284</v>
      </c>
      <c r="P239" s="43">
        <v>339</v>
      </c>
      <c r="Q239" s="43">
        <v>20</v>
      </c>
      <c r="R239" s="45" t="s">
        <v>4282</v>
      </c>
      <c r="S239" s="46" t="s">
        <v>1263</v>
      </c>
    </row>
    <row r="240" spans="1:19" ht="42">
      <c r="A240" s="43">
        <v>236</v>
      </c>
      <c r="B240" s="43">
        <v>172</v>
      </c>
      <c r="C240" s="43">
        <v>596</v>
      </c>
      <c r="D240" s="44">
        <v>45557</v>
      </c>
      <c r="E240" s="45" t="s">
        <v>2988</v>
      </c>
      <c r="F240" s="46" t="s">
        <v>37</v>
      </c>
      <c r="G240" s="46" t="s">
        <v>1038</v>
      </c>
      <c r="H240" s="46" t="s">
        <v>1038</v>
      </c>
      <c r="I240" s="46" t="s">
        <v>515</v>
      </c>
      <c r="J240" s="46" t="s">
        <v>968</v>
      </c>
      <c r="K240" s="43">
        <v>36</v>
      </c>
      <c r="L240" s="43">
        <v>702</v>
      </c>
      <c r="M240" s="47">
        <v>5.1209103840682786E-2</v>
      </c>
      <c r="N240" s="47">
        <v>75.2</v>
      </c>
      <c r="O240" s="46" t="s">
        <v>4284</v>
      </c>
      <c r="P240" s="43">
        <v>1124</v>
      </c>
      <c r="Q240" s="43">
        <v>20</v>
      </c>
      <c r="R240" s="45" t="s">
        <v>4278</v>
      </c>
      <c r="S240" s="46" t="s">
        <v>2989</v>
      </c>
    </row>
    <row r="241" spans="1:19" ht="42">
      <c r="A241" s="43">
        <v>237</v>
      </c>
      <c r="B241" s="43">
        <v>315</v>
      </c>
      <c r="C241" s="43">
        <v>1356</v>
      </c>
      <c r="D241" s="44">
        <v>46211</v>
      </c>
      <c r="E241" s="45" t="s">
        <v>1431</v>
      </c>
      <c r="F241" s="46" t="s">
        <v>37</v>
      </c>
      <c r="G241" s="46" t="s">
        <v>882</v>
      </c>
      <c r="H241" s="46" t="s">
        <v>965</v>
      </c>
      <c r="I241" s="46" t="s">
        <v>530</v>
      </c>
      <c r="J241" s="46" t="s">
        <v>977</v>
      </c>
      <c r="K241" s="43">
        <v>25</v>
      </c>
      <c r="L241" s="43">
        <v>48</v>
      </c>
      <c r="M241" s="47">
        <v>0.51020408163265307</v>
      </c>
      <c r="N241" s="47">
        <v>75.2</v>
      </c>
      <c r="O241" s="46" t="s">
        <v>4284</v>
      </c>
      <c r="P241" s="43">
        <v>453</v>
      </c>
      <c r="Q241" s="43">
        <v>20</v>
      </c>
      <c r="R241" s="45" t="s">
        <v>4272</v>
      </c>
      <c r="S241" s="46" t="s">
        <v>1432</v>
      </c>
    </row>
    <row r="242" spans="1:19" ht="42">
      <c r="A242" s="43">
        <v>238</v>
      </c>
      <c r="B242" s="43">
        <v>250</v>
      </c>
      <c r="C242" s="43">
        <v>1154</v>
      </c>
      <c r="D242" s="44">
        <v>46031</v>
      </c>
      <c r="E242" s="45" t="s">
        <v>1905</v>
      </c>
      <c r="F242" s="46" t="s">
        <v>360</v>
      </c>
      <c r="G242" s="46" t="s">
        <v>903</v>
      </c>
      <c r="H242" s="46" t="s">
        <v>965</v>
      </c>
      <c r="I242" s="46" t="s">
        <v>515</v>
      </c>
      <c r="J242" s="46" t="s">
        <v>968</v>
      </c>
      <c r="K242" s="43">
        <v>29</v>
      </c>
      <c r="L242" s="43">
        <v>228</v>
      </c>
      <c r="M242" s="47">
        <v>0.12663755458515283</v>
      </c>
      <c r="N242" s="47">
        <v>75.099999999999994</v>
      </c>
      <c r="O242" s="46" t="s">
        <v>4284</v>
      </c>
      <c r="P242" s="43">
        <v>363</v>
      </c>
      <c r="Q242" s="43">
        <v>10</v>
      </c>
      <c r="R242" s="45" t="s">
        <v>4281</v>
      </c>
      <c r="S242" s="46" t="s">
        <v>1906</v>
      </c>
    </row>
    <row r="243" spans="1:19" ht="31.5">
      <c r="A243" s="43">
        <v>239</v>
      </c>
      <c r="B243" s="43">
        <v>336</v>
      </c>
      <c r="C243" s="43">
        <v>1416</v>
      </c>
      <c r="D243" s="44">
        <v>46231</v>
      </c>
      <c r="E243" s="45" t="s">
        <v>1269</v>
      </c>
      <c r="F243" s="46" t="s">
        <v>360</v>
      </c>
      <c r="G243" s="46" t="s">
        <v>902</v>
      </c>
      <c r="H243" s="46" t="s">
        <v>965</v>
      </c>
      <c r="I243" s="46" t="s">
        <v>522</v>
      </c>
      <c r="J243" s="46" t="s">
        <v>977</v>
      </c>
      <c r="K243" s="43">
        <v>24</v>
      </c>
      <c r="L243" s="43">
        <v>28</v>
      </c>
      <c r="M243" s="47">
        <v>0.82758620689655171</v>
      </c>
      <c r="N243" s="47">
        <v>75.099999999999994</v>
      </c>
      <c r="O243" s="46" t="s">
        <v>4284</v>
      </c>
      <c r="P243" s="43">
        <v>197</v>
      </c>
      <c r="Q243" s="43">
        <v>40</v>
      </c>
      <c r="R243" s="45" t="s">
        <v>4293</v>
      </c>
      <c r="S243" s="46" t="s">
        <v>1270</v>
      </c>
    </row>
    <row r="244" spans="1:19" ht="52.5">
      <c r="A244" s="43">
        <v>240</v>
      </c>
      <c r="B244" s="43">
        <v>238</v>
      </c>
      <c r="C244" s="43">
        <v>1125</v>
      </c>
      <c r="D244" s="44">
        <v>45961</v>
      </c>
      <c r="E244" s="45" t="s">
        <v>2089</v>
      </c>
      <c r="F244" s="46" t="s">
        <v>360</v>
      </c>
      <c r="G244" s="46" t="s">
        <v>913</v>
      </c>
      <c r="H244" s="46" t="s">
        <v>1317</v>
      </c>
      <c r="I244" s="46" t="s">
        <v>519</v>
      </c>
      <c r="J244" s="46" t="s">
        <v>977</v>
      </c>
      <c r="K244" s="43">
        <v>30</v>
      </c>
      <c r="L244" s="43">
        <v>298</v>
      </c>
      <c r="M244" s="47">
        <v>0.10033444816053512</v>
      </c>
      <c r="N244" s="47">
        <v>75</v>
      </c>
      <c r="O244" s="46" t="s">
        <v>4284</v>
      </c>
      <c r="P244" s="43">
        <v>353</v>
      </c>
      <c r="Q244" s="43">
        <v>0</v>
      </c>
      <c r="R244" s="45" t="s">
        <v>4294</v>
      </c>
      <c r="S244" s="46" t="s">
        <v>2090</v>
      </c>
    </row>
    <row r="245" spans="1:19" ht="31.5">
      <c r="A245" s="43">
        <v>241</v>
      </c>
      <c r="B245" s="43">
        <v>316</v>
      </c>
      <c r="C245" s="43">
        <v>1337</v>
      </c>
      <c r="D245" s="44">
        <v>46205</v>
      </c>
      <c r="E245" s="45" t="s">
        <v>1464</v>
      </c>
      <c r="F245" s="46" t="s">
        <v>37</v>
      </c>
      <c r="G245" s="46" t="s">
        <v>909</v>
      </c>
      <c r="H245" s="46" t="s">
        <v>965</v>
      </c>
      <c r="I245" s="46" t="s">
        <v>515</v>
      </c>
      <c r="J245" s="46" t="s">
        <v>977</v>
      </c>
      <c r="K245" s="43">
        <v>25</v>
      </c>
      <c r="L245" s="43">
        <v>54</v>
      </c>
      <c r="M245" s="47">
        <v>0.45454545454545453</v>
      </c>
      <c r="N245" s="47">
        <v>74.900000000000006</v>
      </c>
      <c r="O245" s="46" t="s">
        <v>4295</v>
      </c>
      <c r="P245" s="43">
        <v>357</v>
      </c>
      <c r="Q245" s="43">
        <v>30</v>
      </c>
      <c r="R245" s="45" t="s">
        <v>4279</v>
      </c>
      <c r="S245" s="46" t="s">
        <v>1465</v>
      </c>
    </row>
    <row r="246" spans="1:19" ht="42">
      <c r="A246" s="43">
        <v>242</v>
      </c>
      <c r="B246" s="43">
        <v>239</v>
      </c>
      <c r="C246" s="43">
        <v>1122</v>
      </c>
      <c r="D246" s="44">
        <v>45951</v>
      </c>
      <c r="E246" s="45" t="s">
        <v>2098</v>
      </c>
      <c r="F246" s="46" t="s">
        <v>360</v>
      </c>
      <c r="G246" s="46" t="s">
        <v>913</v>
      </c>
      <c r="H246" s="46" t="s">
        <v>1317</v>
      </c>
      <c r="I246" s="46" t="s">
        <v>512</v>
      </c>
      <c r="J246" s="46" t="s">
        <v>968</v>
      </c>
      <c r="K246" s="43">
        <v>30</v>
      </c>
      <c r="L246" s="43">
        <v>308</v>
      </c>
      <c r="M246" s="47">
        <v>9.7087378640776698E-2</v>
      </c>
      <c r="N246" s="47">
        <v>74.8</v>
      </c>
      <c r="O246" s="46" t="s">
        <v>4295</v>
      </c>
      <c r="P246" s="43">
        <v>340</v>
      </c>
      <c r="Q246" s="43">
        <v>10</v>
      </c>
      <c r="R246" s="45" t="s">
        <v>4281</v>
      </c>
      <c r="S246" s="46" t="s">
        <v>2099</v>
      </c>
    </row>
    <row r="247" spans="1:19" ht="31.5">
      <c r="A247" s="43">
        <v>243</v>
      </c>
      <c r="B247" s="43">
        <v>286</v>
      </c>
      <c r="C247" s="43">
        <v>1196</v>
      </c>
      <c r="D247" s="44">
        <v>46122</v>
      </c>
      <c r="E247" s="45" t="s">
        <v>1731</v>
      </c>
      <c r="F247" s="46" t="s">
        <v>37</v>
      </c>
      <c r="G247" s="46" t="s">
        <v>914</v>
      </c>
      <c r="H247" s="46" t="s">
        <v>965</v>
      </c>
      <c r="I247" s="46" t="s">
        <v>522</v>
      </c>
      <c r="J247" s="46" t="s">
        <v>968</v>
      </c>
      <c r="K247" s="43">
        <v>27</v>
      </c>
      <c r="L247" s="43">
        <v>137</v>
      </c>
      <c r="M247" s="47">
        <v>0.19565217391304349</v>
      </c>
      <c r="N247" s="47">
        <v>74.8</v>
      </c>
      <c r="O247" s="46" t="s">
        <v>4295</v>
      </c>
      <c r="P247" s="43">
        <v>269</v>
      </c>
      <c r="Q247" s="43">
        <v>30</v>
      </c>
      <c r="R247" s="45" t="s">
        <v>4279</v>
      </c>
      <c r="S247" s="46" t="s">
        <v>1732</v>
      </c>
    </row>
    <row r="248" spans="1:19" ht="31.5">
      <c r="A248" s="43">
        <v>244</v>
      </c>
      <c r="B248" s="43">
        <v>375</v>
      </c>
      <c r="C248" s="43">
        <v>1456</v>
      </c>
      <c r="D248" s="44">
        <v>46248</v>
      </c>
      <c r="E248" s="45" t="s">
        <v>1141</v>
      </c>
      <c r="F248" s="46" t="s">
        <v>37</v>
      </c>
      <c r="G248" s="46" t="s">
        <v>1038</v>
      </c>
      <c r="H248" s="46" t="s">
        <v>1038</v>
      </c>
      <c r="I248" s="46" t="s">
        <v>533</v>
      </c>
      <c r="J248" s="46" t="s">
        <v>968</v>
      </c>
      <c r="K248" s="43">
        <v>22</v>
      </c>
      <c r="L248" s="43">
        <v>11</v>
      </c>
      <c r="M248" s="47">
        <v>1.8333333333333333</v>
      </c>
      <c r="N248" s="47">
        <v>74.8</v>
      </c>
      <c r="O248" s="46" t="s">
        <v>4295</v>
      </c>
      <c r="P248" s="43">
        <v>1103</v>
      </c>
      <c r="Q248" s="43">
        <v>40</v>
      </c>
      <c r="R248" s="45" t="s">
        <v>4263</v>
      </c>
      <c r="S248" s="46" t="s">
        <v>1142</v>
      </c>
    </row>
    <row r="249" spans="1:19" ht="42">
      <c r="A249" s="43">
        <v>245</v>
      </c>
      <c r="B249" s="43">
        <v>197</v>
      </c>
      <c r="C249" s="43">
        <v>1045</v>
      </c>
      <c r="D249" s="44">
        <v>45684</v>
      </c>
      <c r="E249" s="45" t="s">
        <v>2551</v>
      </c>
      <c r="F249" s="46" t="s">
        <v>382</v>
      </c>
      <c r="G249" s="46" t="s">
        <v>892</v>
      </c>
      <c r="H249" s="46" t="s">
        <v>965</v>
      </c>
      <c r="I249" s="46" t="s">
        <v>512</v>
      </c>
      <c r="J249" s="46" t="s">
        <v>977</v>
      </c>
      <c r="K249" s="43">
        <v>33</v>
      </c>
      <c r="L249" s="43">
        <v>575</v>
      </c>
      <c r="M249" s="47">
        <v>5.7291666666666664E-2</v>
      </c>
      <c r="N249" s="47">
        <v>74.5</v>
      </c>
      <c r="O249" s="46" t="s">
        <v>4295</v>
      </c>
      <c r="P249" s="43">
        <v>515</v>
      </c>
      <c r="Q249" s="43">
        <v>20</v>
      </c>
      <c r="R249" s="45" t="s">
        <v>4278</v>
      </c>
      <c r="S249" s="46" t="s">
        <v>2552</v>
      </c>
    </row>
    <row r="250" spans="1:19" ht="42">
      <c r="A250" s="43">
        <v>246</v>
      </c>
      <c r="B250" s="43">
        <v>209</v>
      </c>
      <c r="C250" s="43">
        <v>739</v>
      </c>
      <c r="D250" s="44">
        <v>45759</v>
      </c>
      <c r="E250" s="45" t="s">
        <v>2506</v>
      </c>
      <c r="F250" s="46" t="s">
        <v>37</v>
      </c>
      <c r="G250" s="46" t="s">
        <v>887</v>
      </c>
      <c r="H250" s="46" t="s">
        <v>965</v>
      </c>
      <c r="I250" s="46" t="s">
        <v>522</v>
      </c>
      <c r="J250" s="46" t="s">
        <v>977</v>
      </c>
      <c r="K250" s="43">
        <v>32</v>
      </c>
      <c r="L250" s="43">
        <v>500</v>
      </c>
      <c r="M250" s="47">
        <v>6.3872255489021951E-2</v>
      </c>
      <c r="N250" s="47">
        <v>74.5</v>
      </c>
      <c r="O250" s="46" t="s">
        <v>4295</v>
      </c>
      <c r="P250" s="43">
        <v>594</v>
      </c>
      <c r="Q250" s="43">
        <v>20</v>
      </c>
      <c r="R250" s="45" t="s">
        <v>4278</v>
      </c>
      <c r="S250" s="46" t="s">
        <v>2507</v>
      </c>
    </row>
    <row r="251" spans="1:19" ht="31.5">
      <c r="A251" s="43">
        <v>247</v>
      </c>
      <c r="B251" s="43">
        <v>301</v>
      </c>
      <c r="C251" s="43">
        <v>1271</v>
      </c>
      <c r="D251" s="44">
        <v>46155</v>
      </c>
      <c r="E251" s="45" t="s">
        <v>1596</v>
      </c>
      <c r="F251" s="46" t="s">
        <v>37</v>
      </c>
      <c r="G251" s="46" t="s">
        <v>1038</v>
      </c>
      <c r="H251" s="46" t="s">
        <v>1134</v>
      </c>
      <c r="I251" s="46" t="s">
        <v>526</v>
      </c>
      <c r="J251" s="46" t="s">
        <v>968</v>
      </c>
      <c r="K251" s="43">
        <v>26</v>
      </c>
      <c r="L251" s="43">
        <v>104</v>
      </c>
      <c r="M251" s="47">
        <v>0.24761904761904763</v>
      </c>
      <c r="N251" s="47">
        <v>74.5</v>
      </c>
      <c r="O251" s="46" t="s">
        <v>4295</v>
      </c>
      <c r="P251" s="43">
        <v>1294</v>
      </c>
      <c r="Q251" s="43">
        <v>30</v>
      </c>
      <c r="R251" s="45" t="s">
        <v>4266</v>
      </c>
      <c r="S251" s="46" t="s">
        <v>1597</v>
      </c>
    </row>
    <row r="252" spans="1:19" ht="31.5">
      <c r="A252" s="43">
        <v>248</v>
      </c>
      <c r="B252" s="43">
        <v>302</v>
      </c>
      <c r="C252" s="43">
        <v>1270</v>
      </c>
      <c r="D252" s="44">
        <v>46153</v>
      </c>
      <c r="E252" s="45" t="s">
        <v>1599</v>
      </c>
      <c r="F252" s="46" t="s">
        <v>37</v>
      </c>
      <c r="G252" s="46" t="s">
        <v>889</v>
      </c>
      <c r="H252" s="46" t="s">
        <v>965</v>
      </c>
      <c r="I252" s="46" t="s">
        <v>515</v>
      </c>
      <c r="J252" s="46" t="s">
        <v>977</v>
      </c>
      <c r="K252" s="43">
        <v>26</v>
      </c>
      <c r="L252" s="43">
        <v>106</v>
      </c>
      <c r="M252" s="47">
        <v>0.24299065420560748</v>
      </c>
      <c r="N252" s="47">
        <v>74.5</v>
      </c>
      <c r="O252" s="46" t="s">
        <v>4295</v>
      </c>
      <c r="P252" s="43">
        <v>310</v>
      </c>
      <c r="Q252" s="43">
        <v>30</v>
      </c>
      <c r="R252" s="45" t="s">
        <v>4279</v>
      </c>
      <c r="S252" s="46" t="s">
        <v>1600</v>
      </c>
    </row>
    <row r="253" spans="1:19" ht="42">
      <c r="A253" s="43">
        <v>249</v>
      </c>
      <c r="B253" s="43">
        <v>134</v>
      </c>
      <c r="C253" s="43">
        <v>304</v>
      </c>
      <c r="D253" s="44">
        <v>45179</v>
      </c>
      <c r="E253" s="45" t="s">
        <v>3590</v>
      </c>
      <c r="F253" s="46" t="s">
        <v>37</v>
      </c>
      <c r="G253" s="46" t="s">
        <v>905</v>
      </c>
      <c r="H253" s="46" t="s">
        <v>965</v>
      </c>
      <c r="I253" s="46" t="s">
        <v>533</v>
      </c>
      <c r="J253" s="46" t="s">
        <v>968</v>
      </c>
      <c r="K253" s="43">
        <v>41</v>
      </c>
      <c r="L253" s="43">
        <v>1080</v>
      </c>
      <c r="M253" s="47">
        <v>3.7927844588344126E-2</v>
      </c>
      <c r="N253" s="47">
        <v>74.400000000000006</v>
      </c>
      <c r="O253" s="46" t="s">
        <v>4295</v>
      </c>
      <c r="P253" s="43">
        <v>218</v>
      </c>
      <c r="Q253" s="43">
        <v>10</v>
      </c>
      <c r="R253" s="45" t="s">
        <v>4281</v>
      </c>
      <c r="S253" s="46" t="s">
        <v>3591</v>
      </c>
    </row>
    <row r="254" spans="1:19" ht="42">
      <c r="A254" s="43">
        <v>250</v>
      </c>
      <c r="B254" s="43">
        <v>231</v>
      </c>
      <c r="C254" s="43">
        <v>941</v>
      </c>
      <c r="D254" s="44">
        <v>45855</v>
      </c>
      <c r="E254" s="45" t="s">
        <v>2296</v>
      </c>
      <c r="F254" s="46" t="s">
        <v>371</v>
      </c>
      <c r="G254" s="46" t="s">
        <v>887</v>
      </c>
      <c r="H254" s="46" t="s">
        <v>1317</v>
      </c>
      <c r="I254" s="46" t="s">
        <v>519</v>
      </c>
      <c r="J254" s="46" t="s">
        <v>968</v>
      </c>
      <c r="K254" s="43">
        <v>31</v>
      </c>
      <c r="L254" s="43">
        <v>404</v>
      </c>
      <c r="M254" s="47">
        <v>7.6543209876543214E-2</v>
      </c>
      <c r="N254" s="47">
        <v>74.3</v>
      </c>
      <c r="O254" s="46" t="s">
        <v>4295</v>
      </c>
      <c r="P254" s="43">
        <v>446</v>
      </c>
      <c r="Q254" s="43">
        <v>20</v>
      </c>
      <c r="R254" s="45" t="s">
        <v>4275</v>
      </c>
      <c r="S254" s="46" t="s">
        <v>2297</v>
      </c>
    </row>
    <row r="255" spans="1:19" ht="42">
      <c r="A255" s="43">
        <v>251</v>
      </c>
      <c r="B255" s="43">
        <v>232</v>
      </c>
      <c r="C255" s="43">
        <v>1067</v>
      </c>
      <c r="D255" s="44">
        <v>45848</v>
      </c>
      <c r="E255" s="45" t="s">
        <v>2312</v>
      </c>
      <c r="F255" s="46" t="s">
        <v>382</v>
      </c>
      <c r="G255" s="46" t="s">
        <v>891</v>
      </c>
      <c r="H255" s="46" t="s">
        <v>965</v>
      </c>
      <c r="I255" s="46" t="s">
        <v>533</v>
      </c>
      <c r="J255" s="46" t="s">
        <v>977</v>
      </c>
      <c r="K255" s="43">
        <v>31</v>
      </c>
      <c r="L255" s="43">
        <v>411</v>
      </c>
      <c r="M255" s="47">
        <v>7.5242718446601936E-2</v>
      </c>
      <c r="N255" s="47">
        <v>74.3</v>
      </c>
      <c r="O255" s="46" t="s">
        <v>4295</v>
      </c>
      <c r="P255" s="43">
        <v>641</v>
      </c>
      <c r="Q255" s="43">
        <v>20</v>
      </c>
      <c r="R255" s="45" t="s">
        <v>4278</v>
      </c>
      <c r="S255" s="46" t="s">
        <v>2313</v>
      </c>
    </row>
    <row r="256" spans="1:19" ht="42">
      <c r="A256" s="43">
        <v>252</v>
      </c>
      <c r="B256" s="43">
        <v>251</v>
      </c>
      <c r="C256" s="43">
        <v>980</v>
      </c>
      <c r="D256" s="44">
        <v>45984</v>
      </c>
      <c r="E256" s="45" t="s">
        <v>2062</v>
      </c>
      <c r="F256" s="46" t="s">
        <v>371</v>
      </c>
      <c r="G256" s="46" t="s">
        <v>1038</v>
      </c>
      <c r="H256" s="46" t="s">
        <v>1005</v>
      </c>
      <c r="I256" s="46" t="s">
        <v>512</v>
      </c>
      <c r="J256" s="46" t="s">
        <v>968</v>
      </c>
      <c r="K256" s="43">
        <v>29</v>
      </c>
      <c r="L256" s="43">
        <v>275</v>
      </c>
      <c r="M256" s="47">
        <v>0.10507246376811594</v>
      </c>
      <c r="N256" s="47">
        <v>74.3</v>
      </c>
      <c r="O256" s="46" t="s">
        <v>4295</v>
      </c>
      <c r="P256" s="43">
        <v>122</v>
      </c>
      <c r="Q256" s="43">
        <v>20</v>
      </c>
      <c r="R256" s="45" t="s">
        <v>4275</v>
      </c>
      <c r="S256" s="46" t="s">
        <v>2063</v>
      </c>
    </row>
    <row r="257" spans="1:19" ht="42">
      <c r="A257" s="43">
        <v>253</v>
      </c>
      <c r="B257" s="43">
        <v>252</v>
      </c>
      <c r="C257" s="43">
        <v>1129</v>
      </c>
      <c r="D257" s="44">
        <v>45978</v>
      </c>
      <c r="E257" s="45" t="s">
        <v>2074</v>
      </c>
      <c r="F257" s="46" t="s">
        <v>360</v>
      </c>
      <c r="G257" s="46" t="s">
        <v>904</v>
      </c>
      <c r="H257" s="46" t="s">
        <v>965</v>
      </c>
      <c r="I257" s="46" t="s">
        <v>530</v>
      </c>
      <c r="J257" s="46" t="s">
        <v>968</v>
      </c>
      <c r="K257" s="43">
        <v>29</v>
      </c>
      <c r="L257" s="43">
        <v>281</v>
      </c>
      <c r="M257" s="47">
        <v>0.10283687943262411</v>
      </c>
      <c r="N257" s="47">
        <v>74.2</v>
      </c>
      <c r="O257" s="46" t="s">
        <v>4295</v>
      </c>
      <c r="P257" s="43">
        <v>250</v>
      </c>
      <c r="Q257" s="43">
        <v>20</v>
      </c>
      <c r="R257" s="45" t="s">
        <v>4275</v>
      </c>
      <c r="S257" s="46" t="s">
        <v>2075</v>
      </c>
    </row>
    <row r="258" spans="1:19" ht="42">
      <c r="A258" s="43">
        <v>254</v>
      </c>
      <c r="B258" s="43">
        <v>210</v>
      </c>
      <c r="C258" s="43">
        <v>736</v>
      </c>
      <c r="D258" s="44">
        <v>45739</v>
      </c>
      <c r="E258" s="45" t="s">
        <v>2515</v>
      </c>
      <c r="F258" s="46" t="s">
        <v>37</v>
      </c>
      <c r="G258" s="46" t="s">
        <v>878</v>
      </c>
      <c r="H258" s="46" t="s">
        <v>965</v>
      </c>
      <c r="I258" s="46" t="s">
        <v>512</v>
      </c>
      <c r="J258" s="46" t="s">
        <v>977</v>
      </c>
      <c r="K258" s="43">
        <v>32</v>
      </c>
      <c r="L258" s="43">
        <v>520</v>
      </c>
      <c r="M258" s="47">
        <v>6.1420345489443376E-2</v>
      </c>
      <c r="N258" s="47">
        <v>74.099999999999994</v>
      </c>
      <c r="O258" s="46" t="s">
        <v>4295</v>
      </c>
      <c r="P258" s="43">
        <v>739</v>
      </c>
      <c r="Q258" s="43">
        <v>20</v>
      </c>
      <c r="R258" s="45" t="s">
        <v>4278</v>
      </c>
      <c r="S258" s="46" t="s">
        <v>2516</v>
      </c>
    </row>
    <row r="259" spans="1:19" ht="42">
      <c r="A259" s="43">
        <v>255</v>
      </c>
      <c r="B259" s="43">
        <v>198</v>
      </c>
      <c r="C259" s="43">
        <v>664</v>
      </c>
      <c r="D259" s="44">
        <v>45621</v>
      </c>
      <c r="E259" s="45" t="s">
        <v>2777</v>
      </c>
      <c r="F259" s="46" t="s">
        <v>37</v>
      </c>
      <c r="G259" s="46" t="s">
        <v>1038</v>
      </c>
      <c r="H259" s="46" t="s">
        <v>1134</v>
      </c>
      <c r="I259" s="46" t="s">
        <v>519</v>
      </c>
      <c r="J259" s="46" t="s">
        <v>977</v>
      </c>
      <c r="K259" s="43">
        <v>33</v>
      </c>
      <c r="L259" s="43">
        <v>638</v>
      </c>
      <c r="M259" s="47">
        <v>5.1643192488262914E-2</v>
      </c>
      <c r="N259" s="47">
        <v>73.8</v>
      </c>
      <c r="O259" s="46" t="s">
        <v>4295</v>
      </c>
      <c r="P259" s="43">
        <v>392</v>
      </c>
      <c r="Q259" s="43">
        <v>10</v>
      </c>
      <c r="R259" s="45" t="s">
        <v>4281</v>
      </c>
      <c r="S259" s="46" t="s">
        <v>2778</v>
      </c>
    </row>
    <row r="260" spans="1:19" ht="42">
      <c r="A260" s="43">
        <v>256</v>
      </c>
      <c r="B260" s="43">
        <v>287</v>
      </c>
      <c r="C260" s="43">
        <v>1177</v>
      </c>
      <c r="D260" s="44">
        <v>46076</v>
      </c>
      <c r="E260" s="45" t="s">
        <v>1779</v>
      </c>
      <c r="F260" s="46" t="s">
        <v>37</v>
      </c>
      <c r="G260" s="46" t="s">
        <v>939</v>
      </c>
      <c r="H260" s="46" t="s">
        <v>1317</v>
      </c>
      <c r="I260" s="46" t="s">
        <v>515</v>
      </c>
      <c r="J260" s="46" t="s">
        <v>968</v>
      </c>
      <c r="K260" s="43">
        <v>27</v>
      </c>
      <c r="L260" s="43">
        <v>183</v>
      </c>
      <c r="M260" s="47">
        <v>0.14673913043478262</v>
      </c>
      <c r="N260" s="47">
        <v>73.8</v>
      </c>
      <c r="O260" s="46" t="s">
        <v>4295</v>
      </c>
      <c r="P260" s="43">
        <v>372</v>
      </c>
      <c r="Q260" s="43">
        <v>20</v>
      </c>
      <c r="R260" s="45" t="s">
        <v>4272</v>
      </c>
      <c r="S260" s="46" t="s">
        <v>1780</v>
      </c>
    </row>
    <row r="261" spans="1:19" ht="42">
      <c r="A261" s="43">
        <v>257</v>
      </c>
      <c r="B261" s="43">
        <v>135</v>
      </c>
      <c r="C261" s="43">
        <v>212</v>
      </c>
      <c r="D261" s="44">
        <v>45094</v>
      </c>
      <c r="E261" s="45" t="s">
        <v>3741</v>
      </c>
      <c r="F261" s="46" t="s">
        <v>37</v>
      </c>
      <c r="G261" s="46" t="s">
        <v>1038</v>
      </c>
      <c r="H261" s="46" t="s">
        <v>1038</v>
      </c>
      <c r="I261" s="46" t="s">
        <v>533</v>
      </c>
      <c r="J261" s="46" t="s">
        <v>977</v>
      </c>
      <c r="K261" s="43">
        <v>41</v>
      </c>
      <c r="L261" s="43">
        <v>1165</v>
      </c>
      <c r="M261" s="47">
        <v>3.5162950257289882E-2</v>
      </c>
      <c r="N261" s="47">
        <v>73.7</v>
      </c>
      <c r="O261" s="46" t="s">
        <v>4295</v>
      </c>
      <c r="P261" s="43">
        <v>167</v>
      </c>
      <c r="Q261" s="43">
        <v>20</v>
      </c>
      <c r="R261" s="45" t="s">
        <v>4275</v>
      </c>
      <c r="S261" s="46" t="s">
        <v>3742</v>
      </c>
    </row>
    <row r="262" spans="1:19" ht="42">
      <c r="A262" s="43">
        <v>258</v>
      </c>
      <c r="B262" s="43">
        <v>317</v>
      </c>
      <c r="C262" s="43">
        <v>1280</v>
      </c>
      <c r="D262" s="44">
        <v>46165</v>
      </c>
      <c r="E262" s="45" t="s">
        <v>1572</v>
      </c>
      <c r="F262" s="46" t="s">
        <v>37</v>
      </c>
      <c r="G262" s="46" t="s">
        <v>1038</v>
      </c>
      <c r="H262" s="46" t="s">
        <v>1005</v>
      </c>
      <c r="I262" s="46" t="s">
        <v>522</v>
      </c>
      <c r="J262" s="46" t="s">
        <v>977</v>
      </c>
      <c r="K262" s="43">
        <v>25</v>
      </c>
      <c r="L262" s="43">
        <v>94</v>
      </c>
      <c r="M262" s="47">
        <v>0.26315789473684209</v>
      </c>
      <c r="N262" s="47">
        <v>73.7</v>
      </c>
      <c r="O262" s="46" t="s">
        <v>4295</v>
      </c>
      <c r="P262" s="43">
        <v>333</v>
      </c>
      <c r="Q262" s="43">
        <v>20</v>
      </c>
      <c r="R262" s="45" t="s">
        <v>4272</v>
      </c>
      <c r="S262" s="46" t="s">
        <v>1573</v>
      </c>
    </row>
    <row r="263" spans="1:19" ht="31.5">
      <c r="A263" s="43">
        <v>259</v>
      </c>
      <c r="B263" s="43">
        <v>337</v>
      </c>
      <c r="C263" s="43">
        <v>1346</v>
      </c>
      <c r="D263" s="44">
        <v>46207</v>
      </c>
      <c r="E263" s="45" t="s">
        <v>1455</v>
      </c>
      <c r="F263" s="46" t="s">
        <v>37</v>
      </c>
      <c r="G263" s="46" t="s">
        <v>896</v>
      </c>
      <c r="H263" s="46" t="s">
        <v>965</v>
      </c>
      <c r="I263" s="46" t="s">
        <v>512</v>
      </c>
      <c r="J263" s="46" t="s">
        <v>977</v>
      </c>
      <c r="K263" s="43">
        <v>24</v>
      </c>
      <c r="L263" s="43">
        <v>52</v>
      </c>
      <c r="M263" s="47">
        <v>0.45283018867924529</v>
      </c>
      <c r="N263" s="47">
        <v>73.7</v>
      </c>
      <c r="O263" s="46" t="s">
        <v>4295</v>
      </c>
      <c r="P263" s="43">
        <v>870</v>
      </c>
      <c r="Q263" s="43">
        <v>30</v>
      </c>
      <c r="R263" s="45" t="s">
        <v>4266</v>
      </c>
      <c r="S263" s="46" t="s">
        <v>1456</v>
      </c>
    </row>
    <row r="264" spans="1:19" ht="42">
      <c r="A264" s="43">
        <v>260</v>
      </c>
      <c r="B264" s="43">
        <v>270</v>
      </c>
      <c r="C264" s="43">
        <v>1090</v>
      </c>
      <c r="D264" s="44">
        <v>46026</v>
      </c>
      <c r="E264" s="45" t="s">
        <v>1923</v>
      </c>
      <c r="F264" s="46" t="s">
        <v>382</v>
      </c>
      <c r="G264" s="46" t="s">
        <v>921</v>
      </c>
      <c r="H264" s="46" t="s">
        <v>965</v>
      </c>
      <c r="I264" s="46" t="s">
        <v>515</v>
      </c>
      <c r="J264" s="46" t="s">
        <v>977</v>
      </c>
      <c r="K264" s="43">
        <v>28</v>
      </c>
      <c r="L264" s="43">
        <v>233</v>
      </c>
      <c r="M264" s="47">
        <v>0.11965811965811966</v>
      </c>
      <c r="N264" s="47">
        <v>73.599999999999994</v>
      </c>
      <c r="O264" s="46" t="s">
        <v>4295</v>
      </c>
      <c r="P264" s="43">
        <v>1086</v>
      </c>
      <c r="Q264" s="43">
        <v>20</v>
      </c>
      <c r="R264" s="45" t="s">
        <v>4278</v>
      </c>
      <c r="S264" s="46" t="s">
        <v>1924</v>
      </c>
    </row>
    <row r="265" spans="1:19" ht="42">
      <c r="A265" s="43">
        <v>261</v>
      </c>
      <c r="B265" s="43">
        <v>271</v>
      </c>
      <c r="C265" s="43">
        <v>1151</v>
      </c>
      <c r="D265" s="44">
        <v>46014</v>
      </c>
      <c r="E265" s="45" t="s">
        <v>1968</v>
      </c>
      <c r="F265" s="46" t="s">
        <v>360</v>
      </c>
      <c r="G265" s="46" t="s">
        <v>908</v>
      </c>
      <c r="H265" s="46" t="s">
        <v>965</v>
      </c>
      <c r="I265" s="46" t="s">
        <v>519</v>
      </c>
      <c r="J265" s="46" t="s">
        <v>968</v>
      </c>
      <c r="K265" s="43">
        <v>28</v>
      </c>
      <c r="L265" s="43">
        <v>245</v>
      </c>
      <c r="M265" s="47">
        <v>0.11382113821138211</v>
      </c>
      <c r="N265" s="47">
        <v>73.5</v>
      </c>
      <c r="O265" s="46" t="s">
        <v>4295</v>
      </c>
      <c r="P265" s="43">
        <v>370</v>
      </c>
      <c r="Q265" s="43">
        <v>20</v>
      </c>
      <c r="R265" s="45" t="s">
        <v>4275</v>
      </c>
      <c r="S265" s="46" t="s">
        <v>1969</v>
      </c>
    </row>
    <row r="266" spans="1:19" ht="31.5">
      <c r="A266" s="43">
        <v>262</v>
      </c>
      <c r="B266" s="43">
        <v>356</v>
      </c>
      <c r="C266" s="43">
        <v>1389</v>
      </c>
      <c r="D266" s="44">
        <v>46223</v>
      </c>
      <c r="E266" s="45" t="s">
        <v>1354</v>
      </c>
      <c r="F266" s="46" t="s">
        <v>360</v>
      </c>
      <c r="G266" s="46" t="s">
        <v>892</v>
      </c>
      <c r="H266" s="46" t="s">
        <v>965</v>
      </c>
      <c r="I266" s="46" t="s">
        <v>522</v>
      </c>
      <c r="J266" s="46" t="s">
        <v>977</v>
      </c>
      <c r="K266" s="43">
        <v>23</v>
      </c>
      <c r="L266" s="43">
        <v>36</v>
      </c>
      <c r="M266" s="47">
        <v>0.6216216216216216</v>
      </c>
      <c r="N266" s="47">
        <v>73.5</v>
      </c>
      <c r="O266" s="46" t="s">
        <v>4295</v>
      </c>
      <c r="P266" s="43">
        <v>306</v>
      </c>
      <c r="Q266" s="43">
        <v>40</v>
      </c>
      <c r="R266" s="45" t="s">
        <v>4287</v>
      </c>
      <c r="S266" s="46" t="s">
        <v>1355</v>
      </c>
    </row>
    <row r="267" spans="1:19" ht="42">
      <c r="A267" s="43">
        <v>263</v>
      </c>
      <c r="B267" s="43">
        <v>288</v>
      </c>
      <c r="C267" s="43">
        <v>1169</v>
      </c>
      <c r="D267" s="44">
        <v>46066</v>
      </c>
      <c r="E267" s="45" t="s">
        <v>1797</v>
      </c>
      <c r="F267" s="46" t="s">
        <v>360</v>
      </c>
      <c r="G267" s="46" t="s">
        <v>878</v>
      </c>
      <c r="H267" s="46" t="s">
        <v>1317</v>
      </c>
      <c r="I267" s="46" t="s">
        <v>519</v>
      </c>
      <c r="J267" s="46" t="s">
        <v>968</v>
      </c>
      <c r="K267" s="43">
        <v>27</v>
      </c>
      <c r="L267" s="43">
        <v>193</v>
      </c>
      <c r="M267" s="47">
        <v>0.13917525773195877</v>
      </c>
      <c r="N267" s="47">
        <v>73.400000000000006</v>
      </c>
      <c r="O267" s="46" t="s">
        <v>4295</v>
      </c>
      <c r="P267" s="43">
        <v>380</v>
      </c>
      <c r="Q267" s="43">
        <v>10</v>
      </c>
      <c r="R267" s="45" t="s">
        <v>4281</v>
      </c>
      <c r="S267" s="46" t="s">
        <v>1798</v>
      </c>
    </row>
    <row r="268" spans="1:19" ht="42">
      <c r="A268" s="43">
        <v>264</v>
      </c>
      <c r="B268" s="43">
        <v>253</v>
      </c>
      <c r="C268" s="43">
        <v>792</v>
      </c>
      <c r="D268" s="44">
        <v>45920</v>
      </c>
      <c r="E268" s="45" t="s">
        <v>2131</v>
      </c>
      <c r="F268" s="46" t="s">
        <v>37</v>
      </c>
      <c r="G268" s="46" t="s">
        <v>940</v>
      </c>
      <c r="H268" s="46" t="s">
        <v>965</v>
      </c>
      <c r="I268" s="46" t="s">
        <v>512</v>
      </c>
      <c r="J268" s="46" t="s">
        <v>977</v>
      </c>
      <c r="K268" s="43">
        <v>29</v>
      </c>
      <c r="L268" s="43">
        <v>339</v>
      </c>
      <c r="M268" s="47">
        <v>8.5294117647058826E-2</v>
      </c>
      <c r="N268" s="47">
        <v>73.3</v>
      </c>
      <c r="O268" s="46" t="s">
        <v>4295</v>
      </c>
      <c r="P268" s="43">
        <v>575</v>
      </c>
      <c r="Q268" s="43">
        <v>20</v>
      </c>
      <c r="R268" s="45" t="s">
        <v>4278</v>
      </c>
      <c r="S268" s="46" t="s">
        <v>2132</v>
      </c>
    </row>
    <row r="269" spans="1:19" ht="31.5">
      <c r="A269" s="43">
        <v>265</v>
      </c>
      <c r="B269" s="43">
        <v>318</v>
      </c>
      <c r="C269" s="43">
        <v>1258</v>
      </c>
      <c r="D269" s="44">
        <v>46150</v>
      </c>
      <c r="E269" s="45" t="s">
        <v>1635</v>
      </c>
      <c r="F269" s="46" t="s">
        <v>37</v>
      </c>
      <c r="G269" s="46" t="s">
        <v>887</v>
      </c>
      <c r="H269" s="46" t="s">
        <v>965</v>
      </c>
      <c r="I269" s="46" t="s">
        <v>519</v>
      </c>
      <c r="J269" s="46" t="s">
        <v>968</v>
      </c>
      <c r="K269" s="43">
        <v>25</v>
      </c>
      <c r="L269" s="43">
        <v>109</v>
      </c>
      <c r="M269" s="47">
        <v>0.22727272727272727</v>
      </c>
      <c r="N269" s="47">
        <v>73.3</v>
      </c>
      <c r="O269" s="46" t="s">
        <v>4295</v>
      </c>
      <c r="P269" s="43">
        <v>782</v>
      </c>
      <c r="Q269" s="43">
        <v>30</v>
      </c>
      <c r="R269" s="45" t="s">
        <v>4266</v>
      </c>
      <c r="S269" s="46" t="s">
        <v>1636</v>
      </c>
    </row>
    <row r="270" spans="1:19" ht="42">
      <c r="A270" s="43">
        <v>266</v>
      </c>
      <c r="B270" s="43">
        <v>319</v>
      </c>
      <c r="C270" s="43">
        <v>1241</v>
      </c>
      <c r="D270" s="44">
        <v>46140</v>
      </c>
      <c r="E270" s="45" t="s">
        <v>1680</v>
      </c>
      <c r="F270" s="46" t="s">
        <v>37</v>
      </c>
      <c r="G270" s="46" t="s">
        <v>882</v>
      </c>
      <c r="H270" s="46" t="s">
        <v>965</v>
      </c>
      <c r="I270" s="46" t="s">
        <v>530</v>
      </c>
      <c r="J270" s="46" t="s">
        <v>968</v>
      </c>
      <c r="K270" s="43">
        <v>25</v>
      </c>
      <c r="L270" s="43">
        <v>119</v>
      </c>
      <c r="M270" s="47">
        <v>0.20833333333333334</v>
      </c>
      <c r="N270" s="47">
        <v>73.099999999999994</v>
      </c>
      <c r="O270" s="46" t="s">
        <v>4295</v>
      </c>
      <c r="P270" s="43">
        <v>257</v>
      </c>
      <c r="Q270" s="43">
        <v>20</v>
      </c>
      <c r="R270" s="45" t="s">
        <v>4272</v>
      </c>
      <c r="S270" s="46" t="s">
        <v>1681</v>
      </c>
    </row>
    <row r="271" spans="1:19" ht="31.5">
      <c r="A271" s="43">
        <v>267</v>
      </c>
      <c r="B271" s="43">
        <v>420</v>
      </c>
      <c r="C271" s="43">
        <v>1466</v>
      </c>
      <c r="D271" s="44">
        <v>46252</v>
      </c>
      <c r="E271" s="45" t="s">
        <v>1099</v>
      </c>
      <c r="F271" s="46" t="s">
        <v>37</v>
      </c>
      <c r="G271" s="46" t="s">
        <v>912</v>
      </c>
      <c r="H271" s="46" t="s">
        <v>965</v>
      </c>
      <c r="I271" s="46" t="s">
        <v>530</v>
      </c>
      <c r="J271" s="46" t="s">
        <v>977</v>
      </c>
      <c r="K271" s="43">
        <v>20</v>
      </c>
      <c r="L271" s="43">
        <v>7</v>
      </c>
      <c r="M271" s="47">
        <v>2.5</v>
      </c>
      <c r="N271" s="47">
        <v>73.099999999999994</v>
      </c>
      <c r="O271" s="46" t="s">
        <v>4295</v>
      </c>
      <c r="P271" s="43">
        <v>683</v>
      </c>
      <c r="Q271" s="43">
        <v>50</v>
      </c>
      <c r="R271" s="45" t="s">
        <v>4264</v>
      </c>
      <c r="S271" s="46" t="s">
        <v>1100</v>
      </c>
    </row>
    <row r="272" spans="1:19" ht="42">
      <c r="A272" s="43">
        <v>268</v>
      </c>
      <c r="B272" s="43">
        <v>272</v>
      </c>
      <c r="C272" s="43">
        <v>1133</v>
      </c>
      <c r="D272" s="44">
        <v>45985</v>
      </c>
      <c r="E272" s="45" t="s">
        <v>2056</v>
      </c>
      <c r="F272" s="46" t="s">
        <v>360</v>
      </c>
      <c r="G272" s="46" t="s">
        <v>915</v>
      </c>
      <c r="H272" s="46" t="s">
        <v>965</v>
      </c>
      <c r="I272" s="46" t="s">
        <v>515</v>
      </c>
      <c r="J272" s="46" t="s">
        <v>977</v>
      </c>
      <c r="K272" s="43">
        <v>28</v>
      </c>
      <c r="L272" s="43">
        <v>274</v>
      </c>
      <c r="M272" s="47">
        <v>0.10181818181818182</v>
      </c>
      <c r="N272" s="47">
        <v>73</v>
      </c>
      <c r="O272" s="46" t="s">
        <v>4295</v>
      </c>
      <c r="P272" s="43">
        <v>330</v>
      </c>
      <c r="Q272" s="43">
        <v>20</v>
      </c>
      <c r="R272" s="45" t="s">
        <v>4275</v>
      </c>
      <c r="S272" s="46" t="s">
        <v>2057</v>
      </c>
    </row>
    <row r="273" spans="1:19" ht="31.5">
      <c r="A273" s="43">
        <v>269</v>
      </c>
      <c r="B273" s="43">
        <v>320</v>
      </c>
      <c r="C273" s="43">
        <v>1238</v>
      </c>
      <c r="D273" s="44">
        <v>46139</v>
      </c>
      <c r="E273" s="45" t="s">
        <v>1689</v>
      </c>
      <c r="F273" s="46" t="s">
        <v>37</v>
      </c>
      <c r="G273" s="46" t="s">
        <v>1038</v>
      </c>
      <c r="H273" s="46" t="s">
        <v>1005</v>
      </c>
      <c r="I273" s="46" t="s">
        <v>530</v>
      </c>
      <c r="J273" s="46" t="s">
        <v>968</v>
      </c>
      <c r="K273" s="43">
        <v>25</v>
      </c>
      <c r="L273" s="43">
        <v>120</v>
      </c>
      <c r="M273" s="47">
        <v>0.20661157024793389</v>
      </c>
      <c r="N273" s="47">
        <v>73</v>
      </c>
      <c r="O273" s="46" t="s">
        <v>4295</v>
      </c>
      <c r="P273" s="43">
        <v>341</v>
      </c>
      <c r="Q273" s="43">
        <v>30</v>
      </c>
      <c r="R273" s="45" t="s">
        <v>4279</v>
      </c>
      <c r="S273" s="46" t="s">
        <v>1690</v>
      </c>
    </row>
    <row r="274" spans="1:19" ht="31.5">
      <c r="A274" s="43">
        <v>270</v>
      </c>
      <c r="B274" s="43">
        <v>357</v>
      </c>
      <c r="C274" s="43">
        <v>1360</v>
      </c>
      <c r="D274" s="44">
        <v>46214</v>
      </c>
      <c r="E274" s="45" t="s">
        <v>1419</v>
      </c>
      <c r="F274" s="46" t="s">
        <v>37</v>
      </c>
      <c r="G274" s="46" t="s">
        <v>885</v>
      </c>
      <c r="H274" s="46" t="s">
        <v>965</v>
      </c>
      <c r="I274" s="46" t="s">
        <v>512</v>
      </c>
      <c r="J274" s="46" t="s">
        <v>977</v>
      </c>
      <c r="K274" s="43">
        <v>23</v>
      </c>
      <c r="L274" s="43">
        <v>45</v>
      </c>
      <c r="M274" s="47">
        <v>0.5</v>
      </c>
      <c r="N274" s="47">
        <v>72.8</v>
      </c>
      <c r="O274" s="46" t="s">
        <v>4295</v>
      </c>
      <c r="P274" s="43">
        <v>826</v>
      </c>
      <c r="Q274" s="43">
        <v>40</v>
      </c>
      <c r="R274" s="45" t="s">
        <v>4273</v>
      </c>
      <c r="S274" s="46" t="s">
        <v>1420</v>
      </c>
    </row>
    <row r="275" spans="1:19" ht="31.5">
      <c r="A275" s="43">
        <v>271</v>
      </c>
      <c r="B275" s="43">
        <v>321</v>
      </c>
      <c r="C275" s="43">
        <v>1206</v>
      </c>
      <c r="D275" s="44">
        <v>46128</v>
      </c>
      <c r="E275" s="45" t="s">
        <v>1719</v>
      </c>
      <c r="F275" s="46" t="s">
        <v>37</v>
      </c>
      <c r="G275" s="46" t="s">
        <v>1038</v>
      </c>
      <c r="H275" s="46" t="s">
        <v>1005</v>
      </c>
      <c r="I275" s="46" t="s">
        <v>519</v>
      </c>
      <c r="J275" s="46" t="s">
        <v>968</v>
      </c>
      <c r="K275" s="43">
        <v>25</v>
      </c>
      <c r="L275" s="43">
        <v>131</v>
      </c>
      <c r="M275" s="47">
        <v>0.18939393939393939</v>
      </c>
      <c r="N275" s="47">
        <v>72.7</v>
      </c>
      <c r="O275" s="46" t="s">
        <v>4295</v>
      </c>
      <c r="P275" s="43">
        <v>265</v>
      </c>
      <c r="Q275" s="43">
        <v>30</v>
      </c>
      <c r="R275" s="45" t="s">
        <v>4279</v>
      </c>
      <c r="S275" s="46" t="s">
        <v>1720</v>
      </c>
    </row>
    <row r="276" spans="1:19" ht="42">
      <c r="A276" s="43">
        <v>272</v>
      </c>
      <c r="B276" s="43">
        <v>199</v>
      </c>
      <c r="C276" s="43">
        <v>570</v>
      </c>
      <c r="D276" s="44">
        <v>45515</v>
      </c>
      <c r="E276" s="45" t="s">
        <v>3048</v>
      </c>
      <c r="F276" s="46" t="s">
        <v>37</v>
      </c>
      <c r="G276" s="46" t="s">
        <v>1038</v>
      </c>
      <c r="H276" s="46" t="s">
        <v>1484</v>
      </c>
      <c r="I276" s="46" t="s">
        <v>519</v>
      </c>
      <c r="J276" s="46" t="s">
        <v>977</v>
      </c>
      <c r="K276" s="43">
        <v>33</v>
      </c>
      <c r="L276" s="43">
        <v>744</v>
      </c>
      <c r="M276" s="47">
        <v>4.429530201342282E-2</v>
      </c>
      <c r="N276" s="47">
        <v>72.5</v>
      </c>
      <c r="O276" s="46" t="s">
        <v>4295</v>
      </c>
      <c r="P276" s="43">
        <v>424</v>
      </c>
      <c r="Q276" s="43">
        <v>10</v>
      </c>
      <c r="R276" s="45" t="s">
        <v>4281</v>
      </c>
      <c r="S276" s="46" t="s">
        <v>3049</v>
      </c>
    </row>
    <row r="277" spans="1:19" ht="31.5">
      <c r="A277" s="43">
        <v>273</v>
      </c>
      <c r="B277" s="43">
        <v>421</v>
      </c>
      <c r="C277" s="43">
        <v>1461</v>
      </c>
      <c r="D277" s="44">
        <v>46250</v>
      </c>
      <c r="E277" s="45" t="s">
        <v>1121</v>
      </c>
      <c r="F277" s="46" t="s">
        <v>37</v>
      </c>
      <c r="G277" s="46" t="s">
        <v>889</v>
      </c>
      <c r="H277" s="46" t="s">
        <v>965</v>
      </c>
      <c r="I277" s="46" t="s">
        <v>533</v>
      </c>
      <c r="J277" s="46" t="s">
        <v>977</v>
      </c>
      <c r="K277" s="43">
        <v>20</v>
      </c>
      <c r="L277" s="43">
        <v>9</v>
      </c>
      <c r="M277" s="47">
        <v>2</v>
      </c>
      <c r="N277" s="47">
        <v>72.400000000000006</v>
      </c>
      <c r="O277" s="46" t="s">
        <v>4295</v>
      </c>
      <c r="P277" s="43">
        <v>975</v>
      </c>
      <c r="Q277" s="43">
        <v>40</v>
      </c>
      <c r="R277" s="45" t="s">
        <v>4263</v>
      </c>
      <c r="S277" s="46" t="s">
        <v>1122</v>
      </c>
    </row>
    <row r="278" spans="1:19" ht="42">
      <c r="A278" s="43">
        <v>274</v>
      </c>
      <c r="B278" s="43">
        <v>303</v>
      </c>
      <c r="C278" s="43">
        <v>1168</v>
      </c>
      <c r="D278" s="44">
        <v>46065</v>
      </c>
      <c r="E278" s="45" t="s">
        <v>1800</v>
      </c>
      <c r="F278" s="46" t="s">
        <v>360</v>
      </c>
      <c r="G278" s="46" t="s">
        <v>1038</v>
      </c>
      <c r="H278" s="46" t="s">
        <v>1134</v>
      </c>
      <c r="I278" s="46" t="s">
        <v>519</v>
      </c>
      <c r="J278" s="46" t="s">
        <v>977</v>
      </c>
      <c r="K278" s="43">
        <v>26</v>
      </c>
      <c r="L278" s="43">
        <v>194</v>
      </c>
      <c r="M278" s="47">
        <v>0.13333333333333333</v>
      </c>
      <c r="N278" s="47">
        <v>72.3</v>
      </c>
      <c r="O278" s="46" t="s">
        <v>4295</v>
      </c>
      <c r="P278" s="43">
        <v>355</v>
      </c>
      <c r="Q278" s="43">
        <v>10</v>
      </c>
      <c r="R278" s="45" t="s">
        <v>4281</v>
      </c>
      <c r="S278" s="46" t="s">
        <v>1801</v>
      </c>
    </row>
    <row r="279" spans="1:19" ht="42">
      <c r="A279" s="43">
        <v>275</v>
      </c>
      <c r="B279" s="43">
        <v>254</v>
      </c>
      <c r="C279" s="43">
        <v>1058</v>
      </c>
      <c r="D279" s="44">
        <v>45844</v>
      </c>
      <c r="E279" s="45" t="s">
        <v>2334</v>
      </c>
      <c r="F279" s="46" t="s">
        <v>382</v>
      </c>
      <c r="G279" s="46" t="s">
        <v>882</v>
      </c>
      <c r="H279" s="46" t="s">
        <v>965</v>
      </c>
      <c r="I279" s="46" t="s">
        <v>530</v>
      </c>
      <c r="J279" s="46" t="s">
        <v>977</v>
      </c>
      <c r="K279" s="43">
        <v>29</v>
      </c>
      <c r="L279" s="43">
        <v>415</v>
      </c>
      <c r="M279" s="47">
        <v>6.9711538461538464E-2</v>
      </c>
      <c r="N279" s="47">
        <v>72.2</v>
      </c>
      <c r="O279" s="46" t="s">
        <v>4295</v>
      </c>
      <c r="P279" s="43">
        <v>648</v>
      </c>
      <c r="Q279" s="43">
        <v>20</v>
      </c>
      <c r="R279" s="45" t="s">
        <v>4278</v>
      </c>
      <c r="S279" s="46" t="s">
        <v>2335</v>
      </c>
    </row>
    <row r="280" spans="1:19" ht="31.5">
      <c r="A280" s="43">
        <v>276</v>
      </c>
      <c r="B280" s="43">
        <v>338</v>
      </c>
      <c r="C280" s="43">
        <v>1274</v>
      </c>
      <c r="D280" s="44">
        <v>46158</v>
      </c>
      <c r="E280" s="45" t="s">
        <v>1587</v>
      </c>
      <c r="F280" s="46" t="s">
        <v>37</v>
      </c>
      <c r="G280" s="46" t="s">
        <v>1038</v>
      </c>
      <c r="H280" s="46" t="s">
        <v>1038</v>
      </c>
      <c r="I280" s="46" t="s">
        <v>519</v>
      </c>
      <c r="J280" s="46" t="s">
        <v>977</v>
      </c>
      <c r="K280" s="43">
        <v>24</v>
      </c>
      <c r="L280" s="43">
        <v>101</v>
      </c>
      <c r="M280" s="47">
        <v>0.23529411764705882</v>
      </c>
      <c r="N280" s="47">
        <v>72.2</v>
      </c>
      <c r="O280" s="46" t="s">
        <v>4295</v>
      </c>
      <c r="P280" s="43">
        <v>1134</v>
      </c>
      <c r="Q280" s="43">
        <v>30</v>
      </c>
      <c r="R280" s="45" t="s">
        <v>4266</v>
      </c>
      <c r="S280" s="46" t="s">
        <v>1588</v>
      </c>
    </row>
    <row r="281" spans="1:19" ht="42">
      <c r="A281" s="43">
        <v>277</v>
      </c>
      <c r="B281" s="43">
        <v>157</v>
      </c>
      <c r="C281" s="43">
        <v>259</v>
      </c>
      <c r="D281" s="44">
        <v>45152</v>
      </c>
      <c r="E281" s="45" t="s">
        <v>3660</v>
      </c>
      <c r="F281" s="46" t="s">
        <v>37</v>
      </c>
      <c r="G281" s="46" t="s">
        <v>882</v>
      </c>
      <c r="H281" s="46" t="s">
        <v>965</v>
      </c>
      <c r="I281" s="46" t="s">
        <v>515</v>
      </c>
      <c r="J281" s="46" t="s">
        <v>977</v>
      </c>
      <c r="K281" s="43">
        <v>38</v>
      </c>
      <c r="L281" s="43">
        <v>1107</v>
      </c>
      <c r="M281" s="47">
        <v>3.4296028880866428E-2</v>
      </c>
      <c r="N281" s="47">
        <v>72.099999999999994</v>
      </c>
      <c r="O281" s="46" t="s">
        <v>4295</v>
      </c>
      <c r="P281" s="43">
        <v>1152</v>
      </c>
      <c r="Q281" s="43">
        <v>20</v>
      </c>
      <c r="R281" s="45" t="s">
        <v>4278</v>
      </c>
      <c r="S281" s="46" t="s">
        <v>3661</v>
      </c>
    </row>
    <row r="282" spans="1:19" ht="31.5">
      <c r="A282" s="43">
        <v>278</v>
      </c>
      <c r="B282" s="43">
        <v>211</v>
      </c>
      <c r="C282" s="43">
        <v>599</v>
      </c>
      <c r="D282" s="44">
        <v>45557</v>
      </c>
      <c r="E282" s="45" t="s">
        <v>2976</v>
      </c>
      <c r="F282" s="46" t="s">
        <v>37</v>
      </c>
      <c r="G282" s="46" t="s">
        <v>878</v>
      </c>
      <c r="H282" s="46" t="s">
        <v>965</v>
      </c>
      <c r="I282" s="46" t="s">
        <v>515</v>
      </c>
      <c r="J282" s="46" t="s">
        <v>968</v>
      </c>
      <c r="K282" s="43">
        <v>32</v>
      </c>
      <c r="L282" s="43">
        <v>702</v>
      </c>
      <c r="M282" s="47">
        <v>4.5519203413940258E-2</v>
      </c>
      <c r="N282" s="47">
        <v>72</v>
      </c>
      <c r="O282" s="46" t="s">
        <v>4295</v>
      </c>
      <c r="P282" s="43">
        <v>570</v>
      </c>
      <c r="Q282" s="43">
        <v>30</v>
      </c>
      <c r="R282" s="45" t="s">
        <v>4283</v>
      </c>
      <c r="S282" s="46" t="s">
        <v>2977</v>
      </c>
    </row>
    <row r="283" spans="1:19" ht="42">
      <c r="A283" s="43">
        <v>279</v>
      </c>
      <c r="B283" s="43">
        <v>173</v>
      </c>
      <c r="C283" s="43">
        <v>366</v>
      </c>
      <c r="D283" s="44">
        <v>45301</v>
      </c>
      <c r="E283" s="45" t="s">
        <v>3468</v>
      </c>
      <c r="F283" s="46" t="s">
        <v>37</v>
      </c>
      <c r="G283" s="46" t="s">
        <v>894</v>
      </c>
      <c r="H283" s="46" t="s">
        <v>965</v>
      </c>
      <c r="I283" s="46" t="s">
        <v>512</v>
      </c>
      <c r="J283" s="46" t="s">
        <v>977</v>
      </c>
      <c r="K283" s="43">
        <v>36</v>
      </c>
      <c r="L283" s="43">
        <v>958</v>
      </c>
      <c r="M283" s="47">
        <v>3.7539103232533892E-2</v>
      </c>
      <c r="N283" s="47">
        <v>71.900000000000006</v>
      </c>
      <c r="O283" s="46" t="s">
        <v>4295</v>
      </c>
      <c r="P283" s="43">
        <v>121</v>
      </c>
      <c r="Q283" s="43">
        <v>10</v>
      </c>
      <c r="R283" s="45" t="s">
        <v>4281</v>
      </c>
      <c r="S283" s="46" t="s">
        <v>3469</v>
      </c>
    </row>
    <row r="284" spans="1:19" ht="42">
      <c r="A284" s="43">
        <v>280</v>
      </c>
      <c r="B284" s="43">
        <v>273</v>
      </c>
      <c r="C284" s="43">
        <v>797</v>
      </c>
      <c r="D284" s="44">
        <v>45921</v>
      </c>
      <c r="E284" s="45" t="s">
        <v>2128</v>
      </c>
      <c r="F284" s="46" t="s">
        <v>37</v>
      </c>
      <c r="G284" s="46" t="s">
        <v>885</v>
      </c>
      <c r="H284" s="46" t="s">
        <v>965</v>
      </c>
      <c r="I284" s="46" t="s">
        <v>519</v>
      </c>
      <c r="J284" s="46" t="s">
        <v>968</v>
      </c>
      <c r="K284" s="43">
        <v>28</v>
      </c>
      <c r="L284" s="43">
        <v>338</v>
      </c>
      <c r="M284" s="47">
        <v>8.2595870206489674E-2</v>
      </c>
      <c r="N284" s="47">
        <v>71.900000000000006</v>
      </c>
      <c r="O284" s="46" t="s">
        <v>4295</v>
      </c>
      <c r="P284" s="43">
        <v>907</v>
      </c>
      <c r="Q284" s="43">
        <v>20</v>
      </c>
      <c r="R284" s="45" t="s">
        <v>4278</v>
      </c>
      <c r="S284" s="46" t="s">
        <v>2129</v>
      </c>
    </row>
    <row r="285" spans="1:19" ht="42">
      <c r="A285" s="43">
        <v>281</v>
      </c>
      <c r="B285" s="43">
        <v>165</v>
      </c>
      <c r="C285" s="43">
        <v>310</v>
      </c>
      <c r="D285" s="44">
        <v>45190</v>
      </c>
      <c r="E285" s="45" t="s">
        <v>3572</v>
      </c>
      <c r="F285" s="46" t="s">
        <v>37</v>
      </c>
      <c r="G285" s="46" t="s">
        <v>884</v>
      </c>
      <c r="H285" s="46" t="s">
        <v>965</v>
      </c>
      <c r="I285" s="46" t="s">
        <v>530</v>
      </c>
      <c r="J285" s="46" t="s">
        <v>977</v>
      </c>
      <c r="K285" s="43">
        <v>37</v>
      </c>
      <c r="L285" s="43">
        <v>1069</v>
      </c>
      <c r="M285" s="47">
        <v>3.4579439252336447E-2</v>
      </c>
      <c r="N285" s="47">
        <v>71.8</v>
      </c>
      <c r="O285" s="46" t="s">
        <v>4295</v>
      </c>
      <c r="P285" s="43">
        <v>763</v>
      </c>
      <c r="Q285" s="43">
        <v>20</v>
      </c>
      <c r="R285" s="45" t="s">
        <v>4278</v>
      </c>
      <c r="S285" s="46" t="s">
        <v>3573</v>
      </c>
    </row>
    <row r="286" spans="1:19" ht="42">
      <c r="A286" s="43">
        <v>282</v>
      </c>
      <c r="B286" s="43">
        <v>274</v>
      </c>
      <c r="C286" s="43">
        <v>971</v>
      </c>
      <c r="D286" s="44">
        <v>45912</v>
      </c>
      <c r="E286" s="45" t="s">
        <v>2158</v>
      </c>
      <c r="F286" s="46" t="s">
        <v>371</v>
      </c>
      <c r="G286" s="46" t="s">
        <v>1038</v>
      </c>
      <c r="H286" s="46" t="s">
        <v>1005</v>
      </c>
      <c r="I286" s="46" t="s">
        <v>530</v>
      </c>
      <c r="J286" s="46" t="s">
        <v>977</v>
      </c>
      <c r="K286" s="43">
        <v>28</v>
      </c>
      <c r="L286" s="43">
        <v>347</v>
      </c>
      <c r="M286" s="47">
        <v>8.0459770114942528E-2</v>
      </c>
      <c r="N286" s="47">
        <v>71.7</v>
      </c>
      <c r="O286" s="46" t="s">
        <v>4295</v>
      </c>
      <c r="P286" s="43">
        <v>403</v>
      </c>
      <c r="Q286" s="43">
        <v>20</v>
      </c>
      <c r="R286" s="45" t="s">
        <v>4275</v>
      </c>
      <c r="S286" s="46" t="s">
        <v>2159</v>
      </c>
    </row>
    <row r="287" spans="1:19" ht="31.5">
      <c r="A287" s="43">
        <v>283</v>
      </c>
      <c r="B287" s="43">
        <v>322</v>
      </c>
      <c r="C287" s="43">
        <v>1181</v>
      </c>
      <c r="D287" s="44">
        <v>46083</v>
      </c>
      <c r="E287" s="45" t="s">
        <v>1770</v>
      </c>
      <c r="F287" s="46" t="s">
        <v>37</v>
      </c>
      <c r="G287" s="46" t="s">
        <v>1038</v>
      </c>
      <c r="H287" s="46" t="s">
        <v>1038</v>
      </c>
      <c r="I287" s="46" t="s">
        <v>515</v>
      </c>
      <c r="J287" s="46" t="s">
        <v>977</v>
      </c>
      <c r="K287" s="43">
        <v>25</v>
      </c>
      <c r="L287" s="43">
        <v>176</v>
      </c>
      <c r="M287" s="47">
        <v>0.14124293785310735</v>
      </c>
      <c r="N287" s="47">
        <v>71.7</v>
      </c>
      <c r="O287" s="46" t="s">
        <v>4295</v>
      </c>
      <c r="P287" s="43">
        <v>336</v>
      </c>
      <c r="Q287" s="43">
        <v>30</v>
      </c>
      <c r="R287" s="45" t="s">
        <v>4279</v>
      </c>
      <c r="S287" s="46" t="s">
        <v>1771</v>
      </c>
    </row>
    <row r="288" spans="1:19" ht="31.5">
      <c r="A288" s="43">
        <v>284</v>
      </c>
      <c r="B288" s="43">
        <v>443</v>
      </c>
      <c r="C288" s="43">
        <v>1465</v>
      </c>
      <c r="D288" s="44">
        <v>46252</v>
      </c>
      <c r="E288" s="45" t="s">
        <v>1104</v>
      </c>
      <c r="F288" s="46" t="s">
        <v>37</v>
      </c>
      <c r="G288" s="46" t="s">
        <v>908</v>
      </c>
      <c r="H288" s="46" t="s">
        <v>965</v>
      </c>
      <c r="I288" s="46" t="s">
        <v>519</v>
      </c>
      <c r="J288" s="46" t="s">
        <v>977</v>
      </c>
      <c r="K288" s="43">
        <v>19</v>
      </c>
      <c r="L288" s="43">
        <v>7</v>
      </c>
      <c r="M288" s="47">
        <v>2.375</v>
      </c>
      <c r="N288" s="47">
        <v>71.7</v>
      </c>
      <c r="O288" s="46" t="s">
        <v>4295</v>
      </c>
      <c r="P288" s="43">
        <v>618</v>
      </c>
      <c r="Q288" s="43">
        <v>50</v>
      </c>
      <c r="R288" s="45" t="s">
        <v>4264</v>
      </c>
      <c r="S288" s="46" t="s">
        <v>1105</v>
      </c>
    </row>
    <row r="289" spans="1:19" ht="42">
      <c r="A289" s="43">
        <v>285</v>
      </c>
      <c r="B289" s="43">
        <v>323</v>
      </c>
      <c r="C289" s="43">
        <v>1178</v>
      </c>
      <c r="D289" s="44">
        <v>46078</v>
      </c>
      <c r="E289" s="45" t="s">
        <v>1776</v>
      </c>
      <c r="F289" s="46" t="s">
        <v>37</v>
      </c>
      <c r="G289" s="46" t="s">
        <v>1038</v>
      </c>
      <c r="H289" s="46" t="s">
        <v>1005</v>
      </c>
      <c r="I289" s="46" t="s">
        <v>522</v>
      </c>
      <c r="J289" s="46" t="s">
        <v>977</v>
      </c>
      <c r="K289" s="43">
        <v>25</v>
      </c>
      <c r="L289" s="43">
        <v>181</v>
      </c>
      <c r="M289" s="47">
        <v>0.13736263736263737</v>
      </c>
      <c r="N289" s="47">
        <v>71.5</v>
      </c>
      <c r="O289" s="46" t="s">
        <v>4295</v>
      </c>
      <c r="P289" s="43">
        <v>275</v>
      </c>
      <c r="Q289" s="43">
        <v>10</v>
      </c>
      <c r="R289" s="45" t="s">
        <v>4281</v>
      </c>
      <c r="S289" s="46" t="s">
        <v>1777</v>
      </c>
    </row>
    <row r="290" spans="1:19" ht="42">
      <c r="A290" s="43">
        <v>286</v>
      </c>
      <c r="B290" s="43">
        <v>233</v>
      </c>
      <c r="C290" s="43">
        <v>642</v>
      </c>
      <c r="D290" s="44">
        <v>45599</v>
      </c>
      <c r="E290" s="45" t="s">
        <v>2831</v>
      </c>
      <c r="F290" s="46" t="s">
        <v>37</v>
      </c>
      <c r="G290" s="46" t="s">
        <v>1038</v>
      </c>
      <c r="H290" s="46" t="s">
        <v>1038</v>
      </c>
      <c r="I290" s="46" t="s">
        <v>515</v>
      </c>
      <c r="J290" s="46" t="s">
        <v>977</v>
      </c>
      <c r="K290" s="43">
        <v>31</v>
      </c>
      <c r="L290" s="43">
        <v>660</v>
      </c>
      <c r="M290" s="47">
        <v>4.6898638426626324E-2</v>
      </c>
      <c r="N290" s="47">
        <v>71.400000000000006</v>
      </c>
      <c r="O290" s="46" t="s">
        <v>4295</v>
      </c>
      <c r="P290" s="43">
        <v>324</v>
      </c>
      <c r="Q290" s="43">
        <v>10</v>
      </c>
      <c r="R290" s="45" t="s">
        <v>4281</v>
      </c>
      <c r="S290" s="46" t="s">
        <v>2832</v>
      </c>
    </row>
    <row r="291" spans="1:19" ht="31.5">
      <c r="A291" s="43">
        <v>287</v>
      </c>
      <c r="B291" s="43">
        <v>462</v>
      </c>
      <c r="C291" s="43">
        <v>1480</v>
      </c>
      <c r="D291" s="44">
        <v>46256</v>
      </c>
      <c r="E291" s="45" t="s">
        <v>1049</v>
      </c>
      <c r="F291" s="46" t="s">
        <v>37</v>
      </c>
      <c r="G291" s="46" t="s">
        <v>1038</v>
      </c>
      <c r="H291" s="46" t="s">
        <v>1038</v>
      </c>
      <c r="I291" s="46" t="s">
        <v>533</v>
      </c>
      <c r="J291" s="46" t="s">
        <v>977</v>
      </c>
      <c r="K291" s="43">
        <v>18</v>
      </c>
      <c r="L291" s="43">
        <v>3</v>
      </c>
      <c r="M291" s="47">
        <v>4.5</v>
      </c>
      <c r="N291" s="47">
        <v>71.400000000000006</v>
      </c>
      <c r="O291" s="46" t="s">
        <v>4295</v>
      </c>
      <c r="P291" s="43">
        <v>851</v>
      </c>
      <c r="Q291" s="43">
        <v>40</v>
      </c>
      <c r="R291" s="45" t="s">
        <v>4263</v>
      </c>
      <c r="S291" s="46" t="s">
        <v>1050</v>
      </c>
    </row>
    <row r="292" spans="1:19" ht="42">
      <c r="A292" s="43">
        <v>288</v>
      </c>
      <c r="B292" s="43">
        <v>166</v>
      </c>
      <c r="C292" s="43">
        <v>238</v>
      </c>
      <c r="D292" s="44">
        <v>45138</v>
      </c>
      <c r="E292" s="45" t="s">
        <v>3699</v>
      </c>
      <c r="F292" s="46" t="s">
        <v>37</v>
      </c>
      <c r="G292" s="46" t="s">
        <v>884</v>
      </c>
      <c r="H292" s="46" t="s">
        <v>965</v>
      </c>
      <c r="I292" s="46" t="s">
        <v>533</v>
      </c>
      <c r="J292" s="46" t="s">
        <v>977</v>
      </c>
      <c r="K292" s="43">
        <v>37</v>
      </c>
      <c r="L292" s="43">
        <v>1121</v>
      </c>
      <c r="M292" s="47">
        <v>3.2976827094474151E-2</v>
      </c>
      <c r="N292" s="47">
        <v>71.3</v>
      </c>
      <c r="O292" s="46" t="s">
        <v>4295</v>
      </c>
      <c r="P292" s="43">
        <v>819</v>
      </c>
      <c r="Q292" s="43">
        <v>20</v>
      </c>
      <c r="R292" s="45" t="s">
        <v>4278</v>
      </c>
      <c r="S292" s="46" t="s">
        <v>3700</v>
      </c>
    </row>
    <row r="293" spans="1:19" ht="31.5">
      <c r="A293" s="43">
        <v>289</v>
      </c>
      <c r="B293" s="43">
        <v>200</v>
      </c>
      <c r="C293" s="43">
        <v>537</v>
      </c>
      <c r="D293" s="44">
        <v>45450</v>
      </c>
      <c r="E293" s="45" t="s">
        <v>3135</v>
      </c>
      <c r="F293" s="46" t="s">
        <v>37</v>
      </c>
      <c r="G293" s="46" t="s">
        <v>1038</v>
      </c>
      <c r="H293" s="46" t="s">
        <v>1005</v>
      </c>
      <c r="I293" s="46" t="s">
        <v>515</v>
      </c>
      <c r="J293" s="46" t="s">
        <v>968</v>
      </c>
      <c r="K293" s="43">
        <v>33</v>
      </c>
      <c r="L293" s="43">
        <v>809</v>
      </c>
      <c r="M293" s="47">
        <v>4.0740740740740744E-2</v>
      </c>
      <c r="N293" s="47">
        <v>71.3</v>
      </c>
      <c r="O293" s="46" t="s">
        <v>4295</v>
      </c>
      <c r="P293" s="43">
        <v>682</v>
      </c>
      <c r="Q293" s="43">
        <v>30</v>
      </c>
      <c r="R293" s="45" t="s">
        <v>4283</v>
      </c>
      <c r="S293" s="46" t="s">
        <v>3136</v>
      </c>
    </row>
    <row r="294" spans="1:19" ht="31.5">
      <c r="A294" s="43">
        <v>290</v>
      </c>
      <c r="B294" s="43">
        <v>255</v>
      </c>
      <c r="C294" s="43">
        <v>743</v>
      </c>
      <c r="D294" s="44">
        <v>45766</v>
      </c>
      <c r="E294" s="45" t="s">
        <v>2470</v>
      </c>
      <c r="F294" s="46" t="s">
        <v>37</v>
      </c>
      <c r="G294" s="46" t="s">
        <v>891</v>
      </c>
      <c r="H294" s="46" t="s">
        <v>965</v>
      </c>
      <c r="I294" s="46" t="s">
        <v>515</v>
      </c>
      <c r="J294" s="46" t="s">
        <v>968</v>
      </c>
      <c r="K294" s="43">
        <v>29</v>
      </c>
      <c r="L294" s="43">
        <v>493</v>
      </c>
      <c r="M294" s="47">
        <v>5.8704453441295545E-2</v>
      </c>
      <c r="N294" s="47">
        <v>71.2</v>
      </c>
      <c r="O294" s="46" t="s">
        <v>4295</v>
      </c>
      <c r="P294" s="43">
        <v>680</v>
      </c>
      <c r="Q294" s="43">
        <v>30</v>
      </c>
      <c r="R294" s="45" t="s">
        <v>4283</v>
      </c>
      <c r="S294" s="46" t="s">
        <v>2471</v>
      </c>
    </row>
    <row r="295" spans="1:19" ht="42">
      <c r="A295" s="43">
        <v>291</v>
      </c>
      <c r="B295" s="43">
        <v>81</v>
      </c>
      <c r="C295" s="43">
        <v>19</v>
      </c>
      <c r="D295" s="44">
        <v>43707</v>
      </c>
      <c r="E295" s="45" t="s">
        <v>4189</v>
      </c>
      <c r="F295" s="46" t="s">
        <v>37</v>
      </c>
      <c r="G295" s="46" t="s">
        <v>887</v>
      </c>
      <c r="H295" s="46" t="s">
        <v>965</v>
      </c>
      <c r="I295" s="46" t="s">
        <v>522</v>
      </c>
      <c r="J295" s="46" t="s">
        <v>977</v>
      </c>
      <c r="K295" s="43">
        <v>49</v>
      </c>
      <c r="L295" s="43">
        <v>2552</v>
      </c>
      <c r="M295" s="47">
        <v>1.9193106149627888E-2</v>
      </c>
      <c r="N295" s="47">
        <v>71.099999999999994</v>
      </c>
      <c r="O295" s="46" t="s">
        <v>4295</v>
      </c>
      <c r="P295" s="43">
        <v>675</v>
      </c>
      <c r="Q295" s="43">
        <v>20</v>
      </c>
      <c r="R295" s="45" t="s">
        <v>4278</v>
      </c>
      <c r="S295" s="46" t="s">
        <v>4190</v>
      </c>
    </row>
    <row r="296" spans="1:19" ht="31.5">
      <c r="A296" s="43">
        <v>292</v>
      </c>
      <c r="B296" s="43">
        <v>463</v>
      </c>
      <c r="C296" s="43">
        <v>1477</v>
      </c>
      <c r="D296" s="44">
        <v>46255</v>
      </c>
      <c r="E296" s="45" t="s">
        <v>1060</v>
      </c>
      <c r="F296" s="46" t="s">
        <v>37</v>
      </c>
      <c r="G296" s="46" t="s">
        <v>1038</v>
      </c>
      <c r="H296" s="46" t="s">
        <v>1005</v>
      </c>
      <c r="I296" s="46" t="s">
        <v>533</v>
      </c>
      <c r="J296" s="46" t="s">
        <v>977</v>
      </c>
      <c r="K296" s="43">
        <v>18</v>
      </c>
      <c r="L296" s="43">
        <v>4</v>
      </c>
      <c r="M296" s="47">
        <v>3.6</v>
      </c>
      <c r="N296" s="47">
        <v>71.099999999999994</v>
      </c>
      <c r="O296" s="46" t="s">
        <v>4295</v>
      </c>
      <c r="P296" s="43">
        <v>689</v>
      </c>
      <c r="Q296" s="43">
        <v>40</v>
      </c>
      <c r="R296" s="45" t="s">
        <v>4263</v>
      </c>
      <c r="S296" s="46" t="s">
        <v>1061</v>
      </c>
    </row>
    <row r="297" spans="1:19" ht="42">
      <c r="A297" s="43">
        <v>293</v>
      </c>
      <c r="B297" s="43">
        <v>234</v>
      </c>
      <c r="C297" s="43">
        <v>1014</v>
      </c>
      <c r="D297" s="44">
        <v>45563</v>
      </c>
      <c r="E297" s="45" t="s">
        <v>2937</v>
      </c>
      <c r="F297" s="46" t="s">
        <v>382</v>
      </c>
      <c r="G297" s="46" t="s">
        <v>878</v>
      </c>
      <c r="H297" s="46" t="s">
        <v>965</v>
      </c>
      <c r="I297" s="46" t="s">
        <v>515</v>
      </c>
      <c r="J297" s="46" t="s">
        <v>977</v>
      </c>
      <c r="K297" s="43">
        <v>31</v>
      </c>
      <c r="L297" s="43">
        <v>696</v>
      </c>
      <c r="M297" s="47">
        <v>4.4476327116212341E-2</v>
      </c>
      <c r="N297" s="47">
        <v>70.900000000000006</v>
      </c>
      <c r="O297" s="46" t="s">
        <v>4295</v>
      </c>
      <c r="P297" s="43">
        <v>18</v>
      </c>
      <c r="Q297" s="43">
        <v>10</v>
      </c>
      <c r="R297" s="45" t="s">
        <v>4281</v>
      </c>
      <c r="S297" s="46" t="s">
        <v>2938</v>
      </c>
    </row>
    <row r="298" spans="1:19" ht="31.5">
      <c r="A298" s="43">
        <v>294</v>
      </c>
      <c r="B298" s="43">
        <v>358</v>
      </c>
      <c r="C298" s="43">
        <v>1240</v>
      </c>
      <c r="D298" s="44">
        <v>46140</v>
      </c>
      <c r="E298" s="45" t="s">
        <v>1683</v>
      </c>
      <c r="F298" s="46" t="s">
        <v>37</v>
      </c>
      <c r="G298" s="46" t="s">
        <v>1038</v>
      </c>
      <c r="H298" s="46" t="s">
        <v>1134</v>
      </c>
      <c r="I298" s="46" t="s">
        <v>522</v>
      </c>
      <c r="J298" s="46" t="s">
        <v>977</v>
      </c>
      <c r="K298" s="43">
        <v>23</v>
      </c>
      <c r="L298" s="43">
        <v>119</v>
      </c>
      <c r="M298" s="47">
        <v>0.19166666666666668</v>
      </c>
      <c r="N298" s="47">
        <v>70.5</v>
      </c>
      <c r="O298" s="46" t="s">
        <v>4295</v>
      </c>
      <c r="P298" s="43">
        <v>242</v>
      </c>
      <c r="Q298" s="43">
        <v>30</v>
      </c>
      <c r="R298" s="45" t="s">
        <v>4279</v>
      </c>
      <c r="S298" s="46" t="s">
        <v>1684</v>
      </c>
    </row>
    <row r="299" spans="1:19" ht="31.5">
      <c r="A299" s="43">
        <v>295</v>
      </c>
      <c r="B299" s="43">
        <v>212</v>
      </c>
      <c r="C299" s="43">
        <v>530</v>
      </c>
      <c r="D299" s="44">
        <v>45452</v>
      </c>
      <c r="E299" s="45" t="s">
        <v>3132</v>
      </c>
      <c r="F299" s="46" t="s">
        <v>37</v>
      </c>
      <c r="G299" s="46" t="s">
        <v>1038</v>
      </c>
      <c r="H299" s="46" t="s">
        <v>1038</v>
      </c>
      <c r="I299" s="46" t="s">
        <v>512</v>
      </c>
      <c r="J299" s="46" t="s">
        <v>968</v>
      </c>
      <c r="K299" s="43">
        <v>32</v>
      </c>
      <c r="L299" s="43">
        <v>807</v>
      </c>
      <c r="M299" s="47">
        <v>3.9603960396039604E-2</v>
      </c>
      <c r="N299" s="47">
        <v>70.400000000000006</v>
      </c>
      <c r="O299" s="46" t="s">
        <v>4295</v>
      </c>
      <c r="P299" s="43">
        <v>2481</v>
      </c>
      <c r="Q299" s="43">
        <v>30</v>
      </c>
      <c r="R299" s="45" t="s">
        <v>4283</v>
      </c>
      <c r="S299" s="46" t="s">
        <v>3133</v>
      </c>
    </row>
    <row r="300" spans="1:19" ht="42">
      <c r="A300" s="43">
        <v>296</v>
      </c>
      <c r="B300" s="43">
        <v>289</v>
      </c>
      <c r="C300" s="43">
        <v>969</v>
      </c>
      <c r="D300" s="44">
        <v>45891</v>
      </c>
      <c r="E300" s="45" t="s">
        <v>2207</v>
      </c>
      <c r="F300" s="46" t="s">
        <v>371</v>
      </c>
      <c r="G300" s="46" t="s">
        <v>915</v>
      </c>
      <c r="H300" s="46" t="s">
        <v>965</v>
      </c>
      <c r="I300" s="46" t="s">
        <v>512</v>
      </c>
      <c r="J300" s="46" t="s">
        <v>977</v>
      </c>
      <c r="K300" s="43">
        <v>27</v>
      </c>
      <c r="L300" s="43">
        <v>368</v>
      </c>
      <c r="M300" s="47">
        <v>7.3170731707317069E-2</v>
      </c>
      <c r="N300" s="47">
        <v>70.400000000000006</v>
      </c>
      <c r="O300" s="46" t="s">
        <v>4295</v>
      </c>
      <c r="P300" s="43">
        <v>280</v>
      </c>
      <c r="Q300" s="43">
        <v>20</v>
      </c>
      <c r="R300" s="45" t="s">
        <v>4275</v>
      </c>
      <c r="S300" s="46" t="s">
        <v>2208</v>
      </c>
    </row>
    <row r="301" spans="1:19" ht="31.5">
      <c r="A301" s="43">
        <v>297</v>
      </c>
      <c r="B301" s="43">
        <v>464</v>
      </c>
      <c r="C301" s="43">
        <v>1469</v>
      </c>
      <c r="D301" s="44">
        <v>46253</v>
      </c>
      <c r="E301" s="45" t="s">
        <v>1088</v>
      </c>
      <c r="F301" s="46" t="s">
        <v>37</v>
      </c>
      <c r="G301" s="46" t="s">
        <v>906</v>
      </c>
      <c r="H301" s="46" t="s">
        <v>965</v>
      </c>
      <c r="I301" s="46" t="s">
        <v>519</v>
      </c>
      <c r="J301" s="46" t="s">
        <v>977</v>
      </c>
      <c r="K301" s="43">
        <v>18</v>
      </c>
      <c r="L301" s="43">
        <v>6</v>
      </c>
      <c r="M301" s="47">
        <v>2.5714285714285716</v>
      </c>
      <c r="N301" s="47">
        <v>70.3</v>
      </c>
      <c r="O301" s="46" t="s">
        <v>4295</v>
      </c>
      <c r="P301" s="43">
        <v>800</v>
      </c>
      <c r="Q301" s="43">
        <v>50</v>
      </c>
      <c r="R301" s="45" t="s">
        <v>4264</v>
      </c>
      <c r="S301" s="46" t="s">
        <v>1089</v>
      </c>
    </row>
    <row r="302" spans="1:19" ht="31.5">
      <c r="A302" s="43">
        <v>298</v>
      </c>
      <c r="B302" s="43">
        <v>240</v>
      </c>
      <c r="C302" s="43">
        <v>634</v>
      </c>
      <c r="D302" s="44">
        <v>45578</v>
      </c>
      <c r="E302" s="45" t="s">
        <v>2862</v>
      </c>
      <c r="F302" s="46" t="s">
        <v>37</v>
      </c>
      <c r="G302" s="46" t="s">
        <v>1038</v>
      </c>
      <c r="H302" s="46" t="s">
        <v>1038</v>
      </c>
      <c r="I302" s="46" t="s">
        <v>526</v>
      </c>
      <c r="J302" s="46" t="s">
        <v>977</v>
      </c>
      <c r="K302" s="43">
        <v>30</v>
      </c>
      <c r="L302" s="43">
        <v>681</v>
      </c>
      <c r="M302" s="47">
        <v>4.398826979472141E-2</v>
      </c>
      <c r="N302" s="47">
        <v>70</v>
      </c>
      <c r="O302" s="46" t="s">
        <v>4295</v>
      </c>
      <c r="P302" s="43">
        <v>1078</v>
      </c>
      <c r="Q302" s="43">
        <v>30</v>
      </c>
      <c r="R302" s="45" t="s">
        <v>4283</v>
      </c>
      <c r="S302" s="46" t="s">
        <v>2863</v>
      </c>
    </row>
    <row r="303" spans="1:19" ht="42">
      <c r="A303" s="43">
        <v>299</v>
      </c>
      <c r="B303" s="43">
        <v>256</v>
      </c>
      <c r="C303" s="43">
        <v>703</v>
      </c>
      <c r="D303" s="44">
        <v>45659</v>
      </c>
      <c r="E303" s="45" t="s">
        <v>2660</v>
      </c>
      <c r="F303" s="46" t="s">
        <v>37</v>
      </c>
      <c r="G303" s="46" t="s">
        <v>878</v>
      </c>
      <c r="H303" s="46" t="s">
        <v>965</v>
      </c>
      <c r="I303" s="46" t="s">
        <v>512</v>
      </c>
      <c r="J303" s="46" t="s">
        <v>977</v>
      </c>
      <c r="K303" s="43">
        <v>29</v>
      </c>
      <c r="L303" s="43">
        <v>600</v>
      </c>
      <c r="M303" s="47">
        <v>4.8252911813643926E-2</v>
      </c>
      <c r="N303" s="47">
        <v>69.8</v>
      </c>
      <c r="O303" s="46" t="s">
        <v>4295</v>
      </c>
      <c r="P303" s="43">
        <v>559</v>
      </c>
      <c r="Q303" s="43">
        <v>20</v>
      </c>
      <c r="R303" s="45" t="s">
        <v>4278</v>
      </c>
      <c r="S303" s="46" t="s">
        <v>2661</v>
      </c>
    </row>
    <row r="304" spans="1:19" ht="42">
      <c r="A304" s="43">
        <v>300</v>
      </c>
      <c r="B304" s="43">
        <v>257</v>
      </c>
      <c r="C304" s="43">
        <v>698</v>
      </c>
      <c r="D304" s="44">
        <v>45656</v>
      </c>
      <c r="E304" s="45" t="s">
        <v>2685</v>
      </c>
      <c r="F304" s="46" t="s">
        <v>37</v>
      </c>
      <c r="G304" s="46" t="s">
        <v>1038</v>
      </c>
      <c r="H304" s="46" t="s">
        <v>1005</v>
      </c>
      <c r="I304" s="46" t="s">
        <v>512</v>
      </c>
      <c r="J304" s="46" t="s">
        <v>968</v>
      </c>
      <c r="K304" s="43">
        <v>29</v>
      </c>
      <c r="L304" s="43">
        <v>603</v>
      </c>
      <c r="M304" s="47">
        <v>4.8013245033112585E-2</v>
      </c>
      <c r="N304" s="47">
        <v>69.8</v>
      </c>
      <c r="O304" s="46" t="s">
        <v>4295</v>
      </c>
      <c r="P304" s="43">
        <v>260</v>
      </c>
      <c r="Q304" s="43">
        <v>10</v>
      </c>
      <c r="R304" s="45" t="s">
        <v>4281</v>
      </c>
      <c r="S304" s="46" t="s">
        <v>2686</v>
      </c>
    </row>
    <row r="305" spans="1:19" ht="42">
      <c r="A305" s="43">
        <v>301</v>
      </c>
      <c r="B305" s="43">
        <v>290</v>
      </c>
      <c r="C305" s="43">
        <v>760</v>
      </c>
      <c r="D305" s="44">
        <v>45836</v>
      </c>
      <c r="E305" s="45" t="s">
        <v>2352</v>
      </c>
      <c r="F305" s="46" t="s">
        <v>37</v>
      </c>
      <c r="G305" s="46" t="s">
        <v>884</v>
      </c>
      <c r="H305" s="46" t="s">
        <v>965</v>
      </c>
      <c r="I305" s="46" t="s">
        <v>519</v>
      </c>
      <c r="J305" s="46" t="s">
        <v>977</v>
      </c>
      <c r="K305" s="43">
        <v>27</v>
      </c>
      <c r="L305" s="43">
        <v>423</v>
      </c>
      <c r="M305" s="47">
        <v>6.3679245283018868E-2</v>
      </c>
      <c r="N305" s="47">
        <v>69.7</v>
      </c>
      <c r="O305" s="46" t="s">
        <v>4295</v>
      </c>
      <c r="P305" s="43">
        <v>490</v>
      </c>
      <c r="Q305" s="43">
        <v>10</v>
      </c>
      <c r="R305" s="45" t="s">
        <v>4281</v>
      </c>
      <c r="S305" s="46" t="s">
        <v>2353</v>
      </c>
    </row>
    <row r="306" spans="1:19" ht="42">
      <c r="A306" s="43">
        <v>302</v>
      </c>
      <c r="B306" s="43">
        <v>188</v>
      </c>
      <c r="C306" s="43">
        <v>293</v>
      </c>
      <c r="D306" s="44">
        <v>45177</v>
      </c>
      <c r="E306" s="45" t="s">
        <v>3618</v>
      </c>
      <c r="F306" s="46" t="s">
        <v>37</v>
      </c>
      <c r="G306" s="46" t="s">
        <v>884</v>
      </c>
      <c r="H306" s="46" t="s">
        <v>965</v>
      </c>
      <c r="I306" s="46" t="s">
        <v>515</v>
      </c>
      <c r="J306" s="46" t="s">
        <v>977</v>
      </c>
      <c r="K306" s="43">
        <v>34</v>
      </c>
      <c r="L306" s="43">
        <v>1082</v>
      </c>
      <c r="M306" s="47">
        <v>3.139427516158818E-2</v>
      </c>
      <c r="N306" s="47">
        <v>69.599999999999994</v>
      </c>
      <c r="O306" s="46" t="s">
        <v>4295</v>
      </c>
      <c r="P306" s="43">
        <v>622</v>
      </c>
      <c r="Q306" s="43">
        <v>20</v>
      </c>
      <c r="R306" s="45" t="s">
        <v>4278</v>
      </c>
      <c r="S306" s="46" t="s">
        <v>3619</v>
      </c>
    </row>
    <row r="307" spans="1:19" ht="42">
      <c r="A307" s="43">
        <v>303</v>
      </c>
      <c r="B307" s="43">
        <v>201</v>
      </c>
      <c r="C307" s="43">
        <v>358</v>
      </c>
      <c r="D307" s="44">
        <v>45278</v>
      </c>
      <c r="E307" s="45" t="s">
        <v>3495</v>
      </c>
      <c r="F307" s="46" t="s">
        <v>37</v>
      </c>
      <c r="G307" s="46" t="s">
        <v>878</v>
      </c>
      <c r="H307" s="46" t="s">
        <v>965</v>
      </c>
      <c r="I307" s="46" t="s">
        <v>515</v>
      </c>
      <c r="J307" s="46" t="s">
        <v>968</v>
      </c>
      <c r="K307" s="43">
        <v>33</v>
      </c>
      <c r="L307" s="43">
        <v>981</v>
      </c>
      <c r="M307" s="47">
        <v>3.360488798370672E-2</v>
      </c>
      <c r="N307" s="47">
        <v>69.599999999999994</v>
      </c>
      <c r="O307" s="46" t="s">
        <v>4295</v>
      </c>
      <c r="P307" s="43">
        <v>498</v>
      </c>
      <c r="Q307" s="43">
        <v>20</v>
      </c>
      <c r="R307" s="45" t="s">
        <v>4275</v>
      </c>
      <c r="S307" s="46" t="s">
        <v>3496</v>
      </c>
    </row>
    <row r="308" spans="1:19" ht="31.5">
      <c r="A308" s="43">
        <v>304</v>
      </c>
      <c r="B308" s="43">
        <v>376</v>
      </c>
      <c r="C308" s="43">
        <v>1252</v>
      </c>
      <c r="D308" s="44">
        <v>46147</v>
      </c>
      <c r="E308" s="45" t="s">
        <v>1653</v>
      </c>
      <c r="F308" s="46" t="s">
        <v>37</v>
      </c>
      <c r="G308" s="46" t="s">
        <v>1038</v>
      </c>
      <c r="H308" s="46" t="s">
        <v>1005</v>
      </c>
      <c r="I308" s="46" t="s">
        <v>515</v>
      </c>
      <c r="J308" s="46" t="s">
        <v>968</v>
      </c>
      <c r="K308" s="43">
        <v>22</v>
      </c>
      <c r="L308" s="43">
        <v>112</v>
      </c>
      <c r="M308" s="47">
        <v>0.19469026548672566</v>
      </c>
      <c r="N308" s="47">
        <v>69.3</v>
      </c>
      <c r="O308" s="46" t="s">
        <v>4295</v>
      </c>
      <c r="P308" s="43">
        <v>692</v>
      </c>
      <c r="Q308" s="43">
        <v>30</v>
      </c>
      <c r="R308" s="45" t="s">
        <v>4266</v>
      </c>
      <c r="S308" s="46" t="s">
        <v>1654</v>
      </c>
    </row>
    <row r="309" spans="1:19" ht="42">
      <c r="A309" s="43">
        <v>305</v>
      </c>
      <c r="B309" s="43">
        <v>324</v>
      </c>
      <c r="C309" s="43">
        <v>1124</v>
      </c>
      <c r="D309" s="44">
        <v>45959</v>
      </c>
      <c r="E309" s="45" t="s">
        <v>2092</v>
      </c>
      <c r="F309" s="46" t="s">
        <v>360</v>
      </c>
      <c r="G309" s="46" t="s">
        <v>922</v>
      </c>
      <c r="H309" s="46" t="s">
        <v>965</v>
      </c>
      <c r="I309" s="46" t="s">
        <v>519</v>
      </c>
      <c r="J309" s="46" t="s">
        <v>968</v>
      </c>
      <c r="K309" s="43">
        <v>25</v>
      </c>
      <c r="L309" s="43">
        <v>300</v>
      </c>
      <c r="M309" s="47">
        <v>8.3056478405315617E-2</v>
      </c>
      <c r="N309" s="47">
        <v>69.2</v>
      </c>
      <c r="O309" s="46" t="s">
        <v>4295</v>
      </c>
      <c r="P309" s="43">
        <v>261</v>
      </c>
      <c r="Q309" s="43">
        <v>20</v>
      </c>
      <c r="R309" s="45" t="s">
        <v>4275</v>
      </c>
      <c r="S309" s="46" t="s">
        <v>2093</v>
      </c>
    </row>
    <row r="310" spans="1:19" ht="42">
      <c r="A310" s="43">
        <v>306</v>
      </c>
      <c r="B310" s="43">
        <v>304</v>
      </c>
      <c r="C310" s="43">
        <v>774</v>
      </c>
      <c r="D310" s="44">
        <v>45871</v>
      </c>
      <c r="E310" s="45" t="s">
        <v>2240</v>
      </c>
      <c r="F310" s="46" t="s">
        <v>37</v>
      </c>
      <c r="G310" s="46" t="s">
        <v>906</v>
      </c>
      <c r="H310" s="46" t="s">
        <v>965</v>
      </c>
      <c r="I310" s="46" t="s">
        <v>512</v>
      </c>
      <c r="J310" s="46" t="s">
        <v>977</v>
      </c>
      <c r="K310" s="43">
        <v>26</v>
      </c>
      <c r="L310" s="43">
        <v>388</v>
      </c>
      <c r="M310" s="47">
        <v>6.6838046272493568E-2</v>
      </c>
      <c r="N310" s="47">
        <v>69.099999999999994</v>
      </c>
      <c r="O310" s="46" t="s">
        <v>4295</v>
      </c>
      <c r="P310" s="43">
        <v>572</v>
      </c>
      <c r="Q310" s="43">
        <v>20</v>
      </c>
      <c r="R310" s="45" t="s">
        <v>4278</v>
      </c>
      <c r="S310" s="46" t="s">
        <v>2241</v>
      </c>
    </row>
    <row r="311" spans="1:19" ht="31.5">
      <c r="A311" s="43">
        <v>307</v>
      </c>
      <c r="B311" s="43">
        <v>465</v>
      </c>
      <c r="C311" s="43">
        <v>1457</v>
      </c>
      <c r="D311" s="44">
        <v>46249</v>
      </c>
      <c r="E311" s="45" t="s">
        <v>1137</v>
      </c>
      <c r="F311" s="46" t="s">
        <v>360</v>
      </c>
      <c r="G311" s="46" t="s">
        <v>889</v>
      </c>
      <c r="H311" s="46" t="s">
        <v>965</v>
      </c>
      <c r="I311" s="46" t="s">
        <v>519</v>
      </c>
      <c r="J311" s="46" t="s">
        <v>977</v>
      </c>
      <c r="K311" s="43">
        <v>18</v>
      </c>
      <c r="L311" s="43">
        <v>10</v>
      </c>
      <c r="M311" s="47">
        <v>1.6363636363636365</v>
      </c>
      <c r="N311" s="47">
        <v>69.099999999999994</v>
      </c>
      <c r="O311" s="46" t="s">
        <v>4295</v>
      </c>
      <c r="P311" s="43">
        <v>589</v>
      </c>
      <c r="Q311" s="43">
        <v>40</v>
      </c>
      <c r="R311" s="45" t="s">
        <v>4277</v>
      </c>
      <c r="S311" s="46" t="s">
        <v>1138</v>
      </c>
    </row>
    <row r="312" spans="1:19" ht="42">
      <c r="A312" s="43">
        <v>308</v>
      </c>
      <c r="B312" s="43">
        <v>258</v>
      </c>
      <c r="C312" s="43">
        <v>643</v>
      </c>
      <c r="D312" s="44">
        <v>45599</v>
      </c>
      <c r="E312" s="45" t="s">
        <v>2828</v>
      </c>
      <c r="F312" s="46" t="s">
        <v>37</v>
      </c>
      <c r="G312" s="46" t="s">
        <v>1038</v>
      </c>
      <c r="H312" s="46" t="s">
        <v>1038</v>
      </c>
      <c r="I312" s="46" t="s">
        <v>512</v>
      </c>
      <c r="J312" s="46" t="s">
        <v>977</v>
      </c>
      <c r="K312" s="43">
        <v>29</v>
      </c>
      <c r="L312" s="43">
        <v>660</v>
      </c>
      <c r="M312" s="47">
        <v>4.3872919818456882E-2</v>
      </c>
      <c r="N312" s="47">
        <v>69</v>
      </c>
      <c r="O312" s="46" t="s">
        <v>4295</v>
      </c>
      <c r="P312" s="43">
        <v>1498</v>
      </c>
      <c r="Q312" s="43">
        <v>20</v>
      </c>
      <c r="R312" s="45" t="s">
        <v>4278</v>
      </c>
      <c r="S312" s="46" t="s">
        <v>2829</v>
      </c>
    </row>
    <row r="313" spans="1:19" ht="42">
      <c r="A313" s="43">
        <v>309</v>
      </c>
      <c r="B313" s="43">
        <v>305</v>
      </c>
      <c r="C313" s="43">
        <v>940</v>
      </c>
      <c r="D313" s="44">
        <v>45855</v>
      </c>
      <c r="E313" s="45" t="s">
        <v>2300</v>
      </c>
      <c r="F313" s="46" t="s">
        <v>371</v>
      </c>
      <c r="G313" s="46" t="s">
        <v>1038</v>
      </c>
      <c r="H313" s="46" t="s">
        <v>1038</v>
      </c>
      <c r="I313" s="46" t="s">
        <v>512</v>
      </c>
      <c r="J313" s="46" t="s">
        <v>977</v>
      </c>
      <c r="K313" s="43">
        <v>26</v>
      </c>
      <c r="L313" s="43">
        <v>404</v>
      </c>
      <c r="M313" s="47">
        <v>6.4197530864197536E-2</v>
      </c>
      <c r="N313" s="47">
        <v>69</v>
      </c>
      <c r="O313" s="46" t="s">
        <v>4295</v>
      </c>
      <c r="P313" s="43">
        <v>7</v>
      </c>
      <c r="Q313" s="43">
        <v>20</v>
      </c>
      <c r="R313" s="45" t="s">
        <v>4275</v>
      </c>
      <c r="S313" s="46" t="s">
        <v>2301</v>
      </c>
    </row>
    <row r="314" spans="1:19" ht="42">
      <c r="A314" s="43">
        <v>310</v>
      </c>
      <c r="B314" s="43">
        <v>359</v>
      </c>
      <c r="C314" s="43">
        <v>1180</v>
      </c>
      <c r="D314" s="44">
        <v>46083</v>
      </c>
      <c r="E314" s="45" t="s">
        <v>1773</v>
      </c>
      <c r="F314" s="46" t="s">
        <v>37</v>
      </c>
      <c r="G314" s="46" t="s">
        <v>1038</v>
      </c>
      <c r="H314" s="46" t="s">
        <v>1038</v>
      </c>
      <c r="I314" s="46" t="s">
        <v>530</v>
      </c>
      <c r="J314" s="46" t="s">
        <v>977</v>
      </c>
      <c r="K314" s="43">
        <v>23</v>
      </c>
      <c r="L314" s="43">
        <v>176</v>
      </c>
      <c r="M314" s="47">
        <v>0.12994350282485875</v>
      </c>
      <c r="N314" s="47">
        <v>68.900000000000006</v>
      </c>
      <c r="O314" s="46" t="s">
        <v>4295</v>
      </c>
      <c r="P314" s="43">
        <v>358</v>
      </c>
      <c r="Q314" s="43">
        <v>20</v>
      </c>
      <c r="R314" s="45" t="s">
        <v>4272</v>
      </c>
      <c r="S314" s="46" t="s">
        <v>1774</v>
      </c>
    </row>
    <row r="315" spans="1:19" ht="42">
      <c r="A315" s="43">
        <v>311</v>
      </c>
      <c r="B315" s="43">
        <v>259</v>
      </c>
      <c r="C315" s="43">
        <v>639</v>
      </c>
      <c r="D315" s="44">
        <v>45590</v>
      </c>
      <c r="E315" s="45" t="s">
        <v>2844</v>
      </c>
      <c r="F315" s="46" t="s">
        <v>37</v>
      </c>
      <c r="G315" s="46" t="s">
        <v>892</v>
      </c>
      <c r="H315" s="46" t="s">
        <v>965</v>
      </c>
      <c r="I315" s="46" t="s">
        <v>512</v>
      </c>
      <c r="J315" s="46" t="s">
        <v>977</v>
      </c>
      <c r="K315" s="43">
        <v>29</v>
      </c>
      <c r="L315" s="43">
        <v>669</v>
      </c>
      <c r="M315" s="47">
        <v>4.3283582089552242E-2</v>
      </c>
      <c r="N315" s="47">
        <v>68.7</v>
      </c>
      <c r="O315" s="46" t="s">
        <v>4295</v>
      </c>
      <c r="P315" s="43">
        <v>268</v>
      </c>
      <c r="Q315" s="43">
        <v>20</v>
      </c>
      <c r="R315" s="45" t="s">
        <v>4275</v>
      </c>
      <c r="S315" s="46" t="s">
        <v>2845</v>
      </c>
    </row>
    <row r="316" spans="1:19" ht="42">
      <c r="A316" s="43">
        <v>312</v>
      </c>
      <c r="B316" s="43">
        <v>339</v>
      </c>
      <c r="C316" s="43">
        <v>987</v>
      </c>
      <c r="D316" s="44">
        <v>46010</v>
      </c>
      <c r="E316" s="45" t="s">
        <v>2004</v>
      </c>
      <c r="F316" s="46" t="s">
        <v>371</v>
      </c>
      <c r="G316" s="46" t="s">
        <v>1038</v>
      </c>
      <c r="H316" s="46" t="s">
        <v>1038</v>
      </c>
      <c r="I316" s="46" t="s">
        <v>512</v>
      </c>
      <c r="J316" s="46" t="s">
        <v>977</v>
      </c>
      <c r="K316" s="43">
        <v>24</v>
      </c>
      <c r="L316" s="43">
        <v>249</v>
      </c>
      <c r="M316" s="47">
        <v>9.6000000000000002E-2</v>
      </c>
      <c r="N316" s="47">
        <v>68.7</v>
      </c>
      <c r="O316" s="46" t="s">
        <v>4295</v>
      </c>
      <c r="P316" s="43">
        <v>828</v>
      </c>
      <c r="Q316" s="43">
        <v>20</v>
      </c>
      <c r="R316" s="45" t="s">
        <v>4278</v>
      </c>
      <c r="S316" s="46" t="s">
        <v>2005</v>
      </c>
    </row>
    <row r="317" spans="1:19" ht="31.5">
      <c r="A317" s="43">
        <v>313</v>
      </c>
      <c r="B317" s="43">
        <v>275</v>
      </c>
      <c r="C317" s="43">
        <v>728</v>
      </c>
      <c r="D317" s="44">
        <v>45680</v>
      </c>
      <c r="E317" s="45" t="s">
        <v>2557</v>
      </c>
      <c r="F317" s="46" t="s">
        <v>37</v>
      </c>
      <c r="G317" s="46" t="s">
        <v>1038</v>
      </c>
      <c r="H317" s="46" t="s">
        <v>1038</v>
      </c>
      <c r="I317" s="46" t="s">
        <v>530</v>
      </c>
      <c r="J317" s="46" t="s">
        <v>977</v>
      </c>
      <c r="K317" s="43">
        <v>28</v>
      </c>
      <c r="L317" s="43">
        <v>579</v>
      </c>
      <c r="M317" s="47">
        <v>4.8275862068965517E-2</v>
      </c>
      <c r="N317" s="47">
        <v>68.599999999999994</v>
      </c>
      <c r="O317" s="46" t="s">
        <v>4295</v>
      </c>
      <c r="P317" s="43">
        <v>658</v>
      </c>
      <c r="Q317" s="43">
        <v>30</v>
      </c>
      <c r="R317" s="45" t="s">
        <v>4283</v>
      </c>
      <c r="S317" s="46" t="s">
        <v>2558</v>
      </c>
    </row>
    <row r="318" spans="1:19" ht="42">
      <c r="A318" s="43">
        <v>314</v>
      </c>
      <c r="B318" s="43">
        <v>276</v>
      </c>
      <c r="C318" s="43">
        <v>1043</v>
      </c>
      <c r="D318" s="44">
        <v>45680</v>
      </c>
      <c r="E318" s="45" t="s">
        <v>2560</v>
      </c>
      <c r="F318" s="46" t="s">
        <v>382</v>
      </c>
      <c r="G318" s="46" t="s">
        <v>878</v>
      </c>
      <c r="H318" s="46" t="s">
        <v>1317</v>
      </c>
      <c r="I318" s="46" t="s">
        <v>515</v>
      </c>
      <c r="J318" s="46" t="s">
        <v>977</v>
      </c>
      <c r="K318" s="43">
        <v>28</v>
      </c>
      <c r="L318" s="43">
        <v>579</v>
      </c>
      <c r="M318" s="47">
        <v>4.8275862068965517E-2</v>
      </c>
      <c r="N318" s="47">
        <v>68.599999999999994</v>
      </c>
      <c r="O318" s="46" t="s">
        <v>4295</v>
      </c>
      <c r="P318" s="43">
        <v>979</v>
      </c>
      <c r="Q318" s="43">
        <v>20</v>
      </c>
      <c r="R318" s="45" t="s">
        <v>4278</v>
      </c>
      <c r="S318" s="46" t="s">
        <v>2561</v>
      </c>
    </row>
    <row r="319" spans="1:19" ht="42">
      <c r="A319" s="43">
        <v>315</v>
      </c>
      <c r="B319" s="43">
        <v>277</v>
      </c>
      <c r="C319" s="43">
        <v>710</v>
      </c>
      <c r="D319" s="44">
        <v>45661</v>
      </c>
      <c r="E319" s="45" t="s">
        <v>2645</v>
      </c>
      <c r="F319" s="46" t="s">
        <v>37</v>
      </c>
      <c r="G319" s="46" t="s">
        <v>926</v>
      </c>
      <c r="H319" s="46" t="s">
        <v>965</v>
      </c>
      <c r="I319" s="46" t="s">
        <v>512</v>
      </c>
      <c r="J319" s="46" t="s">
        <v>977</v>
      </c>
      <c r="K319" s="43">
        <v>28</v>
      </c>
      <c r="L319" s="43">
        <v>598</v>
      </c>
      <c r="M319" s="47">
        <v>4.6744574290484141E-2</v>
      </c>
      <c r="N319" s="47">
        <v>68.5</v>
      </c>
      <c r="O319" s="46" t="s">
        <v>4295</v>
      </c>
      <c r="P319" s="43">
        <v>444</v>
      </c>
      <c r="Q319" s="43">
        <v>20</v>
      </c>
      <c r="R319" s="45" t="s">
        <v>4275</v>
      </c>
      <c r="S319" s="46" t="s">
        <v>2646</v>
      </c>
    </row>
    <row r="320" spans="1:19" ht="42">
      <c r="A320" s="43">
        <v>316</v>
      </c>
      <c r="B320" s="43">
        <v>291</v>
      </c>
      <c r="C320" s="43">
        <v>898</v>
      </c>
      <c r="D320" s="44">
        <v>45759</v>
      </c>
      <c r="E320" s="45" t="s">
        <v>2497</v>
      </c>
      <c r="F320" s="46" t="s">
        <v>371</v>
      </c>
      <c r="G320" s="46" t="s">
        <v>896</v>
      </c>
      <c r="H320" s="46" t="s">
        <v>965</v>
      </c>
      <c r="I320" s="46" t="s">
        <v>515</v>
      </c>
      <c r="J320" s="46" t="s">
        <v>977</v>
      </c>
      <c r="K320" s="43">
        <v>27</v>
      </c>
      <c r="L320" s="43">
        <v>500</v>
      </c>
      <c r="M320" s="47">
        <v>5.3892215568862277E-2</v>
      </c>
      <c r="N320" s="47">
        <v>68.5</v>
      </c>
      <c r="O320" s="46" t="s">
        <v>4295</v>
      </c>
      <c r="P320" s="43">
        <v>617</v>
      </c>
      <c r="Q320" s="43">
        <v>20</v>
      </c>
      <c r="R320" s="45" t="s">
        <v>4278</v>
      </c>
      <c r="S320" s="46" t="s">
        <v>2498</v>
      </c>
    </row>
    <row r="321" spans="1:19" ht="42">
      <c r="A321" s="43">
        <v>317</v>
      </c>
      <c r="B321" s="43">
        <v>260</v>
      </c>
      <c r="C321" s="43">
        <v>1021</v>
      </c>
      <c r="D321" s="44">
        <v>45579</v>
      </c>
      <c r="E321" s="45" t="s">
        <v>2859</v>
      </c>
      <c r="F321" s="46" t="s">
        <v>382</v>
      </c>
      <c r="G321" s="46" t="s">
        <v>878</v>
      </c>
      <c r="H321" s="46" t="s">
        <v>965</v>
      </c>
      <c r="I321" s="46" t="s">
        <v>515</v>
      </c>
      <c r="J321" s="46" t="s">
        <v>977</v>
      </c>
      <c r="K321" s="43">
        <v>29</v>
      </c>
      <c r="L321" s="43">
        <v>680</v>
      </c>
      <c r="M321" s="47">
        <v>4.2584434654919234E-2</v>
      </c>
      <c r="N321" s="47">
        <v>68.400000000000006</v>
      </c>
      <c r="O321" s="46" t="s">
        <v>4295</v>
      </c>
      <c r="P321" s="43">
        <v>287</v>
      </c>
      <c r="Q321" s="43">
        <v>10</v>
      </c>
      <c r="R321" s="45" t="s">
        <v>4281</v>
      </c>
      <c r="S321" s="46" t="s">
        <v>2860</v>
      </c>
    </row>
    <row r="322" spans="1:19" ht="42">
      <c r="A322" s="43">
        <v>318</v>
      </c>
      <c r="B322" s="43">
        <v>360</v>
      </c>
      <c r="C322" s="43">
        <v>834</v>
      </c>
      <c r="D322" s="44">
        <v>46057</v>
      </c>
      <c r="E322" s="45" t="s">
        <v>1818</v>
      </c>
      <c r="F322" s="46" t="s">
        <v>37</v>
      </c>
      <c r="G322" s="46" t="s">
        <v>1038</v>
      </c>
      <c r="H322" s="46" t="s">
        <v>1484</v>
      </c>
      <c r="I322" s="46" t="s">
        <v>512</v>
      </c>
      <c r="J322" s="46" t="s">
        <v>977</v>
      </c>
      <c r="K322" s="43">
        <v>23</v>
      </c>
      <c r="L322" s="43">
        <v>202</v>
      </c>
      <c r="M322" s="47">
        <v>0.11330049261083744</v>
      </c>
      <c r="N322" s="47">
        <v>68.400000000000006</v>
      </c>
      <c r="O322" s="46" t="s">
        <v>4295</v>
      </c>
      <c r="P322" s="43">
        <v>456</v>
      </c>
      <c r="Q322" s="43">
        <v>10</v>
      </c>
      <c r="R322" s="45" t="s">
        <v>4281</v>
      </c>
      <c r="S322" s="46" t="s">
        <v>1819</v>
      </c>
    </row>
    <row r="323" spans="1:19" ht="42">
      <c r="A323" s="43">
        <v>319</v>
      </c>
      <c r="B323" s="43">
        <v>213</v>
      </c>
      <c r="C323" s="43">
        <v>338</v>
      </c>
      <c r="D323" s="44">
        <v>45254</v>
      </c>
      <c r="E323" s="45" t="s">
        <v>3522</v>
      </c>
      <c r="F323" s="46" t="s">
        <v>37</v>
      </c>
      <c r="G323" s="46" t="s">
        <v>1038</v>
      </c>
      <c r="H323" s="46" t="s">
        <v>1038</v>
      </c>
      <c r="I323" s="46" t="s">
        <v>533</v>
      </c>
      <c r="J323" s="46" t="s">
        <v>968</v>
      </c>
      <c r="K323" s="43">
        <v>32</v>
      </c>
      <c r="L323" s="43">
        <v>1005</v>
      </c>
      <c r="M323" s="47">
        <v>3.1809145129224649E-2</v>
      </c>
      <c r="N323" s="47">
        <v>68.3</v>
      </c>
      <c r="O323" s="46" t="s">
        <v>4295</v>
      </c>
      <c r="P323" s="43">
        <v>411</v>
      </c>
      <c r="Q323" s="43">
        <v>20</v>
      </c>
      <c r="R323" s="45" t="s">
        <v>4275</v>
      </c>
      <c r="S323" s="46" t="s">
        <v>3523</v>
      </c>
    </row>
    <row r="324" spans="1:19" ht="42">
      <c r="A324" s="43">
        <v>320</v>
      </c>
      <c r="B324" s="43">
        <v>306</v>
      </c>
      <c r="C324" s="43">
        <v>753</v>
      </c>
      <c r="D324" s="44">
        <v>45823</v>
      </c>
      <c r="E324" s="45" t="s">
        <v>2383</v>
      </c>
      <c r="F324" s="46" t="s">
        <v>37</v>
      </c>
      <c r="G324" s="46" t="s">
        <v>903</v>
      </c>
      <c r="H324" s="46" t="s">
        <v>965</v>
      </c>
      <c r="I324" s="46" t="s">
        <v>512</v>
      </c>
      <c r="J324" s="46" t="s">
        <v>977</v>
      </c>
      <c r="K324" s="43">
        <v>26</v>
      </c>
      <c r="L324" s="43">
        <v>436</v>
      </c>
      <c r="M324" s="47">
        <v>5.9496567505720827E-2</v>
      </c>
      <c r="N324" s="47">
        <v>68.3</v>
      </c>
      <c r="O324" s="46" t="s">
        <v>4295</v>
      </c>
      <c r="P324" s="43">
        <v>52</v>
      </c>
      <c r="Q324" s="43">
        <v>20</v>
      </c>
      <c r="R324" s="45" t="s">
        <v>4275</v>
      </c>
      <c r="S324" s="46" t="s">
        <v>2384</v>
      </c>
    </row>
    <row r="325" spans="1:19" ht="42">
      <c r="A325" s="43">
        <v>321</v>
      </c>
      <c r="B325" s="43">
        <v>361</v>
      </c>
      <c r="C325" s="43">
        <v>1011</v>
      </c>
      <c r="D325" s="44">
        <v>46053</v>
      </c>
      <c r="E325" s="45" t="s">
        <v>1838</v>
      </c>
      <c r="F325" s="46" t="s">
        <v>371</v>
      </c>
      <c r="G325" s="46" t="s">
        <v>1038</v>
      </c>
      <c r="H325" s="46" t="s">
        <v>1038</v>
      </c>
      <c r="I325" s="46" t="s">
        <v>512</v>
      </c>
      <c r="J325" s="46" t="s">
        <v>977</v>
      </c>
      <c r="K325" s="43">
        <v>23</v>
      </c>
      <c r="L325" s="43">
        <v>206</v>
      </c>
      <c r="M325" s="47">
        <v>0.1111111111111111</v>
      </c>
      <c r="N325" s="47">
        <v>68.3</v>
      </c>
      <c r="O325" s="46" t="s">
        <v>4295</v>
      </c>
      <c r="P325" s="43">
        <v>113</v>
      </c>
      <c r="Q325" s="43">
        <v>20</v>
      </c>
      <c r="R325" s="45" t="s">
        <v>4275</v>
      </c>
      <c r="S325" s="46" t="s">
        <v>1839</v>
      </c>
    </row>
    <row r="326" spans="1:19" ht="31.5">
      <c r="A326" s="43">
        <v>322</v>
      </c>
      <c r="B326" s="43">
        <v>422</v>
      </c>
      <c r="C326" s="43">
        <v>1329</v>
      </c>
      <c r="D326" s="44">
        <v>46204</v>
      </c>
      <c r="E326" s="45" t="s">
        <v>1479</v>
      </c>
      <c r="F326" s="46" t="s">
        <v>37</v>
      </c>
      <c r="G326" s="46" t="s">
        <v>908</v>
      </c>
      <c r="H326" s="46" t="s">
        <v>965</v>
      </c>
      <c r="I326" s="46" t="s">
        <v>519</v>
      </c>
      <c r="J326" s="46" t="s">
        <v>977</v>
      </c>
      <c r="K326" s="43">
        <v>20</v>
      </c>
      <c r="L326" s="43">
        <v>55</v>
      </c>
      <c r="M326" s="47">
        <v>0.35714285714285715</v>
      </c>
      <c r="N326" s="47">
        <v>68.2</v>
      </c>
      <c r="O326" s="46" t="s">
        <v>4295</v>
      </c>
      <c r="P326" s="43">
        <v>696</v>
      </c>
      <c r="Q326" s="43">
        <v>30</v>
      </c>
      <c r="R326" s="45" t="s">
        <v>4266</v>
      </c>
      <c r="S326" s="46" t="s">
        <v>1480</v>
      </c>
    </row>
    <row r="327" spans="1:19" ht="42">
      <c r="A327" s="43">
        <v>323</v>
      </c>
      <c r="B327" s="43">
        <v>362</v>
      </c>
      <c r="C327" s="43">
        <v>1099</v>
      </c>
      <c r="D327" s="44">
        <v>46046</v>
      </c>
      <c r="E327" s="45" t="s">
        <v>1866</v>
      </c>
      <c r="F327" s="46" t="s">
        <v>382</v>
      </c>
      <c r="G327" s="46" t="s">
        <v>882</v>
      </c>
      <c r="H327" s="46" t="s">
        <v>965</v>
      </c>
      <c r="I327" s="46" t="s">
        <v>512</v>
      </c>
      <c r="J327" s="46" t="s">
        <v>977</v>
      </c>
      <c r="K327" s="43">
        <v>23</v>
      </c>
      <c r="L327" s="43">
        <v>213</v>
      </c>
      <c r="M327" s="47">
        <v>0.10747663551401869</v>
      </c>
      <c r="N327" s="47">
        <v>68.099999999999994</v>
      </c>
      <c r="O327" s="46" t="s">
        <v>4295</v>
      </c>
      <c r="P327" s="43">
        <v>687</v>
      </c>
      <c r="Q327" s="43">
        <v>20</v>
      </c>
      <c r="R327" s="45" t="s">
        <v>4278</v>
      </c>
      <c r="S327" s="46" t="s">
        <v>1867</v>
      </c>
    </row>
    <row r="328" spans="1:19" ht="42">
      <c r="A328" s="43">
        <v>324</v>
      </c>
      <c r="B328" s="43">
        <v>261</v>
      </c>
      <c r="C328" s="43">
        <v>601</v>
      </c>
      <c r="D328" s="44">
        <v>45559</v>
      </c>
      <c r="E328" s="45" t="s">
        <v>2970</v>
      </c>
      <c r="F328" s="46" t="s">
        <v>37</v>
      </c>
      <c r="G328" s="46" t="s">
        <v>1038</v>
      </c>
      <c r="H328" s="46" t="s">
        <v>1005</v>
      </c>
      <c r="I328" s="46" t="s">
        <v>533</v>
      </c>
      <c r="J328" s="46" t="s">
        <v>968</v>
      </c>
      <c r="K328" s="43">
        <v>29</v>
      </c>
      <c r="L328" s="43">
        <v>700</v>
      </c>
      <c r="M328" s="47">
        <v>4.136947218259629E-2</v>
      </c>
      <c r="N328" s="47">
        <v>68</v>
      </c>
      <c r="O328" s="46" t="s">
        <v>4295</v>
      </c>
      <c r="P328" s="43">
        <v>401</v>
      </c>
      <c r="Q328" s="43">
        <v>20</v>
      </c>
      <c r="R328" s="45" t="s">
        <v>4275</v>
      </c>
      <c r="S328" s="46" t="s">
        <v>2971</v>
      </c>
    </row>
    <row r="329" spans="1:19" ht="42">
      <c r="A329" s="43">
        <v>325</v>
      </c>
      <c r="B329" s="43">
        <v>523</v>
      </c>
      <c r="C329" s="43">
        <v>1484</v>
      </c>
      <c r="D329" s="44">
        <v>46256</v>
      </c>
      <c r="E329" s="45" t="s">
        <v>1036</v>
      </c>
      <c r="F329" s="46" t="s">
        <v>37</v>
      </c>
      <c r="G329" s="46" t="s">
        <v>1038</v>
      </c>
      <c r="H329" s="46" t="s">
        <v>1038</v>
      </c>
      <c r="I329" s="46" t="s">
        <v>533</v>
      </c>
      <c r="J329" s="46" t="s">
        <v>968</v>
      </c>
      <c r="K329" s="43">
        <v>16</v>
      </c>
      <c r="L329" s="43">
        <v>3</v>
      </c>
      <c r="M329" s="47">
        <v>4</v>
      </c>
      <c r="N329" s="47">
        <v>67.900000000000006</v>
      </c>
      <c r="O329" s="46" t="s">
        <v>4295</v>
      </c>
      <c r="P329" s="43">
        <v>356</v>
      </c>
      <c r="Q329" s="43">
        <v>20</v>
      </c>
      <c r="R329" s="45" t="s">
        <v>4275</v>
      </c>
      <c r="S329" s="46" t="s">
        <v>1037</v>
      </c>
    </row>
    <row r="330" spans="1:19" ht="42">
      <c r="A330" s="43">
        <v>326</v>
      </c>
      <c r="B330" s="43">
        <v>307</v>
      </c>
      <c r="C330" s="43">
        <v>746</v>
      </c>
      <c r="D330" s="44">
        <v>45782</v>
      </c>
      <c r="E330" s="45" t="s">
        <v>2449</v>
      </c>
      <c r="F330" s="46" t="s">
        <v>37</v>
      </c>
      <c r="G330" s="46" t="s">
        <v>911</v>
      </c>
      <c r="H330" s="46" t="s">
        <v>1317</v>
      </c>
      <c r="I330" s="46" t="s">
        <v>522</v>
      </c>
      <c r="J330" s="46" t="s">
        <v>977</v>
      </c>
      <c r="K330" s="43">
        <v>26</v>
      </c>
      <c r="L330" s="43">
        <v>477</v>
      </c>
      <c r="M330" s="47">
        <v>5.4393305439330547E-2</v>
      </c>
      <c r="N330" s="47">
        <v>67.8</v>
      </c>
      <c r="O330" s="46" t="s">
        <v>4295</v>
      </c>
      <c r="P330" s="43">
        <v>435</v>
      </c>
      <c r="Q330" s="43">
        <v>10</v>
      </c>
      <c r="R330" s="45" t="s">
        <v>4281</v>
      </c>
      <c r="S330" s="46" t="s">
        <v>2450</v>
      </c>
    </row>
    <row r="331" spans="1:19" ht="42">
      <c r="A331" s="43">
        <v>327</v>
      </c>
      <c r="B331" s="43">
        <v>363</v>
      </c>
      <c r="C331" s="43">
        <v>818</v>
      </c>
      <c r="D331" s="44">
        <v>46028</v>
      </c>
      <c r="E331" s="45" t="s">
        <v>1914</v>
      </c>
      <c r="F331" s="46" t="s">
        <v>37</v>
      </c>
      <c r="G331" s="46" t="s">
        <v>908</v>
      </c>
      <c r="H331" s="46" t="s">
        <v>965</v>
      </c>
      <c r="I331" s="46" t="s">
        <v>512</v>
      </c>
      <c r="J331" s="46" t="s">
        <v>977</v>
      </c>
      <c r="K331" s="43">
        <v>23</v>
      </c>
      <c r="L331" s="43">
        <v>231</v>
      </c>
      <c r="M331" s="47">
        <v>9.9137931034482762E-2</v>
      </c>
      <c r="N331" s="47">
        <v>67.8</v>
      </c>
      <c r="O331" s="46" t="s">
        <v>4295</v>
      </c>
      <c r="P331" s="43">
        <v>1195</v>
      </c>
      <c r="Q331" s="43">
        <v>20</v>
      </c>
      <c r="R331" s="45" t="s">
        <v>4278</v>
      </c>
      <c r="S331" s="46" t="s">
        <v>1915</v>
      </c>
    </row>
    <row r="332" spans="1:19" ht="31.5">
      <c r="A332" s="43">
        <v>328</v>
      </c>
      <c r="B332" s="43">
        <v>397</v>
      </c>
      <c r="C332" s="43">
        <v>1256</v>
      </c>
      <c r="D332" s="44">
        <v>46150</v>
      </c>
      <c r="E332" s="45" t="s">
        <v>1641</v>
      </c>
      <c r="F332" s="46" t="s">
        <v>37</v>
      </c>
      <c r="G332" s="46" t="s">
        <v>894</v>
      </c>
      <c r="H332" s="46" t="s">
        <v>965</v>
      </c>
      <c r="I332" s="46" t="s">
        <v>515</v>
      </c>
      <c r="J332" s="46" t="s">
        <v>977</v>
      </c>
      <c r="K332" s="43">
        <v>21</v>
      </c>
      <c r="L332" s="43">
        <v>109</v>
      </c>
      <c r="M332" s="47">
        <v>0.19090909090909092</v>
      </c>
      <c r="N332" s="47">
        <v>67.8</v>
      </c>
      <c r="O332" s="46" t="s">
        <v>4295</v>
      </c>
      <c r="P332" s="43">
        <v>653</v>
      </c>
      <c r="Q332" s="43">
        <v>30</v>
      </c>
      <c r="R332" s="45" t="s">
        <v>4266</v>
      </c>
      <c r="S332" s="46" t="s">
        <v>1642</v>
      </c>
    </row>
    <row r="333" spans="1:19" ht="42">
      <c r="A333" s="43">
        <v>329</v>
      </c>
      <c r="B333" s="43">
        <v>214</v>
      </c>
      <c r="C333" s="43">
        <v>303</v>
      </c>
      <c r="D333" s="44">
        <v>45179</v>
      </c>
      <c r="E333" s="45" t="s">
        <v>3594</v>
      </c>
      <c r="F333" s="46" t="s">
        <v>37</v>
      </c>
      <c r="G333" s="46" t="s">
        <v>891</v>
      </c>
      <c r="H333" s="46" t="s">
        <v>965</v>
      </c>
      <c r="I333" s="46" t="s">
        <v>533</v>
      </c>
      <c r="J333" s="46" t="s">
        <v>968</v>
      </c>
      <c r="K333" s="43">
        <v>32</v>
      </c>
      <c r="L333" s="43">
        <v>1080</v>
      </c>
      <c r="M333" s="47">
        <v>2.960222016651249E-2</v>
      </c>
      <c r="N333" s="47">
        <v>67.7</v>
      </c>
      <c r="O333" s="46" t="s">
        <v>4295</v>
      </c>
      <c r="P333" s="43">
        <v>372</v>
      </c>
      <c r="Q333" s="43">
        <v>10</v>
      </c>
      <c r="R333" s="45" t="s">
        <v>4281</v>
      </c>
      <c r="S333" s="46" t="s">
        <v>3595</v>
      </c>
    </row>
    <row r="334" spans="1:19" ht="42">
      <c r="A334" s="43">
        <v>330</v>
      </c>
      <c r="B334" s="43">
        <v>241</v>
      </c>
      <c r="C334" s="43">
        <v>528</v>
      </c>
      <c r="D334" s="44">
        <v>45442</v>
      </c>
      <c r="E334" s="45" t="s">
        <v>3144</v>
      </c>
      <c r="F334" s="46" t="s">
        <v>37</v>
      </c>
      <c r="G334" s="46" t="s">
        <v>1038</v>
      </c>
      <c r="H334" s="46" t="s">
        <v>1038</v>
      </c>
      <c r="I334" s="46" t="s">
        <v>515</v>
      </c>
      <c r="J334" s="46" t="s">
        <v>968</v>
      </c>
      <c r="K334" s="43">
        <v>30</v>
      </c>
      <c r="L334" s="43">
        <v>817</v>
      </c>
      <c r="M334" s="47">
        <v>3.6674816625916873E-2</v>
      </c>
      <c r="N334" s="47">
        <v>67.7</v>
      </c>
      <c r="O334" s="46" t="s">
        <v>4295</v>
      </c>
      <c r="P334" s="43">
        <v>171</v>
      </c>
      <c r="Q334" s="43">
        <v>10</v>
      </c>
      <c r="R334" s="45" t="s">
        <v>4281</v>
      </c>
      <c r="S334" s="46" t="s">
        <v>3145</v>
      </c>
    </row>
    <row r="335" spans="1:19" ht="31.5">
      <c r="A335" s="43">
        <v>331</v>
      </c>
      <c r="B335" s="43">
        <v>242</v>
      </c>
      <c r="C335" s="43">
        <v>722</v>
      </c>
      <c r="D335" s="44">
        <v>45426</v>
      </c>
      <c r="E335" s="45" t="s">
        <v>3171</v>
      </c>
      <c r="F335" s="46" t="s">
        <v>37</v>
      </c>
      <c r="G335" s="46" t="s">
        <v>1038</v>
      </c>
      <c r="H335" s="46" t="s">
        <v>1038</v>
      </c>
      <c r="I335" s="46" t="s">
        <v>530</v>
      </c>
      <c r="J335" s="46" t="s">
        <v>977</v>
      </c>
      <c r="K335" s="43">
        <v>30</v>
      </c>
      <c r="L335" s="43">
        <v>833</v>
      </c>
      <c r="M335" s="47">
        <v>3.5971223021582732E-2</v>
      </c>
      <c r="N335" s="47">
        <v>67.599999999999994</v>
      </c>
      <c r="O335" s="46" t="s">
        <v>4295</v>
      </c>
      <c r="P335" s="43">
        <v>1111</v>
      </c>
      <c r="Q335" s="43">
        <v>30</v>
      </c>
      <c r="R335" s="45" t="s">
        <v>4283</v>
      </c>
      <c r="S335" s="46" t="s">
        <v>3172</v>
      </c>
    </row>
    <row r="336" spans="1:19" ht="42">
      <c r="A336" s="43">
        <v>332</v>
      </c>
      <c r="B336" s="43">
        <v>340</v>
      </c>
      <c r="C336" s="43">
        <v>1121</v>
      </c>
      <c r="D336" s="44">
        <v>45947</v>
      </c>
      <c r="E336" s="45" t="s">
        <v>2101</v>
      </c>
      <c r="F336" s="46" t="s">
        <v>360</v>
      </c>
      <c r="G336" s="46" t="s">
        <v>1038</v>
      </c>
      <c r="H336" s="46" t="s">
        <v>1005</v>
      </c>
      <c r="I336" s="46" t="s">
        <v>519</v>
      </c>
      <c r="J336" s="46" t="s">
        <v>977</v>
      </c>
      <c r="K336" s="43">
        <v>24</v>
      </c>
      <c r="L336" s="43">
        <v>312</v>
      </c>
      <c r="M336" s="47">
        <v>7.6677316293929709E-2</v>
      </c>
      <c r="N336" s="47">
        <v>67.599999999999994</v>
      </c>
      <c r="O336" s="46" t="s">
        <v>4295</v>
      </c>
      <c r="P336" s="43">
        <v>388</v>
      </c>
      <c r="Q336" s="43">
        <v>20</v>
      </c>
      <c r="R336" s="45" t="s">
        <v>4275</v>
      </c>
      <c r="S336" s="46" t="s">
        <v>2102</v>
      </c>
    </row>
    <row r="337" spans="1:19" ht="31.5">
      <c r="A337" s="43">
        <v>333</v>
      </c>
      <c r="B337" s="43">
        <v>524</v>
      </c>
      <c r="C337" s="43">
        <v>1479</v>
      </c>
      <c r="D337" s="44">
        <v>46255</v>
      </c>
      <c r="E337" s="45" t="s">
        <v>1053</v>
      </c>
      <c r="F337" s="46" t="s">
        <v>37</v>
      </c>
      <c r="G337" s="46" t="s">
        <v>882</v>
      </c>
      <c r="H337" s="46" t="s">
        <v>965</v>
      </c>
      <c r="I337" s="46" t="s">
        <v>522</v>
      </c>
      <c r="J337" s="46" t="s">
        <v>977</v>
      </c>
      <c r="K337" s="43">
        <v>16</v>
      </c>
      <c r="L337" s="43">
        <v>4</v>
      </c>
      <c r="M337" s="47">
        <v>3.2</v>
      </c>
      <c r="N337" s="47">
        <v>67.5</v>
      </c>
      <c r="O337" s="46" t="s">
        <v>4295</v>
      </c>
      <c r="P337" s="43">
        <v>553</v>
      </c>
      <c r="Q337" s="43">
        <v>50</v>
      </c>
      <c r="R337" s="45" t="s">
        <v>4264</v>
      </c>
      <c r="S337" s="46" t="s">
        <v>1054</v>
      </c>
    </row>
    <row r="338" spans="1:19" ht="42">
      <c r="A338" s="43">
        <v>334</v>
      </c>
      <c r="B338" s="43">
        <v>292</v>
      </c>
      <c r="C338" s="43">
        <v>879</v>
      </c>
      <c r="D338" s="44">
        <v>45676</v>
      </c>
      <c r="E338" s="45" t="s">
        <v>2572</v>
      </c>
      <c r="F338" s="46" t="s">
        <v>371</v>
      </c>
      <c r="G338" s="46" t="s">
        <v>1038</v>
      </c>
      <c r="H338" s="46" t="s">
        <v>1038</v>
      </c>
      <c r="I338" s="46" t="s">
        <v>533</v>
      </c>
      <c r="J338" s="46" t="s">
        <v>968</v>
      </c>
      <c r="K338" s="43">
        <v>27</v>
      </c>
      <c r="L338" s="43">
        <v>583</v>
      </c>
      <c r="M338" s="47">
        <v>4.6232876712328765E-2</v>
      </c>
      <c r="N338" s="47">
        <v>67.400000000000006</v>
      </c>
      <c r="O338" s="46" t="s">
        <v>4295</v>
      </c>
      <c r="P338" s="43">
        <v>237</v>
      </c>
      <c r="Q338" s="43">
        <v>20</v>
      </c>
      <c r="R338" s="45" t="s">
        <v>4275</v>
      </c>
      <c r="S338" s="46" t="s">
        <v>2573</v>
      </c>
    </row>
    <row r="339" spans="1:19" ht="42">
      <c r="A339" s="43">
        <v>335</v>
      </c>
      <c r="B339" s="43">
        <v>293</v>
      </c>
      <c r="C339" s="43">
        <v>878</v>
      </c>
      <c r="D339" s="44">
        <v>45676</v>
      </c>
      <c r="E339" s="45" t="s">
        <v>2576</v>
      </c>
      <c r="F339" s="46" t="s">
        <v>371</v>
      </c>
      <c r="G339" s="46" t="s">
        <v>899</v>
      </c>
      <c r="H339" s="46" t="s">
        <v>965</v>
      </c>
      <c r="I339" s="46" t="s">
        <v>533</v>
      </c>
      <c r="J339" s="46" t="s">
        <v>968</v>
      </c>
      <c r="K339" s="43">
        <v>27</v>
      </c>
      <c r="L339" s="43">
        <v>583</v>
      </c>
      <c r="M339" s="47">
        <v>4.6232876712328765E-2</v>
      </c>
      <c r="N339" s="47">
        <v>67.400000000000006</v>
      </c>
      <c r="O339" s="46" t="s">
        <v>4295</v>
      </c>
      <c r="P339" s="43">
        <v>177</v>
      </c>
      <c r="Q339" s="43">
        <v>10</v>
      </c>
      <c r="R339" s="45" t="s">
        <v>4281</v>
      </c>
      <c r="S339" s="46" t="s">
        <v>2577</v>
      </c>
    </row>
    <row r="340" spans="1:19" ht="42">
      <c r="A340" s="43">
        <v>336</v>
      </c>
      <c r="B340" s="43">
        <v>325</v>
      </c>
      <c r="C340" s="43">
        <v>763</v>
      </c>
      <c r="D340" s="44">
        <v>45844</v>
      </c>
      <c r="E340" s="45" t="s">
        <v>2331</v>
      </c>
      <c r="F340" s="46" t="s">
        <v>37</v>
      </c>
      <c r="G340" s="46" t="s">
        <v>1038</v>
      </c>
      <c r="H340" s="46" t="s">
        <v>1005</v>
      </c>
      <c r="I340" s="46" t="s">
        <v>522</v>
      </c>
      <c r="J340" s="46" t="s">
        <v>977</v>
      </c>
      <c r="K340" s="43">
        <v>25</v>
      </c>
      <c r="L340" s="43">
        <v>415</v>
      </c>
      <c r="M340" s="47">
        <v>6.0096153846153848E-2</v>
      </c>
      <c r="N340" s="47">
        <v>67.400000000000006</v>
      </c>
      <c r="O340" s="46" t="s">
        <v>4295</v>
      </c>
      <c r="P340" s="43">
        <v>867</v>
      </c>
      <c r="Q340" s="43">
        <v>20</v>
      </c>
      <c r="R340" s="45" t="s">
        <v>4278</v>
      </c>
      <c r="S340" s="46" t="s">
        <v>2332</v>
      </c>
    </row>
    <row r="341" spans="1:19" ht="42">
      <c r="A341" s="43">
        <v>337</v>
      </c>
      <c r="B341" s="43">
        <v>364</v>
      </c>
      <c r="C341" s="43">
        <v>806</v>
      </c>
      <c r="D341" s="44">
        <v>46011</v>
      </c>
      <c r="E341" s="45" t="s">
        <v>1989</v>
      </c>
      <c r="F341" s="46" t="s">
        <v>37</v>
      </c>
      <c r="G341" s="46" t="s">
        <v>887</v>
      </c>
      <c r="H341" s="46" t="s">
        <v>965</v>
      </c>
      <c r="I341" s="46" t="s">
        <v>512</v>
      </c>
      <c r="J341" s="46" t="s">
        <v>977</v>
      </c>
      <c r="K341" s="43">
        <v>23</v>
      </c>
      <c r="L341" s="43">
        <v>248</v>
      </c>
      <c r="M341" s="47">
        <v>9.2369477911646583E-2</v>
      </c>
      <c r="N341" s="47">
        <v>67.400000000000006</v>
      </c>
      <c r="O341" s="46" t="s">
        <v>4295</v>
      </c>
      <c r="P341" s="43">
        <v>502</v>
      </c>
      <c r="Q341" s="43">
        <v>20</v>
      </c>
      <c r="R341" s="45" t="s">
        <v>4278</v>
      </c>
      <c r="S341" s="46" t="s">
        <v>1990</v>
      </c>
    </row>
    <row r="342" spans="1:19" ht="42">
      <c r="A342" s="43">
        <v>338</v>
      </c>
      <c r="B342" s="43">
        <v>294</v>
      </c>
      <c r="C342" s="43">
        <v>721</v>
      </c>
      <c r="D342" s="44">
        <v>45668</v>
      </c>
      <c r="E342" s="45" t="s">
        <v>2606</v>
      </c>
      <c r="F342" s="46" t="s">
        <v>37</v>
      </c>
      <c r="G342" s="46" t="s">
        <v>1038</v>
      </c>
      <c r="H342" s="46" t="s">
        <v>1038</v>
      </c>
      <c r="I342" s="46" t="s">
        <v>512</v>
      </c>
      <c r="J342" s="46" t="s">
        <v>977</v>
      </c>
      <c r="K342" s="43">
        <v>27</v>
      </c>
      <c r="L342" s="43">
        <v>591</v>
      </c>
      <c r="M342" s="47">
        <v>4.5608108108108107E-2</v>
      </c>
      <c r="N342" s="47">
        <v>67.3</v>
      </c>
      <c r="O342" s="46" t="s">
        <v>4295</v>
      </c>
      <c r="P342" s="43">
        <v>1308</v>
      </c>
      <c r="Q342" s="43">
        <v>20</v>
      </c>
      <c r="R342" s="45" t="s">
        <v>4278</v>
      </c>
      <c r="S342" s="46" t="s">
        <v>2607</v>
      </c>
    </row>
    <row r="343" spans="1:19" ht="42">
      <c r="A343" s="43">
        <v>339</v>
      </c>
      <c r="B343" s="43">
        <v>365</v>
      </c>
      <c r="C343" s="43">
        <v>1147</v>
      </c>
      <c r="D343" s="44">
        <v>46009</v>
      </c>
      <c r="E343" s="45" t="s">
        <v>2013</v>
      </c>
      <c r="F343" s="46" t="s">
        <v>360</v>
      </c>
      <c r="G343" s="46" t="s">
        <v>1038</v>
      </c>
      <c r="H343" s="46" t="s">
        <v>1005</v>
      </c>
      <c r="I343" s="46" t="s">
        <v>519</v>
      </c>
      <c r="J343" s="46" t="s">
        <v>977</v>
      </c>
      <c r="K343" s="43">
        <v>23</v>
      </c>
      <c r="L343" s="43">
        <v>250</v>
      </c>
      <c r="M343" s="47">
        <v>9.1633466135458169E-2</v>
      </c>
      <c r="N343" s="47">
        <v>67.3</v>
      </c>
      <c r="O343" s="46" t="s">
        <v>4295</v>
      </c>
      <c r="P343" s="43">
        <v>465</v>
      </c>
      <c r="Q343" s="43">
        <v>10</v>
      </c>
      <c r="R343" s="45" t="s">
        <v>4281</v>
      </c>
      <c r="S343" s="46" t="s">
        <v>2014</v>
      </c>
    </row>
    <row r="344" spans="1:19" ht="42">
      <c r="A344" s="43">
        <v>340</v>
      </c>
      <c r="B344" s="43">
        <v>295</v>
      </c>
      <c r="C344" s="43">
        <v>714</v>
      </c>
      <c r="D344" s="44">
        <v>45663</v>
      </c>
      <c r="E344" s="45" t="s">
        <v>2633</v>
      </c>
      <c r="F344" s="46" t="s">
        <v>37</v>
      </c>
      <c r="G344" s="46" t="s">
        <v>878</v>
      </c>
      <c r="H344" s="46" t="s">
        <v>965</v>
      </c>
      <c r="I344" s="46" t="s">
        <v>522</v>
      </c>
      <c r="J344" s="46" t="s">
        <v>977</v>
      </c>
      <c r="K344" s="43">
        <v>27</v>
      </c>
      <c r="L344" s="43">
        <v>596</v>
      </c>
      <c r="M344" s="47">
        <v>4.5226130653266333E-2</v>
      </c>
      <c r="N344" s="47">
        <v>67.2</v>
      </c>
      <c r="O344" s="46" t="s">
        <v>4295</v>
      </c>
      <c r="P344" s="43">
        <v>566</v>
      </c>
      <c r="Q344" s="43">
        <v>20</v>
      </c>
      <c r="R344" s="45" t="s">
        <v>4278</v>
      </c>
      <c r="S344" s="46" t="s">
        <v>2634</v>
      </c>
    </row>
    <row r="345" spans="1:19" ht="42">
      <c r="A345" s="43">
        <v>341</v>
      </c>
      <c r="B345" s="43">
        <v>398</v>
      </c>
      <c r="C345" s="43">
        <v>1194</v>
      </c>
      <c r="D345" s="44">
        <v>46120</v>
      </c>
      <c r="E345" s="45" t="s">
        <v>1737</v>
      </c>
      <c r="F345" s="46" t="s">
        <v>37</v>
      </c>
      <c r="G345" s="46" t="s">
        <v>919</v>
      </c>
      <c r="H345" s="46" t="s">
        <v>965</v>
      </c>
      <c r="I345" s="46" t="s">
        <v>526</v>
      </c>
      <c r="J345" s="46" t="s">
        <v>968</v>
      </c>
      <c r="K345" s="43">
        <v>21</v>
      </c>
      <c r="L345" s="43">
        <v>139</v>
      </c>
      <c r="M345" s="47">
        <v>0.15</v>
      </c>
      <c r="N345" s="47">
        <v>67.2</v>
      </c>
      <c r="O345" s="46" t="s">
        <v>4295</v>
      </c>
      <c r="P345" s="43">
        <v>390</v>
      </c>
      <c r="Q345" s="43">
        <v>20</v>
      </c>
      <c r="R345" s="45" t="s">
        <v>4272</v>
      </c>
      <c r="S345" s="46" t="s">
        <v>1738</v>
      </c>
    </row>
    <row r="346" spans="1:19" ht="42">
      <c r="A346" s="43">
        <v>342</v>
      </c>
      <c r="B346" s="43">
        <v>341</v>
      </c>
      <c r="C346" s="43">
        <v>1097</v>
      </c>
      <c r="D346" s="44">
        <v>45919</v>
      </c>
      <c r="E346" s="45" t="s">
        <v>2134</v>
      </c>
      <c r="F346" s="46" t="s">
        <v>360</v>
      </c>
      <c r="G346" s="46" t="s">
        <v>1038</v>
      </c>
      <c r="H346" s="46" t="s">
        <v>1038</v>
      </c>
      <c r="I346" s="46" t="s">
        <v>530</v>
      </c>
      <c r="J346" s="46" t="s">
        <v>977</v>
      </c>
      <c r="K346" s="43">
        <v>24</v>
      </c>
      <c r="L346" s="43">
        <v>340</v>
      </c>
      <c r="M346" s="47">
        <v>7.0381231671554259E-2</v>
      </c>
      <c r="N346" s="47">
        <v>67.099999999999994</v>
      </c>
      <c r="O346" s="46" t="s">
        <v>4295</v>
      </c>
      <c r="P346" s="43">
        <v>217</v>
      </c>
      <c r="Q346" s="43">
        <v>20</v>
      </c>
      <c r="R346" s="45" t="s">
        <v>4275</v>
      </c>
      <c r="S346" s="46" t="s">
        <v>2135</v>
      </c>
    </row>
    <row r="347" spans="1:19" ht="42">
      <c r="A347" s="43">
        <v>343</v>
      </c>
      <c r="B347" s="43">
        <v>342</v>
      </c>
      <c r="C347" s="43">
        <v>1095</v>
      </c>
      <c r="D347" s="44">
        <v>45916</v>
      </c>
      <c r="E347" s="45" t="s">
        <v>2140</v>
      </c>
      <c r="F347" s="46" t="s">
        <v>360</v>
      </c>
      <c r="G347" s="46" t="s">
        <v>1038</v>
      </c>
      <c r="H347" s="46" t="s">
        <v>1484</v>
      </c>
      <c r="I347" s="46" t="s">
        <v>512</v>
      </c>
      <c r="J347" s="46" t="s">
        <v>977</v>
      </c>
      <c r="K347" s="43">
        <v>24</v>
      </c>
      <c r="L347" s="43">
        <v>343</v>
      </c>
      <c r="M347" s="47">
        <v>6.9767441860465115E-2</v>
      </c>
      <c r="N347" s="47">
        <v>67.099999999999994</v>
      </c>
      <c r="O347" s="46" t="s">
        <v>4295</v>
      </c>
      <c r="P347" s="43">
        <v>279</v>
      </c>
      <c r="Q347" s="43">
        <v>20</v>
      </c>
      <c r="R347" s="45" t="s">
        <v>4275</v>
      </c>
      <c r="S347" s="46" t="s">
        <v>2141</v>
      </c>
    </row>
    <row r="348" spans="1:19" ht="42">
      <c r="A348" s="43">
        <v>344</v>
      </c>
      <c r="B348" s="43">
        <v>296</v>
      </c>
      <c r="C348" s="43">
        <v>1038</v>
      </c>
      <c r="D348" s="44">
        <v>45646</v>
      </c>
      <c r="E348" s="45" t="s">
        <v>2724</v>
      </c>
      <c r="F348" s="46" t="s">
        <v>382</v>
      </c>
      <c r="G348" s="46" t="s">
        <v>878</v>
      </c>
      <c r="H348" s="46" t="s">
        <v>965</v>
      </c>
      <c r="I348" s="46" t="s">
        <v>515</v>
      </c>
      <c r="J348" s="46" t="s">
        <v>977</v>
      </c>
      <c r="K348" s="43">
        <v>27</v>
      </c>
      <c r="L348" s="43">
        <v>613</v>
      </c>
      <c r="M348" s="47">
        <v>4.3973941368078175E-2</v>
      </c>
      <c r="N348" s="47">
        <v>66.900000000000006</v>
      </c>
      <c r="O348" s="46" t="s">
        <v>4295</v>
      </c>
      <c r="P348" s="43">
        <v>372</v>
      </c>
      <c r="Q348" s="43">
        <v>20</v>
      </c>
      <c r="R348" s="45" t="s">
        <v>4275</v>
      </c>
      <c r="S348" s="46" t="s">
        <v>2725</v>
      </c>
    </row>
    <row r="349" spans="1:19" ht="42">
      <c r="A349" s="43">
        <v>345</v>
      </c>
      <c r="B349" s="43">
        <v>343</v>
      </c>
      <c r="C349" s="43">
        <v>966</v>
      </c>
      <c r="D349" s="44">
        <v>45894</v>
      </c>
      <c r="E349" s="45" t="s">
        <v>2195</v>
      </c>
      <c r="F349" s="46" t="s">
        <v>371</v>
      </c>
      <c r="G349" s="46" t="s">
        <v>1038</v>
      </c>
      <c r="H349" s="46" t="s">
        <v>1134</v>
      </c>
      <c r="I349" s="46" t="s">
        <v>515</v>
      </c>
      <c r="J349" s="46" t="s">
        <v>977</v>
      </c>
      <c r="K349" s="43">
        <v>24</v>
      </c>
      <c r="L349" s="43">
        <v>365</v>
      </c>
      <c r="M349" s="47">
        <v>6.5573770491803282E-2</v>
      </c>
      <c r="N349" s="47">
        <v>66.8</v>
      </c>
      <c r="O349" s="46" t="s">
        <v>4295</v>
      </c>
      <c r="P349" s="43">
        <v>469</v>
      </c>
      <c r="Q349" s="43">
        <v>10</v>
      </c>
      <c r="R349" s="45" t="s">
        <v>4281</v>
      </c>
      <c r="S349" s="46" t="s">
        <v>2196</v>
      </c>
    </row>
    <row r="350" spans="1:19" ht="42">
      <c r="A350" s="43">
        <v>346</v>
      </c>
      <c r="B350" s="43">
        <v>278</v>
      </c>
      <c r="C350" s="43">
        <v>631</v>
      </c>
      <c r="D350" s="44">
        <v>45575</v>
      </c>
      <c r="E350" s="45" t="s">
        <v>2871</v>
      </c>
      <c r="F350" s="46" t="s">
        <v>37</v>
      </c>
      <c r="G350" s="46" t="s">
        <v>1038</v>
      </c>
      <c r="H350" s="46" t="s">
        <v>1005</v>
      </c>
      <c r="I350" s="46" t="s">
        <v>515</v>
      </c>
      <c r="J350" s="46" t="s">
        <v>968</v>
      </c>
      <c r="K350" s="43">
        <v>28</v>
      </c>
      <c r="L350" s="43">
        <v>684</v>
      </c>
      <c r="M350" s="47">
        <v>4.0875912408759124E-2</v>
      </c>
      <c r="N350" s="47">
        <v>66.7</v>
      </c>
      <c r="O350" s="46" t="s">
        <v>4295</v>
      </c>
      <c r="P350" s="43">
        <v>236</v>
      </c>
      <c r="Q350" s="43">
        <v>20</v>
      </c>
      <c r="R350" s="45" t="s">
        <v>4275</v>
      </c>
      <c r="S350" s="46" t="s">
        <v>2872</v>
      </c>
    </row>
    <row r="351" spans="1:19" ht="31.5">
      <c r="A351" s="43">
        <v>347</v>
      </c>
      <c r="B351" s="43">
        <v>466</v>
      </c>
      <c r="C351" s="43">
        <v>1411</v>
      </c>
      <c r="D351" s="44">
        <v>46230</v>
      </c>
      <c r="E351" s="45" t="s">
        <v>1285</v>
      </c>
      <c r="F351" s="46" t="s">
        <v>37</v>
      </c>
      <c r="G351" s="46" t="s">
        <v>904</v>
      </c>
      <c r="H351" s="46" t="s">
        <v>965</v>
      </c>
      <c r="I351" s="46" t="s">
        <v>512</v>
      </c>
      <c r="J351" s="46" t="s">
        <v>968</v>
      </c>
      <c r="K351" s="43">
        <v>18</v>
      </c>
      <c r="L351" s="43">
        <v>29</v>
      </c>
      <c r="M351" s="47">
        <v>0.6</v>
      </c>
      <c r="N351" s="47">
        <v>66.7</v>
      </c>
      <c r="O351" s="46" t="s">
        <v>4295</v>
      </c>
      <c r="P351" s="43">
        <v>497</v>
      </c>
      <c r="Q351" s="43">
        <v>40</v>
      </c>
      <c r="R351" s="45" t="s">
        <v>4269</v>
      </c>
      <c r="S351" s="46" t="s">
        <v>1286</v>
      </c>
    </row>
    <row r="352" spans="1:19" ht="31.5">
      <c r="A352" s="43">
        <v>348</v>
      </c>
      <c r="B352" s="43">
        <v>423</v>
      </c>
      <c r="C352" s="43">
        <v>1273</v>
      </c>
      <c r="D352" s="44">
        <v>46156</v>
      </c>
      <c r="E352" s="45" t="s">
        <v>1590</v>
      </c>
      <c r="F352" s="46" t="s">
        <v>37</v>
      </c>
      <c r="G352" s="46" t="s">
        <v>1038</v>
      </c>
      <c r="H352" s="46" t="s">
        <v>1038</v>
      </c>
      <c r="I352" s="46" t="s">
        <v>519</v>
      </c>
      <c r="J352" s="46" t="s">
        <v>968</v>
      </c>
      <c r="K352" s="43">
        <v>20</v>
      </c>
      <c r="L352" s="43">
        <v>103</v>
      </c>
      <c r="M352" s="47">
        <v>0.19230769230769232</v>
      </c>
      <c r="N352" s="47">
        <v>66.599999999999994</v>
      </c>
      <c r="O352" s="46" t="s">
        <v>4295</v>
      </c>
      <c r="P352" s="43">
        <v>237</v>
      </c>
      <c r="Q352" s="43">
        <v>30</v>
      </c>
      <c r="R352" s="45" t="s">
        <v>4279</v>
      </c>
      <c r="S352" s="46" t="s">
        <v>1591</v>
      </c>
    </row>
    <row r="353" spans="1:19" ht="42">
      <c r="A353" s="43">
        <v>349</v>
      </c>
      <c r="B353" s="43">
        <v>399</v>
      </c>
      <c r="C353" s="43">
        <v>1188</v>
      </c>
      <c r="D353" s="44">
        <v>46102</v>
      </c>
      <c r="E353" s="45" t="s">
        <v>1755</v>
      </c>
      <c r="F353" s="46" t="s">
        <v>37</v>
      </c>
      <c r="G353" s="46" t="s">
        <v>889</v>
      </c>
      <c r="H353" s="46" t="s">
        <v>965</v>
      </c>
      <c r="I353" s="46" t="s">
        <v>515</v>
      </c>
      <c r="J353" s="46" t="s">
        <v>977</v>
      </c>
      <c r="K353" s="43">
        <v>21</v>
      </c>
      <c r="L353" s="43">
        <v>157</v>
      </c>
      <c r="M353" s="47">
        <v>0.13291139240506328</v>
      </c>
      <c r="N353" s="47">
        <v>66.400000000000006</v>
      </c>
      <c r="O353" s="46" t="s">
        <v>4295</v>
      </c>
      <c r="P353" s="43">
        <v>413</v>
      </c>
      <c r="Q353" s="43">
        <v>20</v>
      </c>
      <c r="R353" s="45" t="s">
        <v>4272</v>
      </c>
      <c r="S353" s="46" t="s">
        <v>1756</v>
      </c>
    </row>
    <row r="354" spans="1:19" ht="42">
      <c r="A354" s="43">
        <v>350</v>
      </c>
      <c r="B354" s="43">
        <v>424</v>
      </c>
      <c r="C354" s="43">
        <v>1268</v>
      </c>
      <c r="D354" s="44">
        <v>46151</v>
      </c>
      <c r="E354" s="45" t="s">
        <v>1605</v>
      </c>
      <c r="F354" s="46" t="s">
        <v>37</v>
      </c>
      <c r="G354" s="46" t="s">
        <v>884</v>
      </c>
      <c r="H354" s="46" t="s">
        <v>965</v>
      </c>
      <c r="I354" s="46" t="s">
        <v>519</v>
      </c>
      <c r="J354" s="46" t="s">
        <v>977</v>
      </c>
      <c r="K354" s="43">
        <v>20</v>
      </c>
      <c r="L354" s="43">
        <v>108</v>
      </c>
      <c r="M354" s="47">
        <v>0.1834862385321101</v>
      </c>
      <c r="N354" s="47">
        <v>66.400000000000006</v>
      </c>
      <c r="O354" s="46" t="s">
        <v>4295</v>
      </c>
      <c r="P354" s="43">
        <v>358</v>
      </c>
      <c r="Q354" s="43">
        <v>20</v>
      </c>
      <c r="R354" s="45" t="s">
        <v>4272</v>
      </c>
      <c r="S354" s="46" t="s">
        <v>1606</v>
      </c>
    </row>
    <row r="355" spans="1:19" ht="31.5">
      <c r="A355" s="43">
        <v>351</v>
      </c>
      <c r="B355" s="43">
        <v>425</v>
      </c>
      <c r="C355" s="43">
        <v>1250</v>
      </c>
      <c r="D355" s="44">
        <v>46147</v>
      </c>
      <c r="E355" s="45" t="s">
        <v>1659</v>
      </c>
      <c r="F355" s="46" t="s">
        <v>37</v>
      </c>
      <c r="G355" s="46" t="s">
        <v>1038</v>
      </c>
      <c r="H355" s="46" t="s">
        <v>1005</v>
      </c>
      <c r="I355" s="46" t="s">
        <v>522</v>
      </c>
      <c r="J355" s="46" t="s">
        <v>968</v>
      </c>
      <c r="K355" s="43">
        <v>20</v>
      </c>
      <c r="L355" s="43">
        <v>112</v>
      </c>
      <c r="M355" s="47">
        <v>0.17699115044247787</v>
      </c>
      <c r="N355" s="47">
        <v>66.3</v>
      </c>
      <c r="O355" s="46" t="s">
        <v>4295</v>
      </c>
      <c r="P355" s="43">
        <v>896</v>
      </c>
      <c r="Q355" s="43">
        <v>30</v>
      </c>
      <c r="R355" s="45" t="s">
        <v>4266</v>
      </c>
      <c r="S355" s="46" t="s">
        <v>1660</v>
      </c>
    </row>
    <row r="356" spans="1:19" ht="31.5">
      <c r="A356" s="43">
        <v>352</v>
      </c>
      <c r="B356" s="43">
        <v>555</v>
      </c>
      <c r="C356" s="43">
        <v>1487</v>
      </c>
      <c r="D356" s="44">
        <v>46257</v>
      </c>
      <c r="E356" s="45" t="s">
        <v>1024</v>
      </c>
      <c r="F356" s="46" t="s">
        <v>37</v>
      </c>
      <c r="G356" s="46" t="s">
        <v>887</v>
      </c>
      <c r="H356" s="46" t="s">
        <v>965</v>
      </c>
      <c r="I356" s="46" t="s">
        <v>522</v>
      </c>
      <c r="J356" s="46" t="s">
        <v>977</v>
      </c>
      <c r="K356" s="43">
        <v>15</v>
      </c>
      <c r="L356" s="43">
        <v>2</v>
      </c>
      <c r="M356" s="47">
        <v>5</v>
      </c>
      <c r="N356" s="47">
        <v>66.3</v>
      </c>
      <c r="O356" s="46" t="s">
        <v>4295</v>
      </c>
      <c r="P356" s="43">
        <v>507</v>
      </c>
      <c r="Q356" s="43">
        <v>50</v>
      </c>
      <c r="R356" s="45" t="s">
        <v>4264</v>
      </c>
      <c r="S356" s="46" t="s">
        <v>1025</v>
      </c>
    </row>
    <row r="357" spans="1:19" ht="42">
      <c r="A357" s="43">
        <v>353</v>
      </c>
      <c r="B357" s="43">
        <v>377</v>
      </c>
      <c r="C357" s="43">
        <v>1089</v>
      </c>
      <c r="D357" s="44">
        <v>46022</v>
      </c>
      <c r="E357" s="45" t="s">
        <v>1938</v>
      </c>
      <c r="F357" s="46" t="s">
        <v>382</v>
      </c>
      <c r="G357" s="46" t="s">
        <v>878</v>
      </c>
      <c r="H357" s="46" t="s">
        <v>965</v>
      </c>
      <c r="I357" s="46" t="s">
        <v>512</v>
      </c>
      <c r="J357" s="46" t="s">
        <v>977</v>
      </c>
      <c r="K357" s="43">
        <v>22</v>
      </c>
      <c r="L357" s="43">
        <v>237</v>
      </c>
      <c r="M357" s="47">
        <v>9.2436974789915971E-2</v>
      </c>
      <c r="N357" s="47">
        <v>66.2</v>
      </c>
      <c r="O357" s="46" t="s">
        <v>4295</v>
      </c>
      <c r="P357" s="43">
        <v>692</v>
      </c>
      <c r="Q357" s="43">
        <v>20</v>
      </c>
      <c r="R357" s="45" t="s">
        <v>4278</v>
      </c>
      <c r="S357" s="46" t="s">
        <v>1939</v>
      </c>
    </row>
    <row r="358" spans="1:19" ht="31.5">
      <c r="A358" s="43">
        <v>354</v>
      </c>
      <c r="B358" s="43">
        <v>467</v>
      </c>
      <c r="C358" s="43">
        <v>1393</v>
      </c>
      <c r="D358" s="44">
        <v>46225</v>
      </c>
      <c r="E358" s="45" t="s">
        <v>1340</v>
      </c>
      <c r="F358" s="46" t="s">
        <v>360</v>
      </c>
      <c r="G358" s="46" t="s">
        <v>902</v>
      </c>
      <c r="H358" s="46" t="s">
        <v>965</v>
      </c>
      <c r="I358" s="46" t="s">
        <v>515</v>
      </c>
      <c r="J358" s="46" t="s">
        <v>977</v>
      </c>
      <c r="K358" s="43">
        <v>18</v>
      </c>
      <c r="L358" s="43">
        <v>34</v>
      </c>
      <c r="M358" s="47">
        <v>0.51428571428571423</v>
      </c>
      <c r="N358" s="47">
        <v>66.2</v>
      </c>
      <c r="O358" s="46" t="s">
        <v>4295</v>
      </c>
      <c r="P358" s="43">
        <v>184</v>
      </c>
      <c r="Q358" s="43">
        <v>30</v>
      </c>
      <c r="R358" s="45" t="s">
        <v>4279</v>
      </c>
      <c r="S358" s="46" t="s">
        <v>1341</v>
      </c>
    </row>
    <row r="359" spans="1:19" ht="31.5">
      <c r="A359" s="43">
        <v>355</v>
      </c>
      <c r="B359" s="43">
        <v>525</v>
      </c>
      <c r="C359" s="43">
        <v>1464</v>
      </c>
      <c r="D359" s="44">
        <v>46252</v>
      </c>
      <c r="E359" s="45" t="s">
        <v>1108</v>
      </c>
      <c r="F359" s="46" t="s">
        <v>37</v>
      </c>
      <c r="G359" s="46" t="s">
        <v>938</v>
      </c>
      <c r="H359" s="46" t="s">
        <v>965</v>
      </c>
      <c r="I359" s="46" t="s">
        <v>512</v>
      </c>
      <c r="J359" s="46" t="s">
        <v>977</v>
      </c>
      <c r="K359" s="43">
        <v>16</v>
      </c>
      <c r="L359" s="43">
        <v>7</v>
      </c>
      <c r="M359" s="47">
        <v>2</v>
      </c>
      <c r="N359" s="47">
        <v>66.2</v>
      </c>
      <c r="O359" s="46" t="s">
        <v>4295</v>
      </c>
      <c r="P359" s="43">
        <v>1037</v>
      </c>
      <c r="Q359" s="43">
        <v>50</v>
      </c>
      <c r="R359" s="45" t="s">
        <v>4264</v>
      </c>
      <c r="S359" s="46" t="s">
        <v>1109</v>
      </c>
    </row>
    <row r="360" spans="1:19" ht="42">
      <c r="A360" s="43">
        <v>356</v>
      </c>
      <c r="B360" s="43">
        <v>279</v>
      </c>
      <c r="C360" s="43">
        <v>580</v>
      </c>
      <c r="D360" s="44">
        <v>45519</v>
      </c>
      <c r="E360" s="45" t="s">
        <v>3030</v>
      </c>
      <c r="F360" s="46" t="s">
        <v>37</v>
      </c>
      <c r="G360" s="46" t="s">
        <v>1038</v>
      </c>
      <c r="H360" s="46" t="s">
        <v>1038</v>
      </c>
      <c r="I360" s="46" t="s">
        <v>515</v>
      </c>
      <c r="J360" s="46" t="s">
        <v>968</v>
      </c>
      <c r="K360" s="43">
        <v>28</v>
      </c>
      <c r="L360" s="43">
        <v>740</v>
      </c>
      <c r="M360" s="47">
        <v>3.7786774628879895E-2</v>
      </c>
      <c r="N360" s="47">
        <v>66.099999999999994</v>
      </c>
      <c r="O360" s="46" t="s">
        <v>4295</v>
      </c>
      <c r="P360" s="43">
        <v>246</v>
      </c>
      <c r="Q360" s="43">
        <v>10</v>
      </c>
      <c r="R360" s="45" t="s">
        <v>4281</v>
      </c>
      <c r="S360" s="46" t="s">
        <v>3031</v>
      </c>
    </row>
    <row r="361" spans="1:19" ht="42">
      <c r="A361" s="43">
        <v>357</v>
      </c>
      <c r="B361" s="43">
        <v>400</v>
      </c>
      <c r="C361" s="43">
        <v>1185</v>
      </c>
      <c r="D361" s="44">
        <v>46088</v>
      </c>
      <c r="E361" s="45" t="s">
        <v>1764</v>
      </c>
      <c r="F361" s="46" t="s">
        <v>37</v>
      </c>
      <c r="G361" s="46" t="s">
        <v>889</v>
      </c>
      <c r="H361" s="46" t="s">
        <v>965</v>
      </c>
      <c r="I361" s="46" t="s">
        <v>519</v>
      </c>
      <c r="J361" s="46" t="s">
        <v>977</v>
      </c>
      <c r="K361" s="43">
        <v>21</v>
      </c>
      <c r="L361" s="43">
        <v>171</v>
      </c>
      <c r="M361" s="47">
        <v>0.12209302325581395</v>
      </c>
      <c r="N361" s="47">
        <v>66.099999999999994</v>
      </c>
      <c r="O361" s="46" t="s">
        <v>4295</v>
      </c>
      <c r="P361" s="43">
        <v>301</v>
      </c>
      <c r="Q361" s="43">
        <v>20</v>
      </c>
      <c r="R361" s="45" t="s">
        <v>4272</v>
      </c>
      <c r="S361" s="46" t="s">
        <v>1765</v>
      </c>
    </row>
    <row r="362" spans="1:19" ht="42">
      <c r="A362" s="43">
        <v>358</v>
      </c>
      <c r="B362" s="43">
        <v>378</v>
      </c>
      <c r="C362" s="43">
        <v>1146</v>
      </c>
      <c r="D362" s="44">
        <v>46009</v>
      </c>
      <c r="E362" s="45" t="s">
        <v>2017</v>
      </c>
      <c r="F362" s="46" t="s">
        <v>360</v>
      </c>
      <c r="G362" s="46" t="s">
        <v>1038</v>
      </c>
      <c r="H362" s="46" t="s">
        <v>1005</v>
      </c>
      <c r="I362" s="46" t="s">
        <v>519</v>
      </c>
      <c r="J362" s="46" t="s">
        <v>968</v>
      </c>
      <c r="K362" s="43">
        <v>22</v>
      </c>
      <c r="L362" s="43">
        <v>250</v>
      </c>
      <c r="M362" s="47">
        <v>8.7649402390438252E-2</v>
      </c>
      <c r="N362" s="47">
        <v>65.900000000000006</v>
      </c>
      <c r="O362" s="46" t="s">
        <v>4295</v>
      </c>
      <c r="P362" s="43">
        <v>495</v>
      </c>
      <c r="Q362" s="43">
        <v>20</v>
      </c>
      <c r="R362" s="45" t="s">
        <v>4275</v>
      </c>
      <c r="S362" s="46" t="s">
        <v>2018</v>
      </c>
    </row>
    <row r="363" spans="1:19" ht="31.5">
      <c r="A363" s="43">
        <v>359</v>
      </c>
      <c r="B363" s="43">
        <v>426</v>
      </c>
      <c r="C363" s="43">
        <v>1202</v>
      </c>
      <c r="D363" s="44">
        <v>46126</v>
      </c>
      <c r="E363" s="45" t="s">
        <v>1722</v>
      </c>
      <c r="F363" s="46" t="s">
        <v>37</v>
      </c>
      <c r="G363" s="46" t="s">
        <v>1038</v>
      </c>
      <c r="H363" s="46" t="s">
        <v>1005</v>
      </c>
      <c r="I363" s="46" t="s">
        <v>519</v>
      </c>
      <c r="J363" s="46" t="s">
        <v>968</v>
      </c>
      <c r="K363" s="43">
        <v>20</v>
      </c>
      <c r="L363" s="43">
        <v>133</v>
      </c>
      <c r="M363" s="47">
        <v>0.14925373134328357</v>
      </c>
      <c r="N363" s="47">
        <v>65.8</v>
      </c>
      <c r="O363" s="46" t="s">
        <v>4295</v>
      </c>
      <c r="P363" s="43">
        <v>256</v>
      </c>
      <c r="Q363" s="43">
        <v>30</v>
      </c>
      <c r="R363" s="45" t="s">
        <v>4279</v>
      </c>
      <c r="S363" s="46" t="s">
        <v>1723</v>
      </c>
    </row>
    <row r="364" spans="1:19" ht="42">
      <c r="A364" s="43">
        <v>360</v>
      </c>
      <c r="B364" s="43">
        <v>297</v>
      </c>
      <c r="C364" s="43">
        <v>632</v>
      </c>
      <c r="D364" s="44">
        <v>45577</v>
      </c>
      <c r="E364" s="45" t="s">
        <v>2868</v>
      </c>
      <c r="F364" s="46" t="s">
        <v>37</v>
      </c>
      <c r="G364" s="46" t="s">
        <v>903</v>
      </c>
      <c r="H364" s="46" t="s">
        <v>965</v>
      </c>
      <c r="I364" s="46" t="s">
        <v>515</v>
      </c>
      <c r="J364" s="46" t="s">
        <v>977</v>
      </c>
      <c r="K364" s="43">
        <v>27</v>
      </c>
      <c r="L364" s="43">
        <v>682</v>
      </c>
      <c r="M364" s="47">
        <v>3.9531478770131773E-2</v>
      </c>
      <c r="N364" s="47">
        <v>65.599999999999994</v>
      </c>
      <c r="O364" s="46" t="s">
        <v>4295</v>
      </c>
      <c r="P364" s="43">
        <v>445</v>
      </c>
      <c r="Q364" s="43">
        <v>10</v>
      </c>
      <c r="R364" s="45" t="s">
        <v>4281</v>
      </c>
      <c r="S364" s="46" t="s">
        <v>2869</v>
      </c>
    </row>
    <row r="365" spans="1:19" ht="42">
      <c r="A365" s="43">
        <v>361</v>
      </c>
      <c r="B365" s="43">
        <v>344</v>
      </c>
      <c r="C365" s="43">
        <v>916</v>
      </c>
      <c r="D365" s="44">
        <v>45819</v>
      </c>
      <c r="E365" s="45" t="s">
        <v>2402</v>
      </c>
      <c r="F365" s="46" t="s">
        <v>371</v>
      </c>
      <c r="G365" s="46" t="s">
        <v>932</v>
      </c>
      <c r="H365" s="46" t="s">
        <v>1317</v>
      </c>
      <c r="I365" s="46" t="s">
        <v>526</v>
      </c>
      <c r="J365" s="46" t="s">
        <v>968</v>
      </c>
      <c r="K365" s="43">
        <v>24</v>
      </c>
      <c r="L365" s="43">
        <v>440</v>
      </c>
      <c r="M365" s="47">
        <v>5.4421768707482991E-2</v>
      </c>
      <c r="N365" s="47">
        <v>65.599999999999994</v>
      </c>
      <c r="O365" s="46" t="s">
        <v>4295</v>
      </c>
      <c r="P365" s="43">
        <v>733</v>
      </c>
      <c r="Q365" s="43">
        <v>20</v>
      </c>
      <c r="R365" s="45" t="s">
        <v>4278</v>
      </c>
      <c r="S365" s="46" t="s">
        <v>2403</v>
      </c>
    </row>
    <row r="366" spans="1:19" ht="42">
      <c r="A366" s="43">
        <v>362</v>
      </c>
      <c r="B366" s="43">
        <v>262</v>
      </c>
      <c r="C366" s="43">
        <v>401</v>
      </c>
      <c r="D366" s="44">
        <v>45314</v>
      </c>
      <c r="E366" s="45" t="s">
        <v>3388</v>
      </c>
      <c r="F366" s="46" t="s">
        <v>37</v>
      </c>
      <c r="G366" s="46" t="s">
        <v>1038</v>
      </c>
      <c r="H366" s="46" t="s">
        <v>1038</v>
      </c>
      <c r="I366" s="46" t="s">
        <v>533</v>
      </c>
      <c r="J366" s="46" t="s">
        <v>968</v>
      </c>
      <c r="K366" s="43">
        <v>29</v>
      </c>
      <c r="L366" s="43">
        <v>945</v>
      </c>
      <c r="M366" s="47">
        <v>3.06553911205074E-2</v>
      </c>
      <c r="N366" s="47">
        <v>65.400000000000006</v>
      </c>
      <c r="O366" s="46" t="s">
        <v>4295</v>
      </c>
      <c r="P366" s="43">
        <v>223</v>
      </c>
      <c r="Q366" s="43">
        <v>10</v>
      </c>
      <c r="R366" s="45" t="s">
        <v>4281</v>
      </c>
      <c r="S366" s="46" t="s">
        <v>3389</v>
      </c>
    </row>
    <row r="367" spans="1:19" ht="42">
      <c r="A367" s="43">
        <v>363</v>
      </c>
      <c r="B367" s="43">
        <v>308</v>
      </c>
      <c r="C367" s="43">
        <v>674</v>
      </c>
      <c r="D367" s="44">
        <v>45636</v>
      </c>
      <c r="E367" s="45" t="s">
        <v>2755</v>
      </c>
      <c r="F367" s="46" t="s">
        <v>37</v>
      </c>
      <c r="G367" s="46" t="s">
        <v>1038</v>
      </c>
      <c r="H367" s="46" t="s">
        <v>1005</v>
      </c>
      <c r="I367" s="46" t="s">
        <v>515</v>
      </c>
      <c r="J367" s="46" t="s">
        <v>968</v>
      </c>
      <c r="K367" s="43">
        <v>26</v>
      </c>
      <c r="L367" s="43">
        <v>623</v>
      </c>
      <c r="M367" s="47">
        <v>4.1666666666666664E-2</v>
      </c>
      <c r="N367" s="47">
        <v>65.2</v>
      </c>
      <c r="O367" s="46" t="s">
        <v>4295</v>
      </c>
      <c r="P367" s="43">
        <v>282</v>
      </c>
      <c r="Q367" s="43">
        <v>10</v>
      </c>
      <c r="R367" s="45" t="s">
        <v>4281</v>
      </c>
      <c r="S367" s="46" t="s">
        <v>2756</v>
      </c>
    </row>
    <row r="368" spans="1:19" ht="42">
      <c r="A368" s="43">
        <v>364</v>
      </c>
      <c r="B368" s="43">
        <v>401</v>
      </c>
      <c r="C368" s="43">
        <v>1163</v>
      </c>
      <c r="D368" s="44">
        <v>46045</v>
      </c>
      <c r="E368" s="45" t="s">
        <v>1872</v>
      </c>
      <c r="F368" s="46" t="s">
        <v>360</v>
      </c>
      <c r="G368" s="46" t="s">
        <v>889</v>
      </c>
      <c r="H368" s="46" t="s">
        <v>965</v>
      </c>
      <c r="I368" s="46" t="s">
        <v>522</v>
      </c>
      <c r="J368" s="46" t="s">
        <v>968</v>
      </c>
      <c r="K368" s="43">
        <v>21</v>
      </c>
      <c r="L368" s="43">
        <v>214</v>
      </c>
      <c r="M368" s="47">
        <v>9.7674418604651161E-2</v>
      </c>
      <c r="N368" s="47">
        <v>65.099999999999994</v>
      </c>
      <c r="O368" s="46" t="s">
        <v>4295</v>
      </c>
      <c r="P368" s="43">
        <v>360</v>
      </c>
      <c r="Q368" s="43">
        <v>10</v>
      </c>
      <c r="R368" s="45" t="s">
        <v>4281</v>
      </c>
      <c r="S368" s="46" t="s">
        <v>1873</v>
      </c>
    </row>
    <row r="369" spans="1:19" ht="42">
      <c r="A369" s="43">
        <v>365</v>
      </c>
      <c r="B369" s="43">
        <v>345</v>
      </c>
      <c r="C369" s="43">
        <v>1055</v>
      </c>
      <c r="D369" s="44">
        <v>45784</v>
      </c>
      <c r="E369" s="45" t="s">
        <v>2439</v>
      </c>
      <c r="F369" s="46" t="s">
        <v>382</v>
      </c>
      <c r="G369" s="46" t="s">
        <v>1038</v>
      </c>
      <c r="H369" s="46" t="s">
        <v>1134</v>
      </c>
      <c r="I369" s="46" t="s">
        <v>515</v>
      </c>
      <c r="J369" s="46" t="s">
        <v>968</v>
      </c>
      <c r="K369" s="43">
        <v>24</v>
      </c>
      <c r="L369" s="43">
        <v>475</v>
      </c>
      <c r="M369" s="47">
        <v>5.0420168067226892E-2</v>
      </c>
      <c r="N369" s="47">
        <v>65</v>
      </c>
      <c r="O369" s="46" t="s">
        <v>4295</v>
      </c>
      <c r="P369" s="43">
        <v>709</v>
      </c>
      <c r="Q369" s="43">
        <v>20</v>
      </c>
      <c r="R369" s="45" t="s">
        <v>4278</v>
      </c>
      <c r="S369" s="46" t="s">
        <v>2440</v>
      </c>
    </row>
    <row r="370" spans="1:19" ht="31.5">
      <c r="A370" s="43">
        <v>366</v>
      </c>
      <c r="B370" s="43">
        <v>427</v>
      </c>
      <c r="C370" s="43">
        <v>1189</v>
      </c>
      <c r="D370" s="44">
        <v>46105</v>
      </c>
      <c r="E370" s="45" t="s">
        <v>1752</v>
      </c>
      <c r="F370" s="46" t="s">
        <v>37</v>
      </c>
      <c r="G370" s="46" t="s">
        <v>1038</v>
      </c>
      <c r="H370" s="46" t="s">
        <v>1134</v>
      </c>
      <c r="I370" s="46" t="s">
        <v>515</v>
      </c>
      <c r="J370" s="46" t="s">
        <v>968</v>
      </c>
      <c r="K370" s="43">
        <v>20</v>
      </c>
      <c r="L370" s="43">
        <v>154</v>
      </c>
      <c r="M370" s="47">
        <v>0.12903225806451613</v>
      </c>
      <c r="N370" s="47">
        <v>65</v>
      </c>
      <c r="O370" s="46" t="s">
        <v>4295</v>
      </c>
      <c r="P370" s="43">
        <v>404</v>
      </c>
      <c r="Q370" s="43">
        <v>30</v>
      </c>
      <c r="R370" s="45" t="s">
        <v>4279</v>
      </c>
      <c r="S370" s="46" t="s">
        <v>1753</v>
      </c>
    </row>
    <row r="371" spans="1:19" ht="31.5">
      <c r="A371" s="43">
        <v>367</v>
      </c>
      <c r="B371" s="43">
        <v>346</v>
      </c>
      <c r="C371" s="43">
        <v>745</v>
      </c>
      <c r="D371" s="44">
        <v>45766</v>
      </c>
      <c r="E371" s="45" t="s">
        <v>2464</v>
      </c>
      <c r="F371" s="46" t="s">
        <v>37</v>
      </c>
      <c r="G371" s="46" t="s">
        <v>1038</v>
      </c>
      <c r="H371" s="46" t="s">
        <v>1005</v>
      </c>
      <c r="I371" s="46" t="s">
        <v>515</v>
      </c>
      <c r="J371" s="46" t="s">
        <v>968</v>
      </c>
      <c r="K371" s="43">
        <v>24</v>
      </c>
      <c r="L371" s="43">
        <v>493</v>
      </c>
      <c r="M371" s="47">
        <v>4.8582995951417005E-2</v>
      </c>
      <c r="N371" s="47">
        <v>64.8</v>
      </c>
      <c r="O371" s="46" t="s">
        <v>4295</v>
      </c>
      <c r="P371" s="43">
        <v>746</v>
      </c>
      <c r="Q371" s="43">
        <v>30</v>
      </c>
      <c r="R371" s="45" t="s">
        <v>4283</v>
      </c>
      <c r="S371" s="46" t="s">
        <v>2465</v>
      </c>
    </row>
    <row r="372" spans="1:19" ht="42">
      <c r="A372" s="43">
        <v>368</v>
      </c>
      <c r="B372" s="43">
        <v>402</v>
      </c>
      <c r="C372" s="43">
        <v>814</v>
      </c>
      <c r="D372" s="44">
        <v>46023</v>
      </c>
      <c r="E372" s="45" t="s">
        <v>1929</v>
      </c>
      <c r="F372" s="46" t="s">
        <v>37</v>
      </c>
      <c r="G372" s="46" t="s">
        <v>887</v>
      </c>
      <c r="H372" s="46" t="s">
        <v>965</v>
      </c>
      <c r="I372" s="46" t="s">
        <v>512</v>
      </c>
      <c r="J372" s="46" t="s">
        <v>977</v>
      </c>
      <c r="K372" s="43">
        <v>21</v>
      </c>
      <c r="L372" s="43">
        <v>236</v>
      </c>
      <c r="M372" s="47">
        <v>8.8607594936708861E-2</v>
      </c>
      <c r="N372" s="47">
        <v>64.599999999999994</v>
      </c>
      <c r="O372" s="46" t="s">
        <v>4295</v>
      </c>
      <c r="P372" s="43">
        <v>566</v>
      </c>
      <c r="Q372" s="43">
        <v>20</v>
      </c>
      <c r="R372" s="45" t="s">
        <v>4278</v>
      </c>
      <c r="S372" s="46" t="s">
        <v>1930</v>
      </c>
    </row>
    <row r="373" spans="1:19" ht="42">
      <c r="A373" s="43">
        <v>369</v>
      </c>
      <c r="B373" s="43">
        <v>263</v>
      </c>
      <c r="C373" s="43">
        <v>302</v>
      </c>
      <c r="D373" s="44">
        <v>45179</v>
      </c>
      <c r="E373" s="45" t="s">
        <v>3597</v>
      </c>
      <c r="F373" s="46" t="s">
        <v>37</v>
      </c>
      <c r="G373" s="46" t="s">
        <v>1038</v>
      </c>
      <c r="H373" s="46" t="s">
        <v>1134</v>
      </c>
      <c r="I373" s="46" t="s">
        <v>533</v>
      </c>
      <c r="J373" s="46" t="s">
        <v>968</v>
      </c>
      <c r="K373" s="43">
        <v>29</v>
      </c>
      <c r="L373" s="43">
        <v>1080</v>
      </c>
      <c r="M373" s="47">
        <v>2.6827012025901941E-2</v>
      </c>
      <c r="N373" s="47">
        <v>64.5</v>
      </c>
      <c r="O373" s="46" t="s">
        <v>4295</v>
      </c>
      <c r="P373" s="43">
        <v>149</v>
      </c>
      <c r="Q373" s="43">
        <v>10</v>
      </c>
      <c r="R373" s="45" t="s">
        <v>4281</v>
      </c>
      <c r="S373" s="46" t="s">
        <v>3598</v>
      </c>
    </row>
    <row r="374" spans="1:19" ht="42">
      <c r="A374" s="43">
        <v>370</v>
      </c>
      <c r="B374" s="43">
        <v>379</v>
      </c>
      <c r="C374" s="43">
        <v>1114</v>
      </c>
      <c r="D374" s="44">
        <v>45928</v>
      </c>
      <c r="E374" s="45" t="s">
        <v>2119</v>
      </c>
      <c r="F374" s="46" t="s">
        <v>360</v>
      </c>
      <c r="G374" s="46" t="s">
        <v>1038</v>
      </c>
      <c r="H374" s="46" t="s">
        <v>1005</v>
      </c>
      <c r="I374" s="46" t="s">
        <v>515</v>
      </c>
      <c r="J374" s="46" t="s">
        <v>968</v>
      </c>
      <c r="K374" s="43">
        <v>22</v>
      </c>
      <c r="L374" s="43">
        <v>331</v>
      </c>
      <c r="M374" s="47">
        <v>6.6265060240963861E-2</v>
      </c>
      <c r="N374" s="47">
        <v>64.5</v>
      </c>
      <c r="O374" s="46" t="s">
        <v>4295</v>
      </c>
      <c r="P374" s="43">
        <v>372</v>
      </c>
      <c r="Q374" s="43">
        <v>20</v>
      </c>
      <c r="R374" s="45" t="s">
        <v>4275</v>
      </c>
      <c r="S374" s="46" t="s">
        <v>2120</v>
      </c>
    </row>
    <row r="375" spans="1:19" ht="42">
      <c r="A375" s="43">
        <v>371</v>
      </c>
      <c r="B375" s="43">
        <v>215</v>
      </c>
      <c r="C375" s="43">
        <v>62</v>
      </c>
      <c r="D375" s="44">
        <v>44712</v>
      </c>
      <c r="E375" s="45" t="s">
        <v>4003</v>
      </c>
      <c r="F375" s="46" t="s">
        <v>37</v>
      </c>
      <c r="G375" s="46" t="s">
        <v>1038</v>
      </c>
      <c r="H375" s="46" t="s">
        <v>1005</v>
      </c>
      <c r="I375" s="46" t="s">
        <v>533</v>
      </c>
      <c r="J375" s="46" t="s">
        <v>968</v>
      </c>
      <c r="K375" s="43">
        <v>32</v>
      </c>
      <c r="L375" s="43">
        <v>1547</v>
      </c>
      <c r="M375" s="47">
        <v>2.0671834625322998E-2</v>
      </c>
      <c r="N375" s="47">
        <v>64.400000000000006</v>
      </c>
      <c r="O375" s="46" t="s">
        <v>4295</v>
      </c>
      <c r="P375" s="43">
        <v>394</v>
      </c>
      <c r="Q375" s="43">
        <v>10</v>
      </c>
      <c r="R375" s="45" t="s">
        <v>4281</v>
      </c>
      <c r="S375" s="46" t="s">
        <v>4004</v>
      </c>
    </row>
    <row r="376" spans="1:19" ht="42">
      <c r="A376" s="43">
        <v>372</v>
      </c>
      <c r="B376" s="43">
        <v>309</v>
      </c>
      <c r="C376" s="43">
        <v>615</v>
      </c>
      <c r="D376" s="44">
        <v>45563</v>
      </c>
      <c r="E376" s="45" t="s">
        <v>2922</v>
      </c>
      <c r="F376" s="46" t="s">
        <v>37</v>
      </c>
      <c r="G376" s="46" t="s">
        <v>900</v>
      </c>
      <c r="H376" s="46" t="s">
        <v>965</v>
      </c>
      <c r="I376" s="46" t="s">
        <v>515</v>
      </c>
      <c r="J376" s="46" t="s">
        <v>977</v>
      </c>
      <c r="K376" s="43">
        <v>26</v>
      </c>
      <c r="L376" s="43">
        <v>696</v>
      </c>
      <c r="M376" s="47">
        <v>3.7302725968436153E-2</v>
      </c>
      <c r="N376" s="47">
        <v>64</v>
      </c>
      <c r="O376" s="46" t="s">
        <v>4295</v>
      </c>
      <c r="P376" s="43">
        <v>13</v>
      </c>
      <c r="Q376" s="43">
        <v>10</v>
      </c>
      <c r="R376" s="45" t="s">
        <v>4281</v>
      </c>
      <c r="S376" s="46" t="s">
        <v>2923</v>
      </c>
    </row>
    <row r="377" spans="1:19" ht="42">
      <c r="A377" s="43">
        <v>373</v>
      </c>
      <c r="B377" s="43">
        <v>380</v>
      </c>
      <c r="C377" s="43">
        <v>967</v>
      </c>
      <c r="D377" s="44">
        <v>45897</v>
      </c>
      <c r="E377" s="45" t="s">
        <v>2192</v>
      </c>
      <c r="F377" s="46" t="s">
        <v>371</v>
      </c>
      <c r="G377" s="46" t="s">
        <v>1038</v>
      </c>
      <c r="H377" s="46" t="s">
        <v>1005</v>
      </c>
      <c r="I377" s="46" t="s">
        <v>530</v>
      </c>
      <c r="J377" s="46" t="s">
        <v>968</v>
      </c>
      <c r="K377" s="43">
        <v>22</v>
      </c>
      <c r="L377" s="43">
        <v>362</v>
      </c>
      <c r="M377" s="47">
        <v>6.0606060606060608E-2</v>
      </c>
      <c r="N377" s="47">
        <v>64</v>
      </c>
      <c r="O377" s="46" t="s">
        <v>4295</v>
      </c>
      <c r="P377" s="43">
        <v>377</v>
      </c>
      <c r="Q377" s="43">
        <v>10</v>
      </c>
      <c r="R377" s="45" t="s">
        <v>4281</v>
      </c>
      <c r="S377" s="46" t="s">
        <v>2193</v>
      </c>
    </row>
    <row r="378" spans="1:19" ht="31.5">
      <c r="A378" s="43">
        <v>374</v>
      </c>
      <c r="B378" s="43">
        <v>403</v>
      </c>
      <c r="C378" s="43">
        <v>981</v>
      </c>
      <c r="D378" s="44">
        <v>45988</v>
      </c>
      <c r="E378" s="45" t="s">
        <v>2041</v>
      </c>
      <c r="F378" s="46" t="s">
        <v>371</v>
      </c>
      <c r="G378" s="46" t="s">
        <v>1038</v>
      </c>
      <c r="H378" s="46" t="s">
        <v>1134</v>
      </c>
      <c r="I378" s="46" t="s">
        <v>512</v>
      </c>
      <c r="J378" s="46" t="s">
        <v>977</v>
      </c>
      <c r="K378" s="43">
        <v>21</v>
      </c>
      <c r="L378" s="43">
        <v>271</v>
      </c>
      <c r="M378" s="47">
        <v>7.720588235294118E-2</v>
      </c>
      <c r="N378" s="47">
        <v>64</v>
      </c>
      <c r="O378" s="46" t="s">
        <v>4295</v>
      </c>
      <c r="P378" s="43">
        <v>2015</v>
      </c>
      <c r="Q378" s="43">
        <v>30</v>
      </c>
      <c r="R378" s="45" t="s">
        <v>4283</v>
      </c>
      <c r="S378" s="46" t="s">
        <v>2042</v>
      </c>
    </row>
    <row r="379" spans="1:19" ht="42">
      <c r="A379" s="43">
        <v>375</v>
      </c>
      <c r="B379" s="43">
        <v>347</v>
      </c>
      <c r="C379" s="43">
        <v>732</v>
      </c>
      <c r="D379" s="44">
        <v>45713</v>
      </c>
      <c r="E379" s="45" t="s">
        <v>2527</v>
      </c>
      <c r="F379" s="46" t="s">
        <v>37</v>
      </c>
      <c r="G379" s="46" t="s">
        <v>1038</v>
      </c>
      <c r="H379" s="46" t="s">
        <v>1134</v>
      </c>
      <c r="I379" s="46" t="s">
        <v>519</v>
      </c>
      <c r="J379" s="46" t="s">
        <v>968</v>
      </c>
      <c r="K379" s="43">
        <v>24</v>
      </c>
      <c r="L379" s="43">
        <v>546</v>
      </c>
      <c r="M379" s="47">
        <v>4.3875685557586835E-2</v>
      </c>
      <c r="N379" s="47">
        <v>63.9</v>
      </c>
      <c r="O379" s="46" t="s">
        <v>4295</v>
      </c>
      <c r="P379" s="43">
        <v>295</v>
      </c>
      <c r="Q379" s="43">
        <v>10</v>
      </c>
      <c r="R379" s="45" t="s">
        <v>4281</v>
      </c>
      <c r="S379" s="46" t="s">
        <v>2528</v>
      </c>
    </row>
    <row r="380" spans="1:19" ht="42">
      <c r="A380" s="43">
        <v>376</v>
      </c>
      <c r="B380" s="43">
        <v>428</v>
      </c>
      <c r="C380" s="43">
        <v>831</v>
      </c>
      <c r="D380" s="44">
        <v>46053</v>
      </c>
      <c r="E380" s="45" t="s">
        <v>1842</v>
      </c>
      <c r="F380" s="46" t="s">
        <v>37</v>
      </c>
      <c r="G380" s="46" t="s">
        <v>1038</v>
      </c>
      <c r="H380" s="46" t="s">
        <v>1005</v>
      </c>
      <c r="I380" s="46" t="s">
        <v>512</v>
      </c>
      <c r="J380" s="46" t="s">
        <v>977</v>
      </c>
      <c r="K380" s="43">
        <v>20</v>
      </c>
      <c r="L380" s="43">
        <v>206</v>
      </c>
      <c r="M380" s="47">
        <v>9.6618357487922704E-2</v>
      </c>
      <c r="N380" s="47">
        <v>63.7</v>
      </c>
      <c r="O380" s="46" t="s">
        <v>4295</v>
      </c>
      <c r="P380" s="43">
        <v>649</v>
      </c>
      <c r="Q380" s="43">
        <v>20</v>
      </c>
      <c r="R380" s="45" t="s">
        <v>4278</v>
      </c>
      <c r="S380" s="46" t="s">
        <v>1843</v>
      </c>
    </row>
    <row r="381" spans="1:19" ht="42">
      <c r="A381" s="43">
        <v>377</v>
      </c>
      <c r="B381" s="43">
        <v>264</v>
      </c>
      <c r="C381" s="43">
        <v>210</v>
      </c>
      <c r="D381" s="44">
        <v>45087</v>
      </c>
      <c r="E381" s="45" t="s">
        <v>3777</v>
      </c>
      <c r="F381" s="46" t="s">
        <v>37</v>
      </c>
      <c r="G381" s="46" t="s">
        <v>1038</v>
      </c>
      <c r="H381" s="46" t="s">
        <v>1038</v>
      </c>
      <c r="I381" s="46" t="s">
        <v>515</v>
      </c>
      <c r="J381" s="46" t="s">
        <v>968</v>
      </c>
      <c r="K381" s="43">
        <v>29</v>
      </c>
      <c r="L381" s="43">
        <v>1172</v>
      </c>
      <c r="M381" s="47">
        <v>2.4722932651321399E-2</v>
      </c>
      <c r="N381" s="47">
        <v>63.6</v>
      </c>
      <c r="O381" s="46" t="s">
        <v>4295</v>
      </c>
      <c r="P381" s="43">
        <v>648</v>
      </c>
      <c r="Q381" s="43">
        <v>20</v>
      </c>
      <c r="R381" s="45" t="s">
        <v>4278</v>
      </c>
      <c r="S381" s="46" t="s">
        <v>3778</v>
      </c>
    </row>
    <row r="382" spans="1:19" ht="42">
      <c r="A382" s="43">
        <v>378</v>
      </c>
      <c r="B382" s="43">
        <v>381</v>
      </c>
      <c r="C382" s="43">
        <v>950</v>
      </c>
      <c r="D382" s="44">
        <v>45864</v>
      </c>
      <c r="E382" s="45" t="s">
        <v>2262</v>
      </c>
      <c r="F382" s="46" t="s">
        <v>371</v>
      </c>
      <c r="G382" s="46" t="s">
        <v>882</v>
      </c>
      <c r="H382" s="46" t="s">
        <v>965</v>
      </c>
      <c r="I382" s="46" t="s">
        <v>530</v>
      </c>
      <c r="J382" s="46" t="s">
        <v>977</v>
      </c>
      <c r="K382" s="43">
        <v>22</v>
      </c>
      <c r="L382" s="43">
        <v>395</v>
      </c>
      <c r="M382" s="47">
        <v>5.5555555555555552E-2</v>
      </c>
      <c r="N382" s="47">
        <v>63.4</v>
      </c>
      <c r="O382" s="46" t="s">
        <v>4295</v>
      </c>
      <c r="P382" s="43">
        <v>75</v>
      </c>
      <c r="Q382" s="43">
        <v>10</v>
      </c>
      <c r="R382" s="45" t="s">
        <v>4281</v>
      </c>
      <c r="S382" s="46" t="s">
        <v>2263</v>
      </c>
    </row>
    <row r="383" spans="1:19" ht="42">
      <c r="A383" s="43">
        <v>379</v>
      </c>
      <c r="B383" s="43">
        <v>382</v>
      </c>
      <c r="C383" s="43">
        <v>949</v>
      </c>
      <c r="D383" s="44">
        <v>45864</v>
      </c>
      <c r="E383" s="45" t="s">
        <v>2265</v>
      </c>
      <c r="F383" s="46" t="s">
        <v>371</v>
      </c>
      <c r="G383" s="46" t="s">
        <v>902</v>
      </c>
      <c r="H383" s="46" t="s">
        <v>965</v>
      </c>
      <c r="I383" s="46" t="s">
        <v>512</v>
      </c>
      <c r="J383" s="46" t="s">
        <v>968</v>
      </c>
      <c r="K383" s="43">
        <v>22</v>
      </c>
      <c r="L383" s="43">
        <v>395</v>
      </c>
      <c r="M383" s="47">
        <v>5.5555555555555552E-2</v>
      </c>
      <c r="N383" s="47">
        <v>63.4</v>
      </c>
      <c r="O383" s="46" t="s">
        <v>4295</v>
      </c>
      <c r="P383" s="43">
        <v>335</v>
      </c>
      <c r="Q383" s="43">
        <v>20</v>
      </c>
      <c r="R383" s="45" t="s">
        <v>4275</v>
      </c>
      <c r="S383" s="46" t="s">
        <v>2266</v>
      </c>
    </row>
    <row r="384" spans="1:19" ht="42">
      <c r="A384" s="43">
        <v>380</v>
      </c>
      <c r="B384" s="43">
        <v>383</v>
      </c>
      <c r="C384" s="43">
        <v>939</v>
      </c>
      <c r="D384" s="44">
        <v>45855</v>
      </c>
      <c r="E384" s="45" t="s">
        <v>2303</v>
      </c>
      <c r="F384" s="46" t="s">
        <v>371</v>
      </c>
      <c r="G384" s="46" t="s">
        <v>1038</v>
      </c>
      <c r="H384" s="46" t="s">
        <v>1005</v>
      </c>
      <c r="I384" s="46" t="s">
        <v>515</v>
      </c>
      <c r="J384" s="46" t="s">
        <v>968</v>
      </c>
      <c r="K384" s="43">
        <v>22</v>
      </c>
      <c r="L384" s="43">
        <v>404</v>
      </c>
      <c r="M384" s="47">
        <v>5.4320987654320987E-2</v>
      </c>
      <c r="N384" s="47">
        <v>63.2</v>
      </c>
      <c r="O384" s="46" t="s">
        <v>4295</v>
      </c>
      <c r="P384" s="43">
        <v>7</v>
      </c>
      <c r="Q384" s="43">
        <v>10</v>
      </c>
      <c r="R384" s="45" t="s">
        <v>4281</v>
      </c>
      <c r="S384" s="46" t="s">
        <v>2304</v>
      </c>
    </row>
    <row r="385" spans="1:19" ht="31.5">
      <c r="A385" s="43">
        <v>381</v>
      </c>
      <c r="B385" s="43">
        <v>280</v>
      </c>
      <c r="C385" s="43">
        <v>299</v>
      </c>
      <c r="D385" s="44">
        <v>45178</v>
      </c>
      <c r="E385" s="45" t="s">
        <v>3606</v>
      </c>
      <c r="F385" s="46" t="s">
        <v>37</v>
      </c>
      <c r="G385" s="46" t="s">
        <v>1038</v>
      </c>
      <c r="H385" s="46" t="s">
        <v>1005</v>
      </c>
      <c r="I385" s="46" t="s">
        <v>526</v>
      </c>
      <c r="J385" s="46" t="s">
        <v>968</v>
      </c>
      <c r="K385" s="43">
        <v>28</v>
      </c>
      <c r="L385" s="43">
        <v>1081</v>
      </c>
      <c r="M385" s="47">
        <v>2.5878003696857672E-2</v>
      </c>
      <c r="N385" s="47">
        <v>62.9</v>
      </c>
      <c r="O385" s="46" t="s">
        <v>4295</v>
      </c>
      <c r="P385" s="43">
        <v>730</v>
      </c>
      <c r="Q385" s="43">
        <v>30</v>
      </c>
      <c r="R385" s="45" t="s">
        <v>4283</v>
      </c>
      <c r="S385" s="46" t="s">
        <v>3607</v>
      </c>
    </row>
    <row r="386" spans="1:19" ht="42">
      <c r="A386" s="43">
        <v>382</v>
      </c>
      <c r="B386" s="43">
        <v>310</v>
      </c>
      <c r="C386" s="43">
        <v>539</v>
      </c>
      <c r="D386" s="44">
        <v>45446</v>
      </c>
      <c r="E386" s="45" t="s">
        <v>3141</v>
      </c>
      <c r="F386" s="46" t="s">
        <v>37</v>
      </c>
      <c r="G386" s="46" t="s">
        <v>1038</v>
      </c>
      <c r="H386" s="46" t="s">
        <v>1005</v>
      </c>
      <c r="I386" s="46" t="s">
        <v>515</v>
      </c>
      <c r="J386" s="46" t="s">
        <v>968</v>
      </c>
      <c r="K386" s="43">
        <v>26</v>
      </c>
      <c r="L386" s="43">
        <v>813</v>
      </c>
      <c r="M386" s="47">
        <v>3.1941031941031942E-2</v>
      </c>
      <c r="N386" s="47">
        <v>62.9</v>
      </c>
      <c r="O386" s="46" t="s">
        <v>4295</v>
      </c>
      <c r="P386" s="43">
        <v>794</v>
      </c>
      <c r="Q386" s="43">
        <v>20</v>
      </c>
      <c r="R386" s="45" t="s">
        <v>4278</v>
      </c>
      <c r="S386" s="46" t="s">
        <v>3142</v>
      </c>
    </row>
    <row r="387" spans="1:19" ht="31.5">
      <c r="A387" s="43">
        <v>383</v>
      </c>
      <c r="B387" s="43">
        <v>468</v>
      </c>
      <c r="C387" s="43">
        <v>1221</v>
      </c>
      <c r="D387" s="44">
        <v>46137</v>
      </c>
      <c r="E387" s="45" t="s">
        <v>1698</v>
      </c>
      <c r="F387" s="46" t="s">
        <v>37</v>
      </c>
      <c r="G387" s="46" t="s">
        <v>1038</v>
      </c>
      <c r="H387" s="46" t="s">
        <v>1038</v>
      </c>
      <c r="I387" s="46" t="s">
        <v>519</v>
      </c>
      <c r="J387" s="46" t="s">
        <v>977</v>
      </c>
      <c r="K387" s="43">
        <v>18</v>
      </c>
      <c r="L387" s="43">
        <v>122</v>
      </c>
      <c r="M387" s="47">
        <v>0.14634146341463414</v>
      </c>
      <c r="N387" s="47">
        <v>62.9</v>
      </c>
      <c r="O387" s="46" t="s">
        <v>4295</v>
      </c>
      <c r="P387" s="43">
        <v>439</v>
      </c>
      <c r="Q387" s="43">
        <v>30</v>
      </c>
      <c r="R387" s="45" t="s">
        <v>4279</v>
      </c>
      <c r="S387" s="46" t="s">
        <v>1699</v>
      </c>
    </row>
    <row r="388" spans="1:19" ht="42">
      <c r="A388" s="43">
        <v>384</v>
      </c>
      <c r="B388" s="43">
        <v>281</v>
      </c>
      <c r="C388" s="43">
        <v>291</v>
      </c>
      <c r="D388" s="44">
        <v>45177</v>
      </c>
      <c r="E388" s="45" t="s">
        <v>3624</v>
      </c>
      <c r="F388" s="46" t="s">
        <v>37</v>
      </c>
      <c r="G388" s="46" t="s">
        <v>1038</v>
      </c>
      <c r="H388" s="46" t="s">
        <v>1038</v>
      </c>
      <c r="I388" s="46" t="s">
        <v>522</v>
      </c>
      <c r="J388" s="46" t="s">
        <v>977</v>
      </c>
      <c r="K388" s="43">
        <v>28</v>
      </c>
      <c r="L388" s="43">
        <v>1082</v>
      </c>
      <c r="M388" s="47">
        <v>2.5854108956602031E-2</v>
      </c>
      <c r="N388" s="47">
        <v>62.8</v>
      </c>
      <c r="O388" s="46" t="s">
        <v>4295</v>
      </c>
      <c r="P388" s="43">
        <v>265</v>
      </c>
      <c r="Q388" s="43">
        <v>10</v>
      </c>
      <c r="R388" s="45" t="s">
        <v>4281</v>
      </c>
      <c r="S388" s="46" t="s">
        <v>3625</v>
      </c>
    </row>
    <row r="389" spans="1:19" ht="42">
      <c r="A389" s="43">
        <v>385</v>
      </c>
      <c r="B389" s="43">
        <v>384</v>
      </c>
      <c r="C389" s="43">
        <v>756</v>
      </c>
      <c r="D389" s="44">
        <v>45828</v>
      </c>
      <c r="E389" s="45" t="s">
        <v>2371</v>
      </c>
      <c r="F389" s="46" t="s">
        <v>37</v>
      </c>
      <c r="G389" s="46" t="s">
        <v>911</v>
      </c>
      <c r="H389" s="46" t="s">
        <v>965</v>
      </c>
      <c r="I389" s="46" t="s">
        <v>522</v>
      </c>
      <c r="J389" s="46" t="s">
        <v>977</v>
      </c>
      <c r="K389" s="43">
        <v>22</v>
      </c>
      <c r="L389" s="43">
        <v>431</v>
      </c>
      <c r="M389" s="47">
        <v>5.0925925925925923E-2</v>
      </c>
      <c r="N389" s="47">
        <v>62.8</v>
      </c>
      <c r="O389" s="46" t="s">
        <v>4295</v>
      </c>
      <c r="P389" s="43">
        <v>623</v>
      </c>
      <c r="Q389" s="43">
        <v>20</v>
      </c>
      <c r="R389" s="45" t="s">
        <v>4278</v>
      </c>
      <c r="S389" s="46" t="s">
        <v>2372</v>
      </c>
    </row>
    <row r="390" spans="1:19" ht="42">
      <c r="A390" s="43">
        <v>386</v>
      </c>
      <c r="B390" s="43">
        <v>404</v>
      </c>
      <c r="C390" s="43">
        <v>1112</v>
      </c>
      <c r="D390" s="44">
        <v>45922</v>
      </c>
      <c r="E390" s="45" t="s">
        <v>2125</v>
      </c>
      <c r="F390" s="46" t="s">
        <v>360</v>
      </c>
      <c r="G390" s="46" t="s">
        <v>1038</v>
      </c>
      <c r="H390" s="46" t="s">
        <v>1038</v>
      </c>
      <c r="I390" s="46" t="s">
        <v>519</v>
      </c>
      <c r="J390" s="46" t="s">
        <v>968</v>
      </c>
      <c r="K390" s="43">
        <v>21</v>
      </c>
      <c r="L390" s="43">
        <v>337</v>
      </c>
      <c r="M390" s="47">
        <v>6.2130177514792898E-2</v>
      </c>
      <c r="N390" s="47">
        <v>62.8</v>
      </c>
      <c r="O390" s="46" t="s">
        <v>4295</v>
      </c>
      <c r="P390" s="43">
        <v>259</v>
      </c>
      <c r="Q390" s="43">
        <v>20</v>
      </c>
      <c r="R390" s="45" t="s">
        <v>4275</v>
      </c>
      <c r="S390" s="46" t="s">
        <v>2126</v>
      </c>
    </row>
    <row r="391" spans="1:19" ht="42">
      <c r="A391" s="43">
        <v>387</v>
      </c>
      <c r="B391" s="43">
        <v>348</v>
      </c>
      <c r="C391" s="43">
        <v>689</v>
      </c>
      <c r="D391" s="44">
        <v>45654</v>
      </c>
      <c r="E391" s="45" t="s">
        <v>2706</v>
      </c>
      <c r="F391" s="46" t="s">
        <v>37</v>
      </c>
      <c r="G391" s="46" t="s">
        <v>896</v>
      </c>
      <c r="H391" s="46" t="s">
        <v>965</v>
      </c>
      <c r="I391" s="46" t="s">
        <v>512</v>
      </c>
      <c r="J391" s="46" t="s">
        <v>977</v>
      </c>
      <c r="K391" s="43">
        <v>24</v>
      </c>
      <c r="L391" s="43">
        <v>605</v>
      </c>
      <c r="M391" s="47">
        <v>3.9603960396039604E-2</v>
      </c>
      <c r="N391" s="47">
        <v>62.6</v>
      </c>
      <c r="O391" s="46" t="s">
        <v>4295</v>
      </c>
      <c r="P391" s="43">
        <v>17</v>
      </c>
      <c r="Q391" s="43">
        <v>20</v>
      </c>
      <c r="R391" s="45" t="s">
        <v>4275</v>
      </c>
      <c r="S391" s="46" t="s">
        <v>2707</v>
      </c>
    </row>
    <row r="392" spans="1:19" ht="42">
      <c r="A392" s="43">
        <v>388</v>
      </c>
      <c r="B392" s="43">
        <v>349</v>
      </c>
      <c r="C392" s="43">
        <v>1036</v>
      </c>
      <c r="D392" s="44">
        <v>45654</v>
      </c>
      <c r="E392" s="45" t="s">
        <v>2712</v>
      </c>
      <c r="F392" s="46" t="s">
        <v>382</v>
      </c>
      <c r="G392" s="46" t="s">
        <v>878</v>
      </c>
      <c r="H392" s="46" t="s">
        <v>965</v>
      </c>
      <c r="I392" s="46" t="s">
        <v>526</v>
      </c>
      <c r="J392" s="46" t="s">
        <v>977</v>
      </c>
      <c r="K392" s="43">
        <v>24</v>
      </c>
      <c r="L392" s="43">
        <v>605</v>
      </c>
      <c r="M392" s="47">
        <v>3.9603960396039604E-2</v>
      </c>
      <c r="N392" s="47">
        <v>62.6</v>
      </c>
      <c r="O392" s="46" t="s">
        <v>4295</v>
      </c>
      <c r="P392" s="43">
        <v>441</v>
      </c>
      <c r="Q392" s="43">
        <v>20</v>
      </c>
      <c r="R392" s="45" t="s">
        <v>4275</v>
      </c>
      <c r="S392" s="46" t="s">
        <v>2713</v>
      </c>
    </row>
    <row r="393" spans="1:19" ht="42">
      <c r="A393" s="43">
        <v>389</v>
      </c>
      <c r="B393" s="43">
        <v>350</v>
      </c>
      <c r="C393" s="43">
        <v>683</v>
      </c>
      <c r="D393" s="44">
        <v>45647</v>
      </c>
      <c r="E393" s="45" t="s">
        <v>2721</v>
      </c>
      <c r="F393" s="46" t="s">
        <v>37</v>
      </c>
      <c r="G393" s="46" t="s">
        <v>1038</v>
      </c>
      <c r="H393" s="46" t="s">
        <v>1038</v>
      </c>
      <c r="I393" s="46" t="s">
        <v>515</v>
      </c>
      <c r="J393" s="46" t="s">
        <v>977</v>
      </c>
      <c r="K393" s="43">
        <v>24</v>
      </c>
      <c r="L393" s="43">
        <v>612</v>
      </c>
      <c r="M393" s="47">
        <v>3.9151712887438822E-2</v>
      </c>
      <c r="N393" s="47">
        <v>62.5</v>
      </c>
      <c r="O393" s="46" t="s">
        <v>4295</v>
      </c>
      <c r="P393" s="43">
        <v>74</v>
      </c>
      <c r="Q393" s="43">
        <v>10</v>
      </c>
      <c r="R393" s="45" t="s">
        <v>4281</v>
      </c>
      <c r="S393" s="46" t="s">
        <v>2722</v>
      </c>
    </row>
    <row r="394" spans="1:19" ht="21">
      <c r="A394" s="43">
        <v>390</v>
      </c>
      <c r="B394" s="43">
        <v>619</v>
      </c>
      <c r="C394" s="43">
        <v>1489</v>
      </c>
      <c r="D394" s="44">
        <v>46258</v>
      </c>
      <c r="E394" s="45" t="s">
        <v>1016</v>
      </c>
      <c r="F394" s="46" t="s">
        <v>37</v>
      </c>
      <c r="G394" s="46" t="s">
        <v>894</v>
      </c>
      <c r="H394" s="46" t="s">
        <v>965</v>
      </c>
      <c r="I394" s="46" t="s">
        <v>512</v>
      </c>
      <c r="J394" s="46" t="s">
        <v>977</v>
      </c>
      <c r="K394" s="43">
        <v>13</v>
      </c>
      <c r="L394" s="43">
        <v>1</v>
      </c>
      <c r="M394" s="47">
        <v>6.5</v>
      </c>
      <c r="N394" s="47">
        <v>62.5</v>
      </c>
      <c r="O394" s="46" t="s">
        <v>4295</v>
      </c>
      <c r="P394" s="43">
        <v>1145</v>
      </c>
      <c r="Q394" s="43">
        <v>60</v>
      </c>
      <c r="R394" s="45" t="s">
        <v>4267</v>
      </c>
      <c r="S394" s="46" t="s">
        <v>1017</v>
      </c>
    </row>
    <row r="395" spans="1:19" ht="31.5">
      <c r="A395" s="43">
        <v>391</v>
      </c>
      <c r="B395" s="43">
        <v>405</v>
      </c>
      <c r="C395" s="43">
        <v>786</v>
      </c>
      <c r="D395" s="44">
        <v>45906</v>
      </c>
      <c r="E395" s="45" t="s">
        <v>2177</v>
      </c>
      <c r="F395" s="46" t="s">
        <v>37</v>
      </c>
      <c r="G395" s="46" t="s">
        <v>924</v>
      </c>
      <c r="H395" s="46" t="s">
        <v>965</v>
      </c>
      <c r="I395" s="46" t="s">
        <v>515</v>
      </c>
      <c r="J395" s="46" t="s">
        <v>977</v>
      </c>
      <c r="K395" s="43">
        <v>21</v>
      </c>
      <c r="L395" s="43">
        <v>353</v>
      </c>
      <c r="M395" s="47">
        <v>5.9322033898305086E-2</v>
      </c>
      <c r="N395" s="47">
        <v>62.4</v>
      </c>
      <c r="O395" s="46" t="s">
        <v>4295</v>
      </c>
      <c r="P395" s="43">
        <v>500</v>
      </c>
      <c r="Q395" s="43">
        <v>30</v>
      </c>
      <c r="R395" s="45" t="s">
        <v>4283</v>
      </c>
      <c r="S395" s="46" t="s">
        <v>2178</v>
      </c>
    </row>
    <row r="396" spans="1:19" ht="42">
      <c r="A396" s="43">
        <v>392</v>
      </c>
      <c r="B396" s="43">
        <v>282</v>
      </c>
      <c r="C396" s="43">
        <v>206</v>
      </c>
      <c r="D396" s="44">
        <v>45092</v>
      </c>
      <c r="E396" s="45" t="s">
        <v>3753</v>
      </c>
      <c r="F396" s="46" t="s">
        <v>37</v>
      </c>
      <c r="G396" s="46" t="s">
        <v>928</v>
      </c>
      <c r="H396" s="46" t="s">
        <v>965</v>
      </c>
      <c r="I396" s="46" t="s">
        <v>515</v>
      </c>
      <c r="J396" s="46" t="s">
        <v>968</v>
      </c>
      <c r="K396" s="43">
        <v>28</v>
      </c>
      <c r="L396" s="43">
        <v>1167</v>
      </c>
      <c r="M396" s="47">
        <v>2.3972602739726026E-2</v>
      </c>
      <c r="N396" s="47">
        <v>62.1</v>
      </c>
      <c r="O396" s="46" t="s">
        <v>4295</v>
      </c>
      <c r="P396" s="43">
        <v>949</v>
      </c>
      <c r="Q396" s="43">
        <v>20</v>
      </c>
      <c r="R396" s="45" t="s">
        <v>4278</v>
      </c>
      <c r="S396" s="46" t="s">
        <v>3754</v>
      </c>
    </row>
    <row r="397" spans="1:19" ht="42">
      <c r="A397" s="43">
        <v>393</v>
      </c>
      <c r="B397" s="43">
        <v>311</v>
      </c>
      <c r="C397" s="43">
        <v>467</v>
      </c>
      <c r="D397" s="44">
        <v>45365</v>
      </c>
      <c r="E397" s="45" t="s">
        <v>3281</v>
      </c>
      <c r="F397" s="46" t="s">
        <v>37</v>
      </c>
      <c r="G397" s="46" t="s">
        <v>882</v>
      </c>
      <c r="H397" s="46" t="s">
        <v>965</v>
      </c>
      <c r="I397" s="46" t="s">
        <v>530</v>
      </c>
      <c r="J397" s="46" t="s">
        <v>977</v>
      </c>
      <c r="K397" s="43">
        <v>26</v>
      </c>
      <c r="L397" s="43">
        <v>894</v>
      </c>
      <c r="M397" s="47">
        <v>2.9050279329608939E-2</v>
      </c>
      <c r="N397" s="47">
        <v>62.1</v>
      </c>
      <c r="O397" s="46" t="s">
        <v>4295</v>
      </c>
      <c r="P397" s="43">
        <v>306</v>
      </c>
      <c r="Q397" s="43">
        <v>10</v>
      </c>
      <c r="R397" s="45" t="s">
        <v>4281</v>
      </c>
      <c r="S397" s="46" t="s">
        <v>3282</v>
      </c>
    </row>
    <row r="398" spans="1:19" ht="42">
      <c r="A398" s="43">
        <v>394</v>
      </c>
      <c r="B398" s="43">
        <v>366</v>
      </c>
      <c r="C398" s="43">
        <v>890</v>
      </c>
      <c r="D398" s="44">
        <v>45703</v>
      </c>
      <c r="E398" s="45" t="s">
        <v>2536</v>
      </c>
      <c r="F398" s="46" t="s">
        <v>371</v>
      </c>
      <c r="G398" s="46" t="s">
        <v>893</v>
      </c>
      <c r="H398" s="46" t="s">
        <v>965</v>
      </c>
      <c r="I398" s="46" t="s">
        <v>512</v>
      </c>
      <c r="J398" s="46" t="s">
        <v>977</v>
      </c>
      <c r="K398" s="43">
        <v>23</v>
      </c>
      <c r="L398" s="43">
        <v>556</v>
      </c>
      <c r="M398" s="47">
        <v>4.1292639138240578E-2</v>
      </c>
      <c r="N398" s="47">
        <v>61.7</v>
      </c>
      <c r="O398" s="46" t="s">
        <v>4295</v>
      </c>
      <c r="P398" s="43">
        <v>1035</v>
      </c>
      <c r="Q398" s="43">
        <v>20</v>
      </c>
      <c r="R398" s="45" t="s">
        <v>4278</v>
      </c>
      <c r="S398" s="46" t="s">
        <v>2537</v>
      </c>
    </row>
    <row r="399" spans="1:19" ht="42">
      <c r="A399" s="43">
        <v>395</v>
      </c>
      <c r="B399" s="43">
        <v>406</v>
      </c>
      <c r="C399" s="43">
        <v>952</v>
      </c>
      <c r="D399" s="44">
        <v>45864</v>
      </c>
      <c r="E399" s="45" t="s">
        <v>2256</v>
      </c>
      <c r="F399" s="46" t="s">
        <v>371</v>
      </c>
      <c r="G399" s="46" t="s">
        <v>882</v>
      </c>
      <c r="H399" s="46" t="s">
        <v>965</v>
      </c>
      <c r="I399" s="46" t="s">
        <v>530</v>
      </c>
      <c r="J399" s="46" t="s">
        <v>977</v>
      </c>
      <c r="K399" s="43">
        <v>21</v>
      </c>
      <c r="L399" s="43">
        <v>395</v>
      </c>
      <c r="M399" s="47">
        <v>5.3030303030303032E-2</v>
      </c>
      <c r="N399" s="47">
        <v>61.7</v>
      </c>
      <c r="O399" s="46" t="s">
        <v>4295</v>
      </c>
      <c r="P399" s="43">
        <v>80</v>
      </c>
      <c r="Q399" s="43">
        <v>10</v>
      </c>
      <c r="R399" s="45" t="s">
        <v>4281</v>
      </c>
      <c r="S399" s="46" t="s">
        <v>2257</v>
      </c>
    </row>
    <row r="400" spans="1:19" ht="42">
      <c r="A400" s="43">
        <v>396</v>
      </c>
      <c r="B400" s="43">
        <v>444</v>
      </c>
      <c r="C400" s="43">
        <v>1085</v>
      </c>
      <c r="D400" s="44">
        <v>46013</v>
      </c>
      <c r="E400" s="45" t="s">
        <v>1980</v>
      </c>
      <c r="F400" s="46" t="s">
        <v>382</v>
      </c>
      <c r="G400" s="46" t="s">
        <v>1038</v>
      </c>
      <c r="H400" s="46" t="s">
        <v>1005</v>
      </c>
      <c r="I400" s="46" t="s">
        <v>515</v>
      </c>
      <c r="J400" s="46" t="s">
        <v>977</v>
      </c>
      <c r="K400" s="43">
        <v>19</v>
      </c>
      <c r="L400" s="43">
        <v>246</v>
      </c>
      <c r="M400" s="47">
        <v>7.6923076923076927E-2</v>
      </c>
      <c r="N400" s="47">
        <v>61.4</v>
      </c>
      <c r="O400" s="46" t="s">
        <v>4295</v>
      </c>
      <c r="P400" s="43">
        <v>734</v>
      </c>
      <c r="Q400" s="43">
        <v>20</v>
      </c>
      <c r="R400" s="45" t="s">
        <v>4278</v>
      </c>
      <c r="S400" s="46" t="s">
        <v>1981</v>
      </c>
    </row>
    <row r="401" spans="1:19" ht="31.5">
      <c r="A401" s="43">
        <v>397</v>
      </c>
      <c r="B401" s="43">
        <v>351</v>
      </c>
      <c r="C401" s="43">
        <v>616</v>
      </c>
      <c r="D401" s="44">
        <v>45563</v>
      </c>
      <c r="E401" s="45" t="s">
        <v>2916</v>
      </c>
      <c r="F401" s="46" t="s">
        <v>37</v>
      </c>
      <c r="G401" s="46" t="s">
        <v>1038</v>
      </c>
      <c r="H401" s="46" t="s">
        <v>1005</v>
      </c>
      <c r="I401" s="46" t="s">
        <v>515</v>
      </c>
      <c r="J401" s="46" t="s">
        <v>968</v>
      </c>
      <c r="K401" s="43">
        <v>24</v>
      </c>
      <c r="L401" s="43">
        <v>696</v>
      </c>
      <c r="M401" s="47">
        <v>3.443328550932568E-2</v>
      </c>
      <c r="N401" s="47">
        <v>61.3</v>
      </c>
      <c r="O401" s="46" t="s">
        <v>4295</v>
      </c>
      <c r="P401" s="43">
        <v>584</v>
      </c>
      <c r="Q401" s="43">
        <v>30</v>
      </c>
      <c r="R401" s="45" t="s">
        <v>4283</v>
      </c>
      <c r="S401" s="46" t="s">
        <v>2917</v>
      </c>
    </row>
    <row r="402" spans="1:19" ht="42">
      <c r="A402" s="43">
        <v>398</v>
      </c>
      <c r="B402" s="43">
        <v>326</v>
      </c>
      <c r="C402" s="43">
        <v>483</v>
      </c>
      <c r="D402" s="44">
        <v>45378</v>
      </c>
      <c r="E402" s="45" t="s">
        <v>3242</v>
      </c>
      <c r="F402" s="46" t="s">
        <v>37</v>
      </c>
      <c r="G402" s="46" t="s">
        <v>907</v>
      </c>
      <c r="H402" s="46" t="s">
        <v>965</v>
      </c>
      <c r="I402" s="46" t="s">
        <v>526</v>
      </c>
      <c r="J402" s="46" t="s">
        <v>977</v>
      </c>
      <c r="K402" s="43">
        <v>25</v>
      </c>
      <c r="L402" s="43">
        <v>881</v>
      </c>
      <c r="M402" s="47">
        <v>2.834467120181406E-2</v>
      </c>
      <c r="N402" s="47">
        <v>60.8</v>
      </c>
      <c r="O402" s="46" t="s">
        <v>4295</v>
      </c>
      <c r="P402" s="43">
        <v>299</v>
      </c>
      <c r="Q402" s="43">
        <v>10</v>
      </c>
      <c r="R402" s="45" t="s">
        <v>4281</v>
      </c>
      <c r="S402" s="46" t="s">
        <v>3243</v>
      </c>
    </row>
    <row r="403" spans="1:19" ht="42">
      <c r="A403" s="43">
        <v>399</v>
      </c>
      <c r="B403" s="43">
        <v>265</v>
      </c>
      <c r="C403" s="43">
        <v>56</v>
      </c>
      <c r="D403" s="44">
        <v>44710</v>
      </c>
      <c r="E403" s="45" t="s">
        <v>4012</v>
      </c>
      <c r="F403" s="46" t="s">
        <v>37</v>
      </c>
      <c r="G403" s="46" t="s">
        <v>1038</v>
      </c>
      <c r="H403" s="46" t="s">
        <v>1038</v>
      </c>
      <c r="I403" s="46" t="s">
        <v>512</v>
      </c>
      <c r="J403" s="46" t="s">
        <v>968</v>
      </c>
      <c r="K403" s="43">
        <v>29</v>
      </c>
      <c r="L403" s="43">
        <v>1549</v>
      </c>
      <c r="M403" s="47">
        <v>1.870967741935484E-2</v>
      </c>
      <c r="N403" s="47">
        <v>60.7</v>
      </c>
      <c r="O403" s="46" t="s">
        <v>4295</v>
      </c>
      <c r="P403" s="43">
        <v>303</v>
      </c>
      <c r="Q403" s="43">
        <v>10</v>
      </c>
      <c r="R403" s="45" t="s">
        <v>4281</v>
      </c>
      <c r="S403" s="46" t="s">
        <v>4013</v>
      </c>
    </row>
    <row r="404" spans="1:19" ht="42">
      <c r="A404" s="43">
        <v>400</v>
      </c>
      <c r="B404" s="43">
        <v>327</v>
      </c>
      <c r="C404" s="43">
        <v>461</v>
      </c>
      <c r="D404" s="44">
        <v>45357</v>
      </c>
      <c r="E404" s="45" t="s">
        <v>3290</v>
      </c>
      <c r="F404" s="46" t="s">
        <v>37</v>
      </c>
      <c r="G404" s="46" t="s">
        <v>878</v>
      </c>
      <c r="H404" s="46" t="s">
        <v>965</v>
      </c>
      <c r="I404" s="46" t="s">
        <v>526</v>
      </c>
      <c r="J404" s="46" t="s">
        <v>977</v>
      </c>
      <c r="K404" s="43">
        <v>25</v>
      </c>
      <c r="L404" s="43">
        <v>902</v>
      </c>
      <c r="M404" s="47">
        <v>2.768549280177187E-2</v>
      </c>
      <c r="N404" s="47">
        <v>60.7</v>
      </c>
      <c r="O404" s="46" t="s">
        <v>4295</v>
      </c>
      <c r="P404" s="43">
        <v>830</v>
      </c>
      <c r="Q404" s="43">
        <v>20</v>
      </c>
      <c r="R404" s="45" t="s">
        <v>4278</v>
      </c>
      <c r="S404" s="46" t="s">
        <v>3291</v>
      </c>
    </row>
    <row r="405" spans="1:19" ht="31.5">
      <c r="A405" s="43">
        <v>401</v>
      </c>
      <c r="B405" s="43">
        <v>328</v>
      </c>
      <c r="C405" s="43">
        <v>452</v>
      </c>
      <c r="D405" s="44">
        <v>45354</v>
      </c>
      <c r="E405" s="45" t="s">
        <v>3302</v>
      </c>
      <c r="F405" s="46" t="s">
        <v>37</v>
      </c>
      <c r="G405" s="46" t="s">
        <v>1038</v>
      </c>
      <c r="H405" s="46" t="s">
        <v>1038</v>
      </c>
      <c r="I405" s="46" t="s">
        <v>530</v>
      </c>
      <c r="J405" s="46" t="s">
        <v>968</v>
      </c>
      <c r="K405" s="43">
        <v>25</v>
      </c>
      <c r="L405" s="43">
        <v>905</v>
      </c>
      <c r="M405" s="47">
        <v>2.759381898454746E-2</v>
      </c>
      <c r="N405" s="47">
        <v>60.7</v>
      </c>
      <c r="O405" s="46" t="s">
        <v>4295</v>
      </c>
      <c r="P405" s="43">
        <v>641</v>
      </c>
      <c r="Q405" s="43">
        <v>30</v>
      </c>
      <c r="R405" s="45" t="s">
        <v>4283</v>
      </c>
      <c r="S405" s="46" t="s">
        <v>3303</v>
      </c>
    </row>
    <row r="406" spans="1:19" ht="42">
      <c r="A406" s="43">
        <v>402</v>
      </c>
      <c r="B406" s="43">
        <v>469</v>
      </c>
      <c r="C406" s="43">
        <v>1165</v>
      </c>
      <c r="D406" s="44">
        <v>46058</v>
      </c>
      <c r="E406" s="45" t="s">
        <v>1815</v>
      </c>
      <c r="F406" s="46" t="s">
        <v>360</v>
      </c>
      <c r="G406" s="46" t="s">
        <v>931</v>
      </c>
      <c r="H406" s="46" t="s">
        <v>1317</v>
      </c>
      <c r="I406" s="46" t="s">
        <v>512</v>
      </c>
      <c r="J406" s="46" t="s">
        <v>977</v>
      </c>
      <c r="K406" s="43">
        <v>18</v>
      </c>
      <c r="L406" s="43">
        <v>201</v>
      </c>
      <c r="M406" s="47">
        <v>8.9108910891089105E-2</v>
      </c>
      <c r="N406" s="47">
        <v>60.5</v>
      </c>
      <c r="O406" s="46" t="s">
        <v>4295</v>
      </c>
      <c r="P406" s="43">
        <v>294</v>
      </c>
      <c r="Q406" s="43">
        <v>20</v>
      </c>
      <c r="R406" s="45" t="s">
        <v>4272</v>
      </c>
      <c r="S406" s="46" t="s">
        <v>1816</v>
      </c>
    </row>
    <row r="407" spans="1:19" ht="42">
      <c r="A407" s="43">
        <v>403</v>
      </c>
      <c r="B407" s="43">
        <v>312</v>
      </c>
      <c r="C407" s="43">
        <v>297</v>
      </c>
      <c r="D407" s="44">
        <v>45178</v>
      </c>
      <c r="E407" s="45" t="s">
        <v>3612</v>
      </c>
      <c r="F407" s="46" t="s">
        <v>37</v>
      </c>
      <c r="G407" s="46" t="s">
        <v>884</v>
      </c>
      <c r="H407" s="46" t="s">
        <v>965</v>
      </c>
      <c r="I407" s="46" t="s">
        <v>526</v>
      </c>
      <c r="J407" s="46" t="s">
        <v>977</v>
      </c>
      <c r="K407" s="43">
        <v>26</v>
      </c>
      <c r="L407" s="43">
        <v>1081</v>
      </c>
      <c r="M407" s="47">
        <v>2.4029574861367836E-2</v>
      </c>
      <c r="N407" s="47">
        <v>60.4</v>
      </c>
      <c r="O407" s="46" t="s">
        <v>4295</v>
      </c>
      <c r="P407" s="43">
        <v>122</v>
      </c>
      <c r="Q407" s="43">
        <v>10</v>
      </c>
      <c r="R407" s="45" t="s">
        <v>4281</v>
      </c>
      <c r="S407" s="46" t="s">
        <v>3613</v>
      </c>
    </row>
    <row r="408" spans="1:19" ht="42">
      <c r="A408" s="43">
        <v>404</v>
      </c>
      <c r="B408" s="43">
        <v>329</v>
      </c>
      <c r="C408" s="43">
        <v>380</v>
      </c>
      <c r="D408" s="44">
        <v>45306</v>
      </c>
      <c r="E408" s="45" t="s">
        <v>3426</v>
      </c>
      <c r="F408" s="46" t="s">
        <v>37</v>
      </c>
      <c r="G408" s="46" t="s">
        <v>892</v>
      </c>
      <c r="H408" s="46" t="s">
        <v>965</v>
      </c>
      <c r="I408" s="46" t="s">
        <v>515</v>
      </c>
      <c r="J408" s="46" t="s">
        <v>977</v>
      </c>
      <c r="K408" s="43">
        <v>25</v>
      </c>
      <c r="L408" s="43">
        <v>953</v>
      </c>
      <c r="M408" s="47">
        <v>2.6205450733752619E-2</v>
      </c>
      <c r="N408" s="47">
        <v>60.3</v>
      </c>
      <c r="O408" s="46" t="s">
        <v>4295</v>
      </c>
      <c r="P408" s="43">
        <v>179</v>
      </c>
      <c r="Q408" s="43">
        <v>10</v>
      </c>
      <c r="R408" s="45" t="s">
        <v>4281</v>
      </c>
      <c r="S408" s="46" t="s">
        <v>3427</v>
      </c>
    </row>
    <row r="409" spans="1:19" ht="31.5">
      <c r="A409" s="43">
        <v>405</v>
      </c>
      <c r="B409" s="43">
        <v>367</v>
      </c>
      <c r="C409" s="43">
        <v>657</v>
      </c>
      <c r="D409" s="44">
        <v>45610</v>
      </c>
      <c r="E409" s="45" t="s">
        <v>2795</v>
      </c>
      <c r="F409" s="46" t="s">
        <v>37</v>
      </c>
      <c r="G409" s="46" t="s">
        <v>894</v>
      </c>
      <c r="H409" s="46" t="s">
        <v>965</v>
      </c>
      <c r="I409" s="46" t="s">
        <v>515</v>
      </c>
      <c r="J409" s="46" t="s">
        <v>977</v>
      </c>
      <c r="K409" s="43">
        <v>23</v>
      </c>
      <c r="L409" s="43">
        <v>649</v>
      </c>
      <c r="M409" s="47">
        <v>3.5384615384615382E-2</v>
      </c>
      <c r="N409" s="47">
        <v>60.3</v>
      </c>
      <c r="O409" s="46" t="s">
        <v>4295</v>
      </c>
      <c r="P409" s="43">
        <v>1070</v>
      </c>
      <c r="Q409" s="43">
        <v>30</v>
      </c>
      <c r="R409" s="45" t="s">
        <v>4283</v>
      </c>
      <c r="S409" s="46" t="s">
        <v>2796</v>
      </c>
    </row>
    <row r="410" spans="1:19" ht="42">
      <c r="A410" s="43">
        <v>406</v>
      </c>
      <c r="B410" s="43">
        <v>385</v>
      </c>
      <c r="C410" s="43">
        <v>1046</v>
      </c>
      <c r="D410" s="44">
        <v>45697</v>
      </c>
      <c r="E410" s="45" t="s">
        <v>2542</v>
      </c>
      <c r="F410" s="46" t="s">
        <v>382</v>
      </c>
      <c r="G410" s="46" t="s">
        <v>1038</v>
      </c>
      <c r="H410" s="46" t="s">
        <v>1005</v>
      </c>
      <c r="I410" s="46" t="s">
        <v>512</v>
      </c>
      <c r="J410" s="46" t="s">
        <v>977</v>
      </c>
      <c r="K410" s="43">
        <v>22</v>
      </c>
      <c r="L410" s="43">
        <v>562</v>
      </c>
      <c r="M410" s="47">
        <v>3.9076376554174071E-2</v>
      </c>
      <c r="N410" s="47">
        <v>60.1</v>
      </c>
      <c r="O410" s="46" t="s">
        <v>4295</v>
      </c>
      <c r="P410" s="43">
        <v>626</v>
      </c>
      <c r="Q410" s="43">
        <v>20</v>
      </c>
      <c r="R410" s="45" t="s">
        <v>4278</v>
      </c>
      <c r="S410" s="46" t="s">
        <v>2543</v>
      </c>
    </row>
    <row r="411" spans="1:19" ht="42">
      <c r="A411" s="43">
        <v>407</v>
      </c>
      <c r="B411" s="43">
        <v>470</v>
      </c>
      <c r="C411" s="43">
        <v>1091</v>
      </c>
      <c r="D411" s="44">
        <v>46040</v>
      </c>
      <c r="E411" s="45" t="s">
        <v>1887</v>
      </c>
      <c r="F411" s="46" t="s">
        <v>382</v>
      </c>
      <c r="G411" s="46" t="s">
        <v>1038</v>
      </c>
      <c r="H411" s="46" t="s">
        <v>1038</v>
      </c>
      <c r="I411" s="46" t="s">
        <v>512</v>
      </c>
      <c r="J411" s="46" t="s">
        <v>977</v>
      </c>
      <c r="K411" s="43">
        <v>18</v>
      </c>
      <c r="L411" s="43">
        <v>219</v>
      </c>
      <c r="M411" s="47">
        <v>8.1818181818181818E-2</v>
      </c>
      <c r="N411" s="47">
        <v>60</v>
      </c>
      <c r="O411" s="46" t="s">
        <v>4295</v>
      </c>
      <c r="P411" s="43">
        <v>328</v>
      </c>
      <c r="Q411" s="43">
        <v>10</v>
      </c>
      <c r="R411" s="45" t="s">
        <v>4281</v>
      </c>
      <c r="S411" s="46" t="s">
        <v>1888</v>
      </c>
    </row>
    <row r="412" spans="1:19" ht="42">
      <c r="A412" s="43">
        <v>408</v>
      </c>
      <c r="B412" s="43">
        <v>368</v>
      </c>
      <c r="C412" s="43">
        <v>1019</v>
      </c>
      <c r="D412" s="44">
        <v>45569</v>
      </c>
      <c r="E412" s="45" t="s">
        <v>2892</v>
      </c>
      <c r="F412" s="46" t="s">
        <v>382</v>
      </c>
      <c r="G412" s="46" t="s">
        <v>878</v>
      </c>
      <c r="H412" s="46" t="s">
        <v>965</v>
      </c>
      <c r="I412" s="46" t="s">
        <v>515</v>
      </c>
      <c r="J412" s="46" t="s">
        <v>977</v>
      </c>
      <c r="K412" s="43">
        <v>23</v>
      </c>
      <c r="L412" s="43">
        <v>690</v>
      </c>
      <c r="M412" s="47">
        <v>3.3285094066570188E-2</v>
      </c>
      <c r="N412" s="47">
        <v>59.9</v>
      </c>
      <c r="O412" s="46" t="s">
        <v>4295</v>
      </c>
      <c r="P412" s="43">
        <v>48</v>
      </c>
      <c r="Q412" s="43">
        <v>10</v>
      </c>
      <c r="R412" s="45" t="s">
        <v>4281</v>
      </c>
      <c r="S412" s="46" t="s">
        <v>2893</v>
      </c>
    </row>
    <row r="413" spans="1:19" ht="42">
      <c r="A413" s="43">
        <v>409</v>
      </c>
      <c r="B413" s="43">
        <v>429</v>
      </c>
      <c r="C413" s="43">
        <v>766</v>
      </c>
      <c r="D413" s="44">
        <v>45858</v>
      </c>
      <c r="E413" s="45" t="s">
        <v>2280</v>
      </c>
      <c r="F413" s="46" t="s">
        <v>37</v>
      </c>
      <c r="G413" s="46" t="s">
        <v>1038</v>
      </c>
      <c r="H413" s="46" t="s">
        <v>1005</v>
      </c>
      <c r="I413" s="46" t="s">
        <v>512</v>
      </c>
      <c r="J413" s="46" t="s">
        <v>968</v>
      </c>
      <c r="K413" s="43">
        <v>20</v>
      </c>
      <c r="L413" s="43">
        <v>401</v>
      </c>
      <c r="M413" s="47">
        <v>4.975124378109453E-2</v>
      </c>
      <c r="N413" s="47">
        <v>59.9</v>
      </c>
      <c r="O413" s="46" t="s">
        <v>4295</v>
      </c>
      <c r="P413" s="43">
        <v>743</v>
      </c>
      <c r="Q413" s="43">
        <v>20</v>
      </c>
      <c r="R413" s="45" t="s">
        <v>4278</v>
      </c>
      <c r="S413" s="46" t="s">
        <v>2281</v>
      </c>
    </row>
    <row r="414" spans="1:19" ht="42">
      <c r="A414" s="43">
        <v>410</v>
      </c>
      <c r="B414" s="43">
        <v>386</v>
      </c>
      <c r="C414" s="43">
        <v>880</v>
      </c>
      <c r="D414" s="44">
        <v>45676</v>
      </c>
      <c r="E414" s="45" t="s">
        <v>2569</v>
      </c>
      <c r="F414" s="46" t="s">
        <v>371</v>
      </c>
      <c r="G414" s="46" t="s">
        <v>896</v>
      </c>
      <c r="H414" s="46" t="s">
        <v>965</v>
      </c>
      <c r="I414" s="46" t="s">
        <v>512</v>
      </c>
      <c r="J414" s="46" t="s">
        <v>977</v>
      </c>
      <c r="K414" s="43">
        <v>22</v>
      </c>
      <c r="L414" s="43">
        <v>583</v>
      </c>
      <c r="M414" s="47">
        <v>3.7671232876712327E-2</v>
      </c>
      <c r="N414" s="47">
        <v>59.6</v>
      </c>
      <c r="O414" s="46" t="s">
        <v>4295</v>
      </c>
      <c r="P414" s="43">
        <v>480</v>
      </c>
      <c r="Q414" s="43">
        <v>10</v>
      </c>
      <c r="R414" s="45" t="s">
        <v>4281</v>
      </c>
      <c r="S414" s="46" t="s">
        <v>2570</v>
      </c>
    </row>
    <row r="415" spans="1:19" ht="42">
      <c r="A415" s="43">
        <v>411</v>
      </c>
      <c r="B415" s="43">
        <v>471</v>
      </c>
      <c r="C415" s="43">
        <v>1150</v>
      </c>
      <c r="D415" s="44">
        <v>46014</v>
      </c>
      <c r="E415" s="45" t="s">
        <v>1971</v>
      </c>
      <c r="F415" s="46" t="s">
        <v>360</v>
      </c>
      <c r="G415" s="46" t="s">
        <v>1038</v>
      </c>
      <c r="H415" s="46" t="s">
        <v>1038</v>
      </c>
      <c r="I415" s="46" t="s">
        <v>515</v>
      </c>
      <c r="J415" s="46" t="s">
        <v>977</v>
      </c>
      <c r="K415" s="43">
        <v>18</v>
      </c>
      <c r="L415" s="43">
        <v>245</v>
      </c>
      <c r="M415" s="47">
        <v>7.3170731707317069E-2</v>
      </c>
      <c r="N415" s="47">
        <v>59.5</v>
      </c>
      <c r="O415" s="46" t="s">
        <v>4295</v>
      </c>
      <c r="P415" s="43">
        <v>390</v>
      </c>
      <c r="Q415" s="43">
        <v>20</v>
      </c>
      <c r="R415" s="45" t="s">
        <v>4275</v>
      </c>
      <c r="S415" s="46" t="s">
        <v>1972</v>
      </c>
    </row>
    <row r="416" spans="1:19" ht="31.5">
      <c r="A416" s="43">
        <v>412</v>
      </c>
      <c r="B416" s="43">
        <v>526</v>
      </c>
      <c r="C416" s="43">
        <v>1260</v>
      </c>
      <c r="D416" s="44">
        <v>46150</v>
      </c>
      <c r="E416" s="45" t="s">
        <v>1629</v>
      </c>
      <c r="F416" s="46" t="s">
        <v>37</v>
      </c>
      <c r="G416" s="46" t="s">
        <v>1038</v>
      </c>
      <c r="H416" s="46" t="s">
        <v>1038</v>
      </c>
      <c r="I416" s="46" t="s">
        <v>515</v>
      </c>
      <c r="J416" s="46" t="s">
        <v>977</v>
      </c>
      <c r="K416" s="43">
        <v>16</v>
      </c>
      <c r="L416" s="43">
        <v>109</v>
      </c>
      <c r="M416" s="47">
        <v>0.14545454545454545</v>
      </c>
      <c r="N416" s="47">
        <v>59.5</v>
      </c>
      <c r="O416" s="46" t="s">
        <v>4295</v>
      </c>
      <c r="P416" s="43">
        <v>588</v>
      </c>
      <c r="Q416" s="43">
        <v>30</v>
      </c>
      <c r="R416" s="45" t="s">
        <v>4266</v>
      </c>
      <c r="S416" s="46" t="s">
        <v>1630</v>
      </c>
    </row>
    <row r="417" spans="1:19" ht="42">
      <c r="A417" s="43">
        <v>413</v>
      </c>
      <c r="B417" s="43">
        <v>387</v>
      </c>
      <c r="C417" s="43">
        <v>871</v>
      </c>
      <c r="D417" s="44">
        <v>45669</v>
      </c>
      <c r="E417" s="45" t="s">
        <v>2600</v>
      </c>
      <c r="F417" s="46" t="s">
        <v>371</v>
      </c>
      <c r="G417" s="46" t="s">
        <v>902</v>
      </c>
      <c r="H417" s="46" t="s">
        <v>965</v>
      </c>
      <c r="I417" s="46" t="s">
        <v>512</v>
      </c>
      <c r="J417" s="46" t="s">
        <v>977</v>
      </c>
      <c r="K417" s="43">
        <v>22</v>
      </c>
      <c r="L417" s="43">
        <v>590</v>
      </c>
      <c r="M417" s="47">
        <v>3.7225042301184431E-2</v>
      </c>
      <c r="N417" s="47">
        <v>59.4</v>
      </c>
      <c r="O417" s="46" t="s">
        <v>4295</v>
      </c>
      <c r="P417" s="43">
        <v>977</v>
      </c>
      <c r="Q417" s="43">
        <v>20</v>
      </c>
      <c r="R417" s="45" t="s">
        <v>4278</v>
      </c>
      <c r="S417" s="46" t="s">
        <v>2601</v>
      </c>
    </row>
    <row r="418" spans="1:19" ht="42">
      <c r="A418" s="43">
        <v>414</v>
      </c>
      <c r="B418" s="43">
        <v>388</v>
      </c>
      <c r="C418" s="43">
        <v>867</v>
      </c>
      <c r="D418" s="44">
        <v>45664</v>
      </c>
      <c r="E418" s="45" t="s">
        <v>2621</v>
      </c>
      <c r="F418" s="46" t="s">
        <v>371</v>
      </c>
      <c r="G418" s="46" t="s">
        <v>908</v>
      </c>
      <c r="H418" s="46" t="s">
        <v>965</v>
      </c>
      <c r="I418" s="46" t="s">
        <v>526</v>
      </c>
      <c r="J418" s="46" t="s">
        <v>977</v>
      </c>
      <c r="K418" s="43">
        <v>22</v>
      </c>
      <c r="L418" s="43">
        <v>595</v>
      </c>
      <c r="M418" s="47">
        <v>3.6912751677852351E-2</v>
      </c>
      <c r="N418" s="47">
        <v>59.4</v>
      </c>
      <c r="O418" s="46" t="s">
        <v>4295</v>
      </c>
      <c r="P418" s="43">
        <v>703</v>
      </c>
      <c r="Q418" s="43">
        <v>20</v>
      </c>
      <c r="R418" s="45" t="s">
        <v>4278</v>
      </c>
      <c r="S418" s="46" t="s">
        <v>2622</v>
      </c>
    </row>
    <row r="419" spans="1:19" ht="42">
      <c r="A419" s="43">
        <v>415</v>
      </c>
      <c r="B419" s="43">
        <v>389</v>
      </c>
      <c r="C419" s="43">
        <v>715</v>
      </c>
      <c r="D419" s="44">
        <v>45663</v>
      </c>
      <c r="E419" s="45" t="s">
        <v>2630</v>
      </c>
      <c r="F419" s="46" t="s">
        <v>37</v>
      </c>
      <c r="G419" s="46" t="s">
        <v>1038</v>
      </c>
      <c r="H419" s="46" t="s">
        <v>1038</v>
      </c>
      <c r="I419" s="46" t="s">
        <v>530</v>
      </c>
      <c r="J419" s="46" t="s">
        <v>977</v>
      </c>
      <c r="K419" s="43">
        <v>22</v>
      </c>
      <c r="L419" s="43">
        <v>596</v>
      </c>
      <c r="M419" s="47">
        <v>3.6850921273031828E-2</v>
      </c>
      <c r="N419" s="47">
        <v>59.3</v>
      </c>
      <c r="O419" s="46" t="s">
        <v>4295</v>
      </c>
      <c r="P419" s="43">
        <v>975</v>
      </c>
      <c r="Q419" s="43">
        <v>20</v>
      </c>
      <c r="R419" s="45" t="s">
        <v>4278</v>
      </c>
      <c r="S419" s="46" t="s">
        <v>2631</v>
      </c>
    </row>
    <row r="420" spans="1:19" ht="42">
      <c r="A420" s="43">
        <v>416</v>
      </c>
      <c r="B420" s="43">
        <v>390</v>
      </c>
      <c r="C420" s="43">
        <v>695</v>
      </c>
      <c r="D420" s="44">
        <v>45658</v>
      </c>
      <c r="E420" s="45" t="s">
        <v>2672</v>
      </c>
      <c r="F420" s="46" t="s">
        <v>37</v>
      </c>
      <c r="G420" s="46" t="s">
        <v>900</v>
      </c>
      <c r="H420" s="46" t="s">
        <v>965</v>
      </c>
      <c r="I420" s="46" t="s">
        <v>512</v>
      </c>
      <c r="J420" s="46" t="s">
        <v>977</v>
      </c>
      <c r="K420" s="43">
        <v>22</v>
      </c>
      <c r="L420" s="43">
        <v>601</v>
      </c>
      <c r="M420" s="47">
        <v>3.6544850498338874E-2</v>
      </c>
      <c r="N420" s="47">
        <v>59.3</v>
      </c>
      <c r="O420" s="46" t="s">
        <v>4295</v>
      </c>
      <c r="P420" s="43">
        <v>82</v>
      </c>
      <c r="Q420" s="43">
        <v>20</v>
      </c>
      <c r="R420" s="45" t="s">
        <v>4275</v>
      </c>
      <c r="S420" s="46" t="s">
        <v>2673</v>
      </c>
    </row>
    <row r="421" spans="1:19" ht="42">
      <c r="A421" s="43">
        <v>417</v>
      </c>
      <c r="B421" s="43">
        <v>499</v>
      </c>
      <c r="C421" s="43">
        <v>1182</v>
      </c>
      <c r="D421" s="44">
        <v>46088</v>
      </c>
      <c r="E421" s="45" t="s">
        <v>1767</v>
      </c>
      <c r="F421" s="46" t="s">
        <v>37</v>
      </c>
      <c r="G421" s="46" t="s">
        <v>1038</v>
      </c>
      <c r="H421" s="46" t="s">
        <v>1038</v>
      </c>
      <c r="I421" s="46" t="s">
        <v>530</v>
      </c>
      <c r="J421" s="46" t="s">
        <v>977</v>
      </c>
      <c r="K421" s="43">
        <v>17</v>
      </c>
      <c r="L421" s="43">
        <v>171</v>
      </c>
      <c r="M421" s="47">
        <v>9.8837209302325577E-2</v>
      </c>
      <c r="N421" s="47">
        <v>59.3</v>
      </c>
      <c r="O421" s="46" t="s">
        <v>4295</v>
      </c>
      <c r="P421" s="43">
        <v>182</v>
      </c>
      <c r="Q421" s="43">
        <v>20</v>
      </c>
      <c r="R421" s="45" t="s">
        <v>4272</v>
      </c>
      <c r="S421" s="46" t="s">
        <v>1768</v>
      </c>
    </row>
    <row r="422" spans="1:19" ht="42">
      <c r="A422" s="43">
        <v>418</v>
      </c>
      <c r="B422" s="43">
        <v>407</v>
      </c>
      <c r="C422" s="43">
        <v>895</v>
      </c>
      <c r="D422" s="44">
        <v>45755</v>
      </c>
      <c r="E422" s="45" t="s">
        <v>2512</v>
      </c>
      <c r="F422" s="46" t="s">
        <v>371</v>
      </c>
      <c r="G422" s="46" t="s">
        <v>1038</v>
      </c>
      <c r="H422" s="46" t="s">
        <v>1038</v>
      </c>
      <c r="I422" s="46" t="s">
        <v>519</v>
      </c>
      <c r="J422" s="46" t="s">
        <v>968</v>
      </c>
      <c r="K422" s="43">
        <v>21</v>
      </c>
      <c r="L422" s="43">
        <v>504</v>
      </c>
      <c r="M422" s="47">
        <v>4.1584158415841586E-2</v>
      </c>
      <c r="N422" s="47">
        <v>59.2</v>
      </c>
      <c r="O422" s="46" t="s">
        <v>4295</v>
      </c>
      <c r="P422" s="43">
        <v>98</v>
      </c>
      <c r="Q422" s="43">
        <v>20</v>
      </c>
      <c r="R422" s="45" t="s">
        <v>4275</v>
      </c>
      <c r="S422" s="46" t="s">
        <v>2513</v>
      </c>
    </row>
    <row r="423" spans="1:19" ht="42">
      <c r="A423" s="43">
        <v>419</v>
      </c>
      <c r="B423" s="43">
        <v>430</v>
      </c>
      <c r="C423" s="43">
        <v>752</v>
      </c>
      <c r="D423" s="44">
        <v>45816</v>
      </c>
      <c r="E423" s="45" t="s">
        <v>2412</v>
      </c>
      <c r="F423" s="46" t="s">
        <v>37</v>
      </c>
      <c r="G423" s="46" t="s">
        <v>1038</v>
      </c>
      <c r="H423" s="46" t="s">
        <v>1038</v>
      </c>
      <c r="I423" s="46" t="s">
        <v>512</v>
      </c>
      <c r="J423" s="46" t="s">
        <v>977</v>
      </c>
      <c r="K423" s="43">
        <v>20</v>
      </c>
      <c r="L423" s="43">
        <v>443</v>
      </c>
      <c r="M423" s="47">
        <v>4.5045045045045043E-2</v>
      </c>
      <c r="N423" s="47">
        <v>59.1</v>
      </c>
      <c r="O423" s="46" t="s">
        <v>4295</v>
      </c>
      <c r="P423" s="43">
        <v>430</v>
      </c>
      <c r="Q423" s="43">
        <v>20</v>
      </c>
      <c r="R423" s="45" t="s">
        <v>4275</v>
      </c>
      <c r="S423" s="46" t="s">
        <v>2413</v>
      </c>
    </row>
    <row r="424" spans="1:19" ht="42">
      <c r="A424" s="43">
        <v>420</v>
      </c>
      <c r="B424" s="43">
        <v>283</v>
      </c>
      <c r="C424" s="43">
        <v>57</v>
      </c>
      <c r="D424" s="44">
        <v>44710</v>
      </c>
      <c r="E424" s="45" t="s">
        <v>4009</v>
      </c>
      <c r="F424" s="46" t="s">
        <v>37</v>
      </c>
      <c r="G424" s="46" t="s">
        <v>1038</v>
      </c>
      <c r="H424" s="46" t="s">
        <v>1038</v>
      </c>
      <c r="I424" s="46" t="s">
        <v>512</v>
      </c>
      <c r="J424" s="46" t="s">
        <v>977</v>
      </c>
      <c r="K424" s="43">
        <v>28</v>
      </c>
      <c r="L424" s="43">
        <v>1549</v>
      </c>
      <c r="M424" s="47">
        <v>1.806451612903226E-2</v>
      </c>
      <c r="N424" s="47">
        <v>59</v>
      </c>
      <c r="O424" s="46" t="s">
        <v>4295</v>
      </c>
      <c r="P424" s="43">
        <v>375</v>
      </c>
      <c r="Q424" s="43">
        <v>10</v>
      </c>
      <c r="R424" s="45" t="s">
        <v>4281</v>
      </c>
      <c r="S424" s="46" t="s">
        <v>4010</v>
      </c>
    </row>
    <row r="425" spans="1:19" ht="42">
      <c r="A425" s="43">
        <v>421</v>
      </c>
      <c r="B425" s="43">
        <v>391</v>
      </c>
      <c r="C425" s="43">
        <v>672</v>
      </c>
      <c r="D425" s="44">
        <v>45634</v>
      </c>
      <c r="E425" s="45" t="s">
        <v>2761</v>
      </c>
      <c r="F425" s="46" t="s">
        <v>37</v>
      </c>
      <c r="G425" s="46" t="s">
        <v>1038</v>
      </c>
      <c r="H425" s="46" t="s">
        <v>1005</v>
      </c>
      <c r="I425" s="46" t="s">
        <v>512</v>
      </c>
      <c r="J425" s="46" t="s">
        <v>968</v>
      </c>
      <c r="K425" s="43">
        <v>22</v>
      </c>
      <c r="L425" s="43">
        <v>625</v>
      </c>
      <c r="M425" s="47">
        <v>3.5143769968051117E-2</v>
      </c>
      <c r="N425" s="47">
        <v>59</v>
      </c>
      <c r="O425" s="46" t="s">
        <v>4295</v>
      </c>
      <c r="P425" s="43">
        <v>472</v>
      </c>
      <c r="Q425" s="43">
        <v>10</v>
      </c>
      <c r="R425" s="45" t="s">
        <v>4281</v>
      </c>
      <c r="S425" s="46" t="s">
        <v>2762</v>
      </c>
    </row>
    <row r="426" spans="1:19" ht="42">
      <c r="A426" s="43">
        <v>422</v>
      </c>
      <c r="B426" s="43">
        <v>392</v>
      </c>
      <c r="C426" s="43">
        <v>667</v>
      </c>
      <c r="D426" s="44">
        <v>45633</v>
      </c>
      <c r="E426" s="45" t="s">
        <v>2767</v>
      </c>
      <c r="F426" s="46" t="s">
        <v>37</v>
      </c>
      <c r="G426" s="46" t="s">
        <v>891</v>
      </c>
      <c r="H426" s="46" t="s">
        <v>1317</v>
      </c>
      <c r="I426" s="46" t="s">
        <v>512</v>
      </c>
      <c r="J426" s="46" t="s">
        <v>968</v>
      </c>
      <c r="K426" s="43">
        <v>22</v>
      </c>
      <c r="L426" s="43">
        <v>626</v>
      </c>
      <c r="M426" s="47">
        <v>3.5087719298245612E-2</v>
      </c>
      <c r="N426" s="47">
        <v>59</v>
      </c>
      <c r="O426" s="46" t="s">
        <v>4295</v>
      </c>
      <c r="P426" s="43">
        <v>270</v>
      </c>
      <c r="Q426" s="43">
        <v>10</v>
      </c>
      <c r="R426" s="45" t="s">
        <v>4281</v>
      </c>
      <c r="S426" s="46" t="s">
        <v>2768</v>
      </c>
    </row>
    <row r="427" spans="1:19" ht="42">
      <c r="A427" s="43">
        <v>423</v>
      </c>
      <c r="B427" s="43">
        <v>330</v>
      </c>
      <c r="C427" s="43">
        <v>300</v>
      </c>
      <c r="D427" s="44">
        <v>45179</v>
      </c>
      <c r="E427" s="45" t="s">
        <v>3603</v>
      </c>
      <c r="F427" s="46" t="s">
        <v>37</v>
      </c>
      <c r="G427" s="46" t="s">
        <v>891</v>
      </c>
      <c r="H427" s="46" t="s">
        <v>965</v>
      </c>
      <c r="I427" s="46" t="s">
        <v>533</v>
      </c>
      <c r="J427" s="46" t="s">
        <v>968</v>
      </c>
      <c r="K427" s="43">
        <v>25</v>
      </c>
      <c r="L427" s="43">
        <v>1080</v>
      </c>
      <c r="M427" s="47">
        <v>2.3126734505087881E-2</v>
      </c>
      <c r="N427" s="47">
        <v>58.9</v>
      </c>
      <c r="O427" s="46" t="s">
        <v>4295</v>
      </c>
      <c r="P427" s="43">
        <v>71</v>
      </c>
      <c r="Q427" s="43">
        <v>10</v>
      </c>
      <c r="R427" s="45" t="s">
        <v>4281</v>
      </c>
      <c r="S427" s="46" t="s">
        <v>3604</v>
      </c>
    </row>
    <row r="428" spans="1:19" ht="42">
      <c r="A428" s="43">
        <v>424</v>
      </c>
      <c r="B428" s="43">
        <v>284</v>
      </c>
      <c r="C428" s="43">
        <v>134</v>
      </c>
      <c r="D428" s="44">
        <v>44675</v>
      </c>
      <c r="E428" s="45" t="s">
        <v>4042</v>
      </c>
      <c r="F428" s="46" t="s">
        <v>37</v>
      </c>
      <c r="G428" s="46" t="s">
        <v>907</v>
      </c>
      <c r="H428" s="46" t="s">
        <v>965</v>
      </c>
      <c r="I428" s="46" t="s">
        <v>526</v>
      </c>
      <c r="J428" s="46" t="s">
        <v>977</v>
      </c>
      <c r="K428" s="43">
        <v>28</v>
      </c>
      <c r="L428" s="43">
        <v>1584</v>
      </c>
      <c r="M428" s="47">
        <v>1.7665615141955835E-2</v>
      </c>
      <c r="N428" s="47">
        <v>58.8</v>
      </c>
      <c r="O428" s="46" t="s">
        <v>4295</v>
      </c>
      <c r="P428" s="43">
        <v>524</v>
      </c>
      <c r="Q428" s="43">
        <v>20</v>
      </c>
      <c r="R428" s="45" t="s">
        <v>4278</v>
      </c>
      <c r="S428" s="46" t="s">
        <v>4043</v>
      </c>
    </row>
    <row r="429" spans="1:19" ht="42">
      <c r="A429" s="43">
        <v>425</v>
      </c>
      <c r="B429" s="43">
        <v>352</v>
      </c>
      <c r="C429" s="43">
        <v>375</v>
      </c>
      <c r="D429" s="44">
        <v>45303</v>
      </c>
      <c r="E429" s="45" t="s">
        <v>3441</v>
      </c>
      <c r="F429" s="46" t="s">
        <v>37</v>
      </c>
      <c r="G429" s="46" t="s">
        <v>900</v>
      </c>
      <c r="H429" s="46" t="s">
        <v>965</v>
      </c>
      <c r="I429" s="46" t="s">
        <v>533</v>
      </c>
      <c r="J429" s="46" t="s">
        <v>977</v>
      </c>
      <c r="K429" s="43">
        <v>24</v>
      </c>
      <c r="L429" s="43">
        <v>956</v>
      </c>
      <c r="M429" s="47">
        <v>2.5078369905956112E-2</v>
      </c>
      <c r="N429" s="47">
        <v>58.6</v>
      </c>
      <c r="O429" s="46" t="s">
        <v>4295</v>
      </c>
      <c r="P429" s="43">
        <v>76</v>
      </c>
      <c r="Q429" s="43">
        <v>10</v>
      </c>
      <c r="R429" s="45" t="s">
        <v>4281</v>
      </c>
      <c r="S429" s="46" t="s">
        <v>3442</v>
      </c>
    </row>
    <row r="430" spans="1:19" ht="42">
      <c r="A430" s="43">
        <v>426</v>
      </c>
      <c r="B430" s="43">
        <v>353</v>
      </c>
      <c r="C430" s="43">
        <v>364</v>
      </c>
      <c r="D430" s="44">
        <v>45300</v>
      </c>
      <c r="E430" s="45" t="s">
        <v>3474</v>
      </c>
      <c r="F430" s="46" t="s">
        <v>37</v>
      </c>
      <c r="G430" s="46" t="s">
        <v>1038</v>
      </c>
      <c r="H430" s="46" t="s">
        <v>1038</v>
      </c>
      <c r="I430" s="46" t="s">
        <v>536</v>
      </c>
      <c r="J430" s="46" t="s">
        <v>977</v>
      </c>
      <c r="K430" s="43">
        <v>24</v>
      </c>
      <c r="L430" s="43">
        <v>959</v>
      </c>
      <c r="M430" s="47">
        <v>2.5000000000000001E-2</v>
      </c>
      <c r="N430" s="47">
        <v>58.6</v>
      </c>
      <c r="O430" s="46" t="s">
        <v>4295</v>
      </c>
      <c r="P430" s="43">
        <v>1218</v>
      </c>
      <c r="Q430" s="43">
        <v>20</v>
      </c>
      <c r="R430" s="45" t="s">
        <v>4278</v>
      </c>
      <c r="S430" s="46" t="s">
        <v>3475</v>
      </c>
    </row>
    <row r="431" spans="1:19" ht="42">
      <c r="A431" s="43">
        <v>427</v>
      </c>
      <c r="B431" s="43">
        <v>369</v>
      </c>
      <c r="C431" s="43">
        <v>533</v>
      </c>
      <c r="D431" s="44">
        <v>45458</v>
      </c>
      <c r="E431" s="45" t="s">
        <v>3120</v>
      </c>
      <c r="F431" s="46" t="s">
        <v>37</v>
      </c>
      <c r="G431" s="46" t="s">
        <v>906</v>
      </c>
      <c r="H431" s="46" t="s">
        <v>965</v>
      </c>
      <c r="I431" s="46" t="s">
        <v>530</v>
      </c>
      <c r="J431" s="46" t="s">
        <v>968</v>
      </c>
      <c r="K431" s="43">
        <v>23</v>
      </c>
      <c r="L431" s="43">
        <v>801</v>
      </c>
      <c r="M431" s="47">
        <v>2.8678304239401497E-2</v>
      </c>
      <c r="N431" s="47">
        <v>58.6</v>
      </c>
      <c r="O431" s="46" t="s">
        <v>4295</v>
      </c>
      <c r="P431" s="43">
        <v>490</v>
      </c>
      <c r="Q431" s="43">
        <v>20</v>
      </c>
      <c r="R431" s="45" t="s">
        <v>4275</v>
      </c>
      <c r="S431" s="46" t="s">
        <v>3121</v>
      </c>
    </row>
    <row r="432" spans="1:19" ht="42">
      <c r="A432" s="43">
        <v>428</v>
      </c>
      <c r="B432" s="43">
        <v>431</v>
      </c>
      <c r="C432" s="43">
        <v>770</v>
      </c>
      <c r="D432" s="44">
        <v>45797</v>
      </c>
      <c r="E432" s="45" t="s">
        <v>2427</v>
      </c>
      <c r="F432" s="46" t="s">
        <v>37</v>
      </c>
      <c r="G432" s="46" t="s">
        <v>905</v>
      </c>
      <c r="H432" s="46" t="s">
        <v>965</v>
      </c>
      <c r="I432" s="46" t="s">
        <v>515</v>
      </c>
      <c r="J432" s="46" t="s">
        <v>977</v>
      </c>
      <c r="K432" s="43">
        <v>20</v>
      </c>
      <c r="L432" s="43">
        <v>462</v>
      </c>
      <c r="M432" s="47">
        <v>4.3196544276457881E-2</v>
      </c>
      <c r="N432" s="47">
        <v>58.5</v>
      </c>
      <c r="O432" s="46" t="s">
        <v>4295</v>
      </c>
      <c r="P432" s="43">
        <v>482</v>
      </c>
      <c r="Q432" s="43">
        <v>10</v>
      </c>
      <c r="R432" s="45" t="s">
        <v>4281</v>
      </c>
      <c r="S432" s="46" t="s">
        <v>2428</v>
      </c>
    </row>
    <row r="433" spans="1:19" ht="42">
      <c r="A433" s="43">
        <v>429</v>
      </c>
      <c r="B433" s="43">
        <v>393</v>
      </c>
      <c r="C433" s="43">
        <v>636</v>
      </c>
      <c r="D433" s="44">
        <v>45579</v>
      </c>
      <c r="E433" s="45" t="s">
        <v>2853</v>
      </c>
      <c r="F433" s="46" t="s">
        <v>37</v>
      </c>
      <c r="G433" s="46" t="s">
        <v>924</v>
      </c>
      <c r="H433" s="46" t="s">
        <v>965</v>
      </c>
      <c r="I433" s="46" t="s">
        <v>515</v>
      </c>
      <c r="J433" s="46" t="s">
        <v>968</v>
      </c>
      <c r="K433" s="43">
        <v>22</v>
      </c>
      <c r="L433" s="43">
        <v>680</v>
      </c>
      <c r="M433" s="47">
        <v>3.2305433186490456E-2</v>
      </c>
      <c r="N433" s="47">
        <v>58.4</v>
      </c>
      <c r="O433" s="46" t="s">
        <v>4295</v>
      </c>
      <c r="P433" s="43">
        <v>646</v>
      </c>
      <c r="Q433" s="43">
        <v>20</v>
      </c>
      <c r="R433" s="45" t="s">
        <v>4278</v>
      </c>
      <c r="S433" s="46" t="s">
        <v>2854</v>
      </c>
    </row>
    <row r="434" spans="1:19" ht="31.5">
      <c r="A434" s="43">
        <v>430</v>
      </c>
      <c r="B434" s="43">
        <v>527</v>
      </c>
      <c r="C434" s="43">
        <v>1195</v>
      </c>
      <c r="D434" s="44">
        <v>46122</v>
      </c>
      <c r="E434" s="45" t="s">
        <v>1734</v>
      </c>
      <c r="F434" s="46" t="s">
        <v>37</v>
      </c>
      <c r="G434" s="46" t="s">
        <v>1038</v>
      </c>
      <c r="H434" s="46" t="s">
        <v>1134</v>
      </c>
      <c r="I434" s="46" t="s">
        <v>519</v>
      </c>
      <c r="J434" s="46" t="s">
        <v>977</v>
      </c>
      <c r="K434" s="43">
        <v>16</v>
      </c>
      <c r="L434" s="43">
        <v>137</v>
      </c>
      <c r="M434" s="47">
        <v>0.11594202898550725</v>
      </c>
      <c r="N434" s="47">
        <v>58.4</v>
      </c>
      <c r="O434" s="46" t="s">
        <v>4295</v>
      </c>
      <c r="P434" s="43">
        <v>350</v>
      </c>
      <c r="Q434" s="43">
        <v>30</v>
      </c>
      <c r="R434" s="45" t="s">
        <v>4279</v>
      </c>
      <c r="S434" s="46" t="s">
        <v>1735</v>
      </c>
    </row>
    <row r="435" spans="1:19" ht="31.5">
      <c r="A435" s="43">
        <v>431</v>
      </c>
      <c r="B435" s="43">
        <v>445</v>
      </c>
      <c r="C435" s="43">
        <v>938</v>
      </c>
      <c r="D435" s="44">
        <v>45852</v>
      </c>
      <c r="E435" s="45" t="s">
        <v>2306</v>
      </c>
      <c r="F435" s="46" t="s">
        <v>371</v>
      </c>
      <c r="G435" s="46" t="s">
        <v>1038</v>
      </c>
      <c r="H435" s="46" t="s">
        <v>1005</v>
      </c>
      <c r="I435" s="46" t="s">
        <v>515</v>
      </c>
      <c r="J435" s="46" t="s">
        <v>977</v>
      </c>
      <c r="K435" s="43">
        <v>19</v>
      </c>
      <c r="L435" s="43">
        <v>407</v>
      </c>
      <c r="M435" s="47">
        <v>4.6568627450980393E-2</v>
      </c>
      <c r="N435" s="47">
        <v>58.3</v>
      </c>
      <c r="O435" s="46" t="s">
        <v>4295</v>
      </c>
      <c r="P435" s="43">
        <v>737</v>
      </c>
      <c r="Q435" s="43">
        <v>30</v>
      </c>
      <c r="R435" s="45" t="s">
        <v>4283</v>
      </c>
      <c r="S435" s="46" t="s">
        <v>2307</v>
      </c>
    </row>
    <row r="436" spans="1:19" ht="42">
      <c r="A436" s="43">
        <v>432</v>
      </c>
      <c r="B436" s="43">
        <v>500</v>
      </c>
      <c r="C436" s="43">
        <v>1106</v>
      </c>
      <c r="D436" s="44">
        <v>46053</v>
      </c>
      <c r="E436" s="45" t="s">
        <v>1845</v>
      </c>
      <c r="F436" s="46" t="s">
        <v>382</v>
      </c>
      <c r="G436" s="46" t="s">
        <v>907</v>
      </c>
      <c r="H436" s="46" t="s">
        <v>965</v>
      </c>
      <c r="I436" s="46" t="s">
        <v>512</v>
      </c>
      <c r="J436" s="46" t="s">
        <v>977</v>
      </c>
      <c r="K436" s="43">
        <v>17</v>
      </c>
      <c r="L436" s="43">
        <v>206</v>
      </c>
      <c r="M436" s="47">
        <v>8.2125603864734303E-2</v>
      </c>
      <c r="N436" s="47">
        <v>58.3</v>
      </c>
      <c r="O436" s="46" t="s">
        <v>4295</v>
      </c>
      <c r="P436" s="43">
        <v>504</v>
      </c>
      <c r="Q436" s="43">
        <v>20</v>
      </c>
      <c r="R436" s="45" t="s">
        <v>4278</v>
      </c>
      <c r="S436" s="46" t="s">
        <v>1846</v>
      </c>
    </row>
    <row r="437" spans="1:19" ht="31.5">
      <c r="A437" s="43">
        <v>433</v>
      </c>
      <c r="B437" s="43">
        <v>446</v>
      </c>
      <c r="C437" s="43">
        <v>1061</v>
      </c>
      <c r="D437" s="44">
        <v>45846</v>
      </c>
      <c r="E437" s="45" t="s">
        <v>2325</v>
      </c>
      <c r="F437" s="46" t="s">
        <v>382</v>
      </c>
      <c r="G437" s="46" t="s">
        <v>1038</v>
      </c>
      <c r="H437" s="46" t="s">
        <v>1005</v>
      </c>
      <c r="I437" s="46" t="s">
        <v>512</v>
      </c>
      <c r="J437" s="46" t="s">
        <v>968</v>
      </c>
      <c r="K437" s="43">
        <v>19</v>
      </c>
      <c r="L437" s="43">
        <v>413</v>
      </c>
      <c r="M437" s="47">
        <v>4.5893719806763288E-2</v>
      </c>
      <c r="N437" s="47">
        <v>58.1</v>
      </c>
      <c r="O437" s="46" t="s">
        <v>4295</v>
      </c>
      <c r="P437" s="43">
        <v>575</v>
      </c>
      <c r="Q437" s="43">
        <v>30</v>
      </c>
      <c r="R437" s="45" t="s">
        <v>4283</v>
      </c>
      <c r="S437" s="46" t="s">
        <v>2326</v>
      </c>
    </row>
    <row r="438" spans="1:19" ht="42">
      <c r="A438" s="43">
        <v>434</v>
      </c>
      <c r="B438" s="43">
        <v>370</v>
      </c>
      <c r="C438" s="43">
        <v>475</v>
      </c>
      <c r="D438" s="44">
        <v>45375</v>
      </c>
      <c r="E438" s="45" t="s">
        <v>3260</v>
      </c>
      <c r="F438" s="46" t="s">
        <v>37</v>
      </c>
      <c r="G438" s="46" t="s">
        <v>1038</v>
      </c>
      <c r="H438" s="46" t="s">
        <v>1038</v>
      </c>
      <c r="I438" s="46" t="s">
        <v>519</v>
      </c>
      <c r="J438" s="46" t="s">
        <v>968</v>
      </c>
      <c r="K438" s="43">
        <v>23</v>
      </c>
      <c r="L438" s="43">
        <v>884</v>
      </c>
      <c r="M438" s="47">
        <v>2.598870056497175E-2</v>
      </c>
      <c r="N438" s="47">
        <v>58</v>
      </c>
      <c r="O438" s="46" t="s">
        <v>4295</v>
      </c>
      <c r="P438" s="43">
        <v>878</v>
      </c>
      <c r="Q438" s="43">
        <v>20</v>
      </c>
      <c r="R438" s="45" t="s">
        <v>4278</v>
      </c>
      <c r="S438" s="46" t="s">
        <v>3261</v>
      </c>
    </row>
    <row r="439" spans="1:19" ht="31.5">
      <c r="A439" s="43">
        <v>435</v>
      </c>
      <c r="B439" s="43">
        <v>472</v>
      </c>
      <c r="C439" s="43">
        <v>798</v>
      </c>
      <c r="D439" s="44">
        <v>45942</v>
      </c>
      <c r="E439" s="45" t="s">
        <v>2107</v>
      </c>
      <c r="F439" s="46" t="s">
        <v>37</v>
      </c>
      <c r="G439" s="46" t="s">
        <v>892</v>
      </c>
      <c r="H439" s="46" t="s">
        <v>965</v>
      </c>
      <c r="I439" s="46" t="s">
        <v>522</v>
      </c>
      <c r="J439" s="46" t="s">
        <v>977</v>
      </c>
      <c r="K439" s="43">
        <v>18</v>
      </c>
      <c r="L439" s="43">
        <v>317</v>
      </c>
      <c r="M439" s="47">
        <v>5.6603773584905662E-2</v>
      </c>
      <c r="N439" s="47">
        <v>58</v>
      </c>
      <c r="O439" s="46" t="s">
        <v>4295</v>
      </c>
      <c r="P439" s="43">
        <v>578</v>
      </c>
      <c r="Q439" s="43">
        <v>30</v>
      </c>
      <c r="R439" s="45" t="s">
        <v>4283</v>
      </c>
      <c r="S439" s="46" t="s">
        <v>2108</v>
      </c>
    </row>
    <row r="440" spans="1:19" ht="52.5">
      <c r="A440" s="43">
        <v>436</v>
      </c>
      <c r="B440" s="43">
        <v>473</v>
      </c>
      <c r="C440" s="43">
        <v>1118</v>
      </c>
      <c r="D440" s="44">
        <v>45939</v>
      </c>
      <c r="E440" s="45" t="s">
        <v>2110</v>
      </c>
      <c r="F440" s="46" t="s">
        <v>360</v>
      </c>
      <c r="G440" s="46" t="s">
        <v>899</v>
      </c>
      <c r="H440" s="46" t="s">
        <v>965</v>
      </c>
      <c r="I440" s="46" t="s">
        <v>515</v>
      </c>
      <c r="J440" s="46" t="s">
        <v>977</v>
      </c>
      <c r="K440" s="43">
        <v>18</v>
      </c>
      <c r="L440" s="43">
        <v>320</v>
      </c>
      <c r="M440" s="47">
        <v>5.6074766355140186E-2</v>
      </c>
      <c r="N440" s="47">
        <v>58</v>
      </c>
      <c r="O440" s="46" t="s">
        <v>4295</v>
      </c>
      <c r="P440" s="43">
        <v>314</v>
      </c>
      <c r="Q440" s="43">
        <v>0</v>
      </c>
      <c r="R440" s="45" t="s">
        <v>4294</v>
      </c>
      <c r="S440" s="46" t="s">
        <v>2111</v>
      </c>
    </row>
    <row r="441" spans="1:19" ht="42">
      <c r="A441" s="43">
        <v>437</v>
      </c>
      <c r="B441" s="43">
        <v>331</v>
      </c>
      <c r="C441" s="43">
        <v>188</v>
      </c>
      <c r="D441" s="44">
        <v>45088</v>
      </c>
      <c r="E441" s="45" t="s">
        <v>3771</v>
      </c>
      <c r="F441" s="46" t="s">
        <v>37</v>
      </c>
      <c r="G441" s="46" t="s">
        <v>1038</v>
      </c>
      <c r="H441" s="46" t="s">
        <v>1038</v>
      </c>
      <c r="I441" s="46" t="s">
        <v>530</v>
      </c>
      <c r="J441" s="46" t="s">
        <v>968</v>
      </c>
      <c r="K441" s="43">
        <v>25</v>
      </c>
      <c r="L441" s="43">
        <v>1171</v>
      </c>
      <c r="M441" s="47">
        <v>2.1331058020477817E-2</v>
      </c>
      <c r="N441" s="47">
        <v>57.9</v>
      </c>
      <c r="O441" s="46" t="s">
        <v>4295</v>
      </c>
      <c r="P441" s="43">
        <v>736</v>
      </c>
      <c r="Q441" s="43">
        <v>20</v>
      </c>
      <c r="R441" s="45" t="s">
        <v>4278</v>
      </c>
      <c r="S441" s="46" t="s">
        <v>3772</v>
      </c>
    </row>
    <row r="442" spans="1:19" ht="42">
      <c r="A442" s="43">
        <v>438</v>
      </c>
      <c r="B442" s="43">
        <v>501</v>
      </c>
      <c r="C442" s="43">
        <v>813</v>
      </c>
      <c r="D442" s="44">
        <v>46023</v>
      </c>
      <c r="E442" s="45" t="s">
        <v>1932</v>
      </c>
      <c r="F442" s="46" t="s">
        <v>37</v>
      </c>
      <c r="G442" s="46" t="s">
        <v>882</v>
      </c>
      <c r="H442" s="46" t="s">
        <v>965</v>
      </c>
      <c r="I442" s="46" t="s">
        <v>515</v>
      </c>
      <c r="J442" s="46" t="s">
        <v>977</v>
      </c>
      <c r="K442" s="43">
        <v>17</v>
      </c>
      <c r="L442" s="43">
        <v>236</v>
      </c>
      <c r="M442" s="47">
        <v>7.1729957805907171E-2</v>
      </c>
      <c r="N442" s="47">
        <v>57.7</v>
      </c>
      <c r="O442" s="46" t="s">
        <v>4295</v>
      </c>
      <c r="P442" s="43">
        <v>597</v>
      </c>
      <c r="Q442" s="43">
        <v>20</v>
      </c>
      <c r="R442" s="45" t="s">
        <v>4278</v>
      </c>
      <c r="S442" s="46" t="s">
        <v>1933</v>
      </c>
    </row>
    <row r="443" spans="1:19" ht="42">
      <c r="A443" s="43">
        <v>439</v>
      </c>
      <c r="B443" s="43">
        <v>474</v>
      </c>
      <c r="C443" s="43">
        <v>1077</v>
      </c>
      <c r="D443" s="44">
        <v>45913</v>
      </c>
      <c r="E443" s="45" t="s">
        <v>2152</v>
      </c>
      <c r="F443" s="46" t="s">
        <v>382</v>
      </c>
      <c r="G443" s="46" t="s">
        <v>1038</v>
      </c>
      <c r="H443" s="46" t="s">
        <v>1005</v>
      </c>
      <c r="I443" s="46" t="s">
        <v>512</v>
      </c>
      <c r="J443" s="46" t="s">
        <v>977</v>
      </c>
      <c r="K443" s="43">
        <v>18</v>
      </c>
      <c r="L443" s="43">
        <v>346</v>
      </c>
      <c r="M443" s="47">
        <v>5.1873198847262249E-2</v>
      </c>
      <c r="N443" s="47">
        <v>57.5</v>
      </c>
      <c r="O443" s="46" t="s">
        <v>4295</v>
      </c>
      <c r="P443" s="43">
        <v>331</v>
      </c>
      <c r="Q443" s="43">
        <v>10</v>
      </c>
      <c r="R443" s="45" t="s">
        <v>4281</v>
      </c>
      <c r="S443" s="46" t="s">
        <v>2153</v>
      </c>
    </row>
    <row r="444" spans="1:19" ht="42">
      <c r="A444" s="43">
        <v>440</v>
      </c>
      <c r="B444" s="43">
        <v>502</v>
      </c>
      <c r="C444" s="43">
        <v>1088</v>
      </c>
      <c r="D444" s="44">
        <v>46018</v>
      </c>
      <c r="E444" s="45" t="s">
        <v>1950</v>
      </c>
      <c r="F444" s="46" t="s">
        <v>382</v>
      </c>
      <c r="G444" s="46" t="s">
        <v>889</v>
      </c>
      <c r="H444" s="46" t="s">
        <v>965</v>
      </c>
      <c r="I444" s="46" t="s">
        <v>512</v>
      </c>
      <c r="J444" s="46" t="s">
        <v>977</v>
      </c>
      <c r="K444" s="43">
        <v>17</v>
      </c>
      <c r="L444" s="43">
        <v>241</v>
      </c>
      <c r="M444" s="47">
        <v>7.0247933884297523E-2</v>
      </c>
      <c r="N444" s="47">
        <v>57.5</v>
      </c>
      <c r="O444" s="46" t="s">
        <v>4295</v>
      </c>
      <c r="P444" s="43">
        <v>666</v>
      </c>
      <c r="Q444" s="43">
        <v>20</v>
      </c>
      <c r="R444" s="45" t="s">
        <v>4278</v>
      </c>
      <c r="S444" s="46" t="s">
        <v>1951</v>
      </c>
    </row>
    <row r="445" spans="1:19" ht="31.5">
      <c r="A445" s="43">
        <v>441</v>
      </c>
      <c r="B445" s="43">
        <v>586</v>
      </c>
      <c r="C445" s="43">
        <v>1328</v>
      </c>
      <c r="D445" s="44">
        <v>46204</v>
      </c>
      <c r="E445" s="45" t="s">
        <v>1482</v>
      </c>
      <c r="F445" s="46" t="s">
        <v>37</v>
      </c>
      <c r="G445" s="46" t="s">
        <v>1038</v>
      </c>
      <c r="H445" s="46" t="s">
        <v>1484</v>
      </c>
      <c r="I445" s="46" t="s">
        <v>512</v>
      </c>
      <c r="J445" s="46" t="s">
        <v>977</v>
      </c>
      <c r="K445" s="43">
        <v>14</v>
      </c>
      <c r="L445" s="43">
        <v>55</v>
      </c>
      <c r="M445" s="47">
        <v>0.25</v>
      </c>
      <c r="N445" s="47">
        <v>57.5</v>
      </c>
      <c r="O445" s="46" t="s">
        <v>4295</v>
      </c>
      <c r="P445" s="43">
        <v>795</v>
      </c>
      <c r="Q445" s="43">
        <v>30</v>
      </c>
      <c r="R445" s="45" t="s">
        <v>4266</v>
      </c>
      <c r="S445" s="46" t="s">
        <v>1483</v>
      </c>
    </row>
    <row r="446" spans="1:19" ht="42">
      <c r="A446" s="43">
        <v>442</v>
      </c>
      <c r="B446" s="43">
        <v>408</v>
      </c>
      <c r="C446" s="43">
        <v>682</v>
      </c>
      <c r="D446" s="44">
        <v>45646</v>
      </c>
      <c r="E446" s="45" t="s">
        <v>2727</v>
      </c>
      <c r="F446" s="46" t="s">
        <v>37</v>
      </c>
      <c r="G446" s="46" t="s">
        <v>1038</v>
      </c>
      <c r="H446" s="46" t="s">
        <v>1005</v>
      </c>
      <c r="I446" s="46" t="s">
        <v>533</v>
      </c>
      <c r="J446" s="46" t="s">
        <v>968</v>
      </c>
      <c r="K446" s="43">
        <v>21</v>
      </c>
      <c r="L446" s="43">
        <v>613</v>
      </c>
      <c r="M446" s="47">
        <v>3.4201954397394138E-2</v>
      </c>
      <c r="N446" s="47">
        <v>57.4</v>
      </c>
      <c r="O446" s="46" t="s">
        <v>4295</v>
      </c>
      <c r="P446" s="43">
        <v>114</v>
      </c>
      <c r="Q446" s="43">
        <v>20</v>
      </c>
      <c r="R446" s="45" t="s">
        <v>4275</v>
      </c>
      <c r="S446" s="46" t="s">
        <v>2728</v>
      </c>
    </row>
    <row r="447" spans="1:19" ht="42">
      <c r="A447" s="43">
        <v>443</v>
      </c>
      <c r="B447" s="43">
        <v>447</v>
      </c>
      <c r="C447" s="43">
        <v>920</v>
      </c>
      <c r="D447" s="44">
        <v>45822</v>
      </c>
      <c r="E447" s="45" t="s">
        <v>2393</v>
      </c>
      <c r="F447" s="46" t="s">
        <v>371</v>
      </c>
      <c r="G447" s="46" t="s">
        <v>882</v>
      </c>
      <c r="H447" s="46" t="s">
        <v>965</v>
      </c>
      <c r="I447" s="46" t="s">
        <v>515</v>
      </c>
      <c r="J447" s="46" t="s">
        <v>977</v>
      </c>
      <c r="K447" s="43">
        <v>19</v>
      </c>
      <c r="L447" s="43">
        <v>437</v>
      </c>
      <c r="M447" s="47">
        <v>4.3378995433789952E-2</v>
      </c>
      <c r="N447" s="47">
        <v>57.4</v>
      </c>
      <c r="O447" s="46" t="s">
        <v>4295</v>
      </c>
      <c r="P447" s="43">
        <v>362</v>
      </c>
      <c r="Q447" s="43">
        <v>10</v>
      </c>
      <c r="R447" s="45" t="s">
        <v>4281</v>
      </c>
      <c r="S447" s="46" t="s">
        <v>2394</v>
      </c>
    </row>
    <row r="448" spans="1:19" ht="31.5">
      <c r="A448" s="43">
        <v>444</v>
      </c>
      <c r="B448" s="43">
        <v>711</v>
      </c>
      <c r="C448" s="43">
        <v>1494</v>
      </c>
      <c r="D448" s="44">
        <v>46259</v>
      </c>
      <c r="E448" s="45" t="s">
        <v>995</v>
      </c>
      <c r="F448" s="46" t="s">
        <v>37</v>
      </c>
      <c r="G448" s="46" t="s">
        <v>900</v>
      </c>
      <c r="H448" s="46" t="s">
        <v>965</v>
      </c>
      <c r="I448" s="46" t="s">
        <v>522</v>
      </c>
      <c r="J448" s="46" t="s">
        <v>977</v>
      </c>
      <c r="K448" s="43">
        <v>11</v>
      </c>
      <c r="L448" s="43">
        <v>0</v>
      </c>
      <c r="M448" s="47">
        <v>11</v>
      </c>
      <c r="N448" s="47">
        <v>57.4</v>
      </c>
      <c r="O448" s="46" t="s">
        <v>4295</v>
      </c>
      <c r="P448" s="43">
        <v>968</v>
      </c>
      <c r="Q448" s="43">
        <v>30</v>
      </c>
      <c r="R448" s="45" t="s">
        <v>4285</v>
      </c>
      <c r="S448" s="46" t="s">
        <v>996</v>
      </c>
    </row>
    <row r="449" spans="1:19" ht="42">
      <c r="A449" s="43">
        <v>445</v>
      </c>
      <c r="B449" s="43">
        <v>503</v>
      </c>
      <c r="C449" s="43">
        <v>815</v>
      </c>
      <c r="D449" s="44">
        <v>46011</v>
      </c>
      <c r="E449" s="45" t="s">
        <v>1992</v>
      </c>
      <c r="F449" s="46" t="s">
        <v>37</v>
      </c>
      <c r="G449" s="46" t="s">
        <v>884</v>
      </c>
      <c r="H449" s="46" t="s">
        <v>965</v>
      </c>
      <c r="I449" s="46" t="s">
        <v>519</v>
      </c>
      <c r="J449" s="46" t="s">
        <v>977</v>
      </c>
      <c r="K449" s="43">
        <v>17</v>
      </c>
      <c r="L449" s="43">
        <v>248</v>
      </c>
      <c r="M449" s="47">
        <v>6.8273092369477914E-2</v>
      </c>
      <c r="N449" s="47">
        <v>57.3</v>
      </c>
      <c r="O449" s="46" t="s">
        <v>4295</v>
      </c>
      <c r="P449" s="43">
        <v>422</v>
      </c>
      <c r="Q449" s="43">
        <v>10</v>
      </c>
      <c r="R449" s="45" t="s">
        <v>4281</v>
      </c>
      <c r="S449" s="46" t="s">
        <v>1993</v>
      </c>
    </row>
    <row r="450" spans="1:19" ht="42">
      <c r="A450" s="43">
        <v>446</v>
      </c>
      <c r="B450" s="43">
        <v>432</v>
      </c>
      <c r="C450" s="43">
        <v>1048</v>
      </c>
      <c r="D450" s="44">
        <v>45736</v>
      </c>
      <c r="E450" s="45" t="s">
        <v>2521</v>
      </c>
      <c r="F450" s="46" t="s">
        <v>382</v>
      </c>
      <c r="G450" s="46" t="s">
        <v>878</v>
      </c>
      <c r="H450" s="46" t="s">
        <v>965</v>
      </c>
      <c r="I450" s="46" t="s">
        <v>512</v>
      </c>
      <c r="J450" s="46" t="s">
        <v>977</v>
      </c>
      <c r="K450" s="43">
        <v>20</v>
      </c>
      <c r="L450" s="43">
        <v>523</v>
      </c>
      <c r="M450" s="47">
        <v>3.8167938931297711E-2</v>
      </c>
      <c r="N450" s="47">
        <v>57.2</v>
      </c>
      <c r="O450" s="46" t="s">
        <v>4295</v>
      </c>
      <c r="P450" s="43">
        <v>669</v>
      </c>
      <c r="Q450" s="43">
        <v>20</v>
      </c>
      <c r="R450" s="45" t="s">
        <v>4278</v>
      </c>
      <c r="S450" s="46" t="s">
        <v>2522</v>
      </c>
    </row>
    <row r="451" spans="1:19" ht="42">
      <c r="A451" s="43">
        <v>447</v>
      </c>
      <c r="B451" s="43">
        <v>448</v>
      </c>
      <c r="C451" s="43">
        <v>915</v>
      </c>
      <c r="D451" s="44">
        <v>45819</v>
      </c>
      <c r="E451" s="45" t="s">
        <v>2406</v>
      </c>
      <c r="F451" s="46" t="s">
        <v>371</v>
      </c>
      <c r="G451" s="46" t="s">
        <v>885</v>
      </c>
      <c r="H451" s="46" t="s">
        <v>965</v>
      </c>
      <c r="I451" s="46" t="s">
        <v>512</v>
      </c>
      <c r="J451" s="46" t="s">
        <v>977</v>
      </c>
      <c r="K451" s="43">
        <v>19</v>
      </c>
      <c r="L451" s="43">
        <v>440</v>
      </c>
      <c r="M451" s="47">
        <v>4.3083900226757371E-2</v>
      </c>
      <c r="N451" s="47">
        <v>57.2</v>
      </c>
      <c r="O451" s="46" t="s">
        <v>4295</v>
      </c>
      <c r="P451" s="43">
        <v>521</v>
      </c>
      <c r="Q451" s="43">
        <v>20</v>
      </c>
      <c r="R451" s="45" t="s">
        <v>4278</v>
      </c>
      <c r="S451" s="46" t="s">
        <v>2407</v>
      </c>
    </row>
    <row r="452" spans="1:19" ht="42">
      <c r="A452" s="43">
        <v>448</v>
      </c>
      <c r="B452" s="43">
        <v>475</v>
      </c>
      <c r="C452" s="43">
        <v>783</v>
      </c>
      <c r="D452" s="44">
        <v>45904</v>
      </c>
      <c r="E452" s="45" t="s">
        <v>2186</v>
      </c>
      <c r="F452" s="46" t="s">
        <v>37</v>
      </c>
      <c r="G452" s="46" t="s">
        <v>885</v>
      </c>
      <c r="H452" s="46" t="s">
        <v>965</v>
      </c>
      <c r="I452" s="46" t="s">
        <v>512</v>
      </c>
      <c r="J452" s="46" t="s">
        <v>968</v>
      </c>
      <c r="K452" s="43">
        <v>18</v>
      </c>
      <c r="L452" s="43">
        <v>355</v>
      </c>
      <c r="M452" s="47">
        <v>5.0561797752808987E-2</v>
      </c>
      <c r="N452" s="47">
        <v>57.2</v>
      </c>
      <c r="O452" s="46" t="s">
        <v>4295</v>
      </c>
      <c r="P452" s="43">
        <v>399</v>
      </c>
      <c r="Q452" s="43">
        <v>10</v>
      </c>
      <c r="R452" s="45" t="s">
        <v>4281</v>
      </c>
      <c r="S452" s="46" t="s">
        <v>2187</v>
      </c>
    </row>
    <row r="453" spans="1:19" ht="31.5">
      <c r="A453" s="43">
        <v>449</v>
      </c>
      <c r="B453" s="43">
        <v>666</v>
      </c>
      <c r="C453" s="43">
        <v>1468</v>
      </c>
      <c r="D453" s="44">
        <v>46253</v>
      </c>
      <c r="E453" s="45" t="s">
        <v>1091</v>
      </c>
      <c r="F453" s="46" t="s">
        <v>360</v>
      </c>
      <c r="G453" s="46" t="s">
        <v>914</v>
      </c>
      <c r="H453" s="46" t="s">
        <v>965</v>
      </c>
      <c r="I453" s="46" t="s">
        <v>512</v>
      </c>
      <c r="J453" s="46" t="s">
        <v>968</v>
      </c>
      <c r="K453" s="43">
        <v>12</v>
      </c>
      <c r="L453" s="43">
        <v>6</v>
      </c>
      <c r="M453" s="47">
        <v>1.7142857142857142</v>
      </c>
      <c r="N453" s="47">
        <v>57.2</v>
      </c>
      <c r="O453" s="46" t="s">
        <v>4295</v>
      </c>
      <c r="P453" s="43">
        <v>381</v>
      </c>
      <c r="Q453" s="43">
        <v>30</v>
      </c>
      <c r="R453" s="45" t="s">
        <v>4276</v>
      </c>
      <c r="S453" s="46" t="s">
        <v>1092</v>
      </c>
    </row>
    <row r="454" spans="1:19" ht="42">
      <c r="A454" s="43">
        <v>450</v>
      </c>
      <c r="B454" s="43">
        <v>371</v>
      </c>
      <c r="C454" s="43">
        <v>381</v>
      </c>
      <c r="D454" s="44">
        <v>45306</v>
      </c>
      <c r="E454" s="45" t="s">
        <v>3423</v>
      </c>
      <c r="F454" s="46" t="s">
        <v>37</v>
      </c>
      <c r="G454" s="46" t="s">
        <v>912</v>
      </c>
      <c r="H454" s="46" t="s">
        <v>965</v>
      </c>
      <c r="I454" s="46" t="s">
        <v>519</v>
      </c>
      <c r="J454" s="46" t="s">
        <v>977</v>
      </c>
      <c r="K454" s="43">
        <v>23</v>
      </c>
      <c r="L454" s="43">
        <v>953</v>
      </c>
      <c r="M454" s="47">
        <v>2.4109014675052411E-2</v>
      </c>
      <c r="N454" s="47">
        <v>57.1</v>
      </c>
      <c r="O454" s="46" t="s">
        <v>4295</v>
      </c>
      <c r="P454" s="43">
        <v>1042</v>
      </c>
      <c r="Q454" s="43">
        <v>20</v>
      </c>
      <c r="R454" s="45" t="s">
        <v>4278</v>
      </c>
      <c r="S454" s="46" t="s">
        <v>3424</v>
      </c>
    </row>
    <row r="455" spans="1:19" ht="31.5">
      <c r="A455" s="43">
        <v>451</v>
      </c>
      <c r="B455" s="43">
        <v>556</v>
      </c>
      <c r="C455" s="43">
        <v>1253</v>
      </c>
      <c r="D455" s="44">
        <v>46148</v>
      </c>
      <c r="E455" s="45" t="s">
        <v>1650</v>
      </c>
      <c r="F455" s="46" t="s">
        <v>37</v>
      </c>
      <c r="G455" s="46" t="s">
        <v>920</v>
      </c>
      <c r="H455" s="46" t="s">
        <v>965</v>
      </c>
      <c r="I455" s="46" t="s">
        <v>519</v>
      </c>
      <c r="J455" s="46" t="s">
        <v>977</v>
      </c>
      <c r="K455" s="43">
        <v>15</v>
      </c>
      <c r="L455" s="43">
        <v>111</v>
      </c>
      <c r="M455" s="47">
        <v>0.13392857142857142</v>
      </c>
      <c r="N455" s="47">
        <v>57.1</v>
      </c>
      <c r="O455" s="46" t="s">
        <v>4295</v>
      </c>
      <c r="P455" s="43">
        <v>184</v>
      </c>
      <c r="Q455" s="43">
        <v>30</v>
      </c>
      <c r="R455" s="45" t="s">
        <v>4279</v>
      </c>
      <c r="S455" s="46" t="s">
        <v>1651</v>
      </c>
    </row>
    <row r="456" spans="1:19" ht="31.5">
      <c r="A456" s="43">
        <v>452</v>
      </c>
      <c r="B456" s="43">
        <v>528</v>
      </c>
      <c r="C456" s="43">
        <v>1175</v>
      </c>
      <c r="D456" s="44">
        <v>46073</v>
      </c>
      <c r="E456" s="45" t="s">
        <v>1785</v>
      </c>
      <c r="F456" s="46" t="s">
        <v>37</v>
      </c>
      <c r="G456" s="46" t="s">
        <v>1038</v>
      </c>
      <c r="H456" s="46" t="s">
        <v>1134</v>
      </c>
      <c r="I456" s="46" t="s">
        <v>526</v>
      </c>
      <c r="J456" s="46" t="s">
        <v>968</v>
      </c>
      <c r="K456" s="43">
        <v>16</v>
      </c>
      <c r="L456" s="43">
        <v>186</v>
      </c>
      <c r="M456" s="47">
        <v>8.5561497326203204E-2</v>
      </c>
      <c r="N456" s="47">
        <v>57</v>
      </c>
      <c r="O456" s="46" t="s">
        <v>4295</v>
      </c>
      <c r="P456" s="43">
        <v>612</v>
      </c>
      <c r="Q456" s="43">
        <v>40</v>
      </c>
      <c r="R456" s="45" t="s">
        <v>4273</v>
      </c>
      <c r="S456" s="46" t="s">
        <v>1786</v>
      </c>
    </row>
    <row r="457" spans="1:19" ht="31.5">
      <c r="A457" s="43">
        <v>453</v>
      </c>
      <c r="B457" s="43">
        <v>620</v>
      </c>
      <c r="C457" s="43">
        <v>1419</v>
      </c>
      <c r="D457" s="44">
        <v>46235</v>
      </c>
      <c r="E457" s="45" t="s">
        <v>1259</v>
      </c>
      <c r="F457" s="46" t="s">
        <v>360</v>
      </c>
      <c r="G457" s="46" t="s">
        <v>1038</v>
      </c>
      <c r="H457" s="46" t="s">
        <v>1005</v>
      </c>
      <c r="I457" s="46" t="s">
        <v>512</v>
      </c>
      <c r="J457" s="46" t="s">
        <v>977</v>
      </c>
      <c r="K457" s="43">
        <v>13</v>
      </c>
      <c r="L457" s="43">
        <v>24</v>
      </c>
      <c r="M457" s="47">
        <v>0.52</v>
      </c>
      <c r="N457" s="47">
        <v>57</v>
      </c>
      <c r="O457" s="46" t="s">
        <v>4295</v>
      </c>
      <c r="P457" s="43">
        <v>399</v>
      </c>
      <c r="Q457" s="43">
        <v>30</v>
      </c>
      <c r="R457" s="45" t="s">
        <v>4291</v>
      </c>
      <c r="S457" s="46" t="s">
        <v>1260</v>
      </c>
    </row>
    <row r="458" spans="1:19" ht="31.5">
      <c r="A458" s="43">
        <v>454</v>
      </c>
      <c r="B458" s="43">
        <v>409</v>
      </c>
      <c r="C458" s="43">
        <v>640</v>
      </c>
      <c r="D458" s="44">
        <v>45595</v>
      </c>
      <c r="E458" s="45" t="s">
        <v>2840</v>
      </c>
      <c r="F458" s="46" t="s">
        <v>37</v>
      </c>
      <c r="G458" s="46" t="s">
        <v>904</v>
      </c>
      <c r="H458" s="46" t="s">
        <v>1317</v>
      </c>
      <c r="I458" s="46" t="s">
        <v>512</v>
      </c>
      <c r="J458" s="46" t="s">
        <v>977</v>
      </c>
      <c r="K458" s="43">
        <v>21</v>
      </c>
      <c r="L458" s="43">
        <v>664</v>
      </c>
      <c r="M458" s="47">
        <v>3.1578947368421054E-2</v>
      </c>
      <c r="N458" s="47">
        <v>56.8</v>
      </c>
      <c r="O458" s="46" t="s">
        <v>4295</v>
      </c>
      <c r="P458" s="43">
        <v>876</v>
      </c>
      <c r="Q458" s="43">
        <v>30</v>
      </c>
      <c r="R458" s="45" t="s">
        <v>4283</v>
      </c>
      <c r="S458" s="46" t="s">
        <v>2841</v>
      </c>
    </row>
    <row r="459" spans="1:19" ht="42">
      <c r="A459" s="43">
        <v>455</v>
      </c>
      <c r="B459" s="43">
        <v>504</v>
      </c>
      <c r="C459" s="43">
        <v>1134</v>
      </c>
      <c r="D459" s="44">
        <v>45986</v>
      </c>
      <c r="E459" s="45" t="s">
        <v>2053</v>
      </c>
      <c r="F459" s="46" t="s">
        <v>360</v>
      </c>
      <c r="G459" s="46" t="s">
        <v>1038</v>
      </c>
      <c r="H459" s="46" t="s">
        <v>1005</v>
      </c>
      <c r="I459" s="46" t="s">
        <v>512</v>
      </c>
      <c r="J459" s="46" t="s">
        <v>968</v>
      </c>
      <c r="K459" s="43">
        <v>17</v>
      </c>
      <c r="L459" s="43">
        <v>273</v>
      </c>
      <c r="M459" s="47">
        <v>6.2043795620437957E-2</v>
      </c>
      <c r="N459" s="47">
        <v>56.8</v>
      </c>
      <c r="O459" s="46" t="s">
        <v>4295</v>
      </c>
      <c r="P459" s="43">
        <v>218</v>
      </c>
      <c r="Q459" s="43">
        <v>20</v>
      </c>
      <c r="R459" s="45" t="s">
        <v>4275</v>
      </c>
      <c r="S459" s="46" t="s">
        <v>2054</v>
      </c>
    </row>
    <row r="460" spans="1:19" ht="31.5">
      <c r="A460" s="43">
        <v>456</v>
      </c>
      <c r="B460" s="43">
        <v>667</v>
      </c>
      <c r="C460" s="43">
        <v>1467</v>
      </c>
      <c r="D460" s="44">
        <v>46252</v>
      </c>
      <c r="E460" s="45" t="s">
        <v>1095</v>
      </c>
      <c r="F460" s="46" t="s">
        <v>360</v>
      </c>
      <c r="G460" s="46" t="s">
        <v>1038</v>
      </c>
      <c r="H460" s="46" t="s">
        <v>1005</v>
      </c>
      <c r="I460" s="46" t="s">
        <v>536</v>
      </c>
      <c r="J460" s="46" t="s">
        <v>977</v>
      </c>
      <c r="K460" s="43">
        <v>12</v>
      </c>
      <c r="L460" s="43">
        <v>7</v>
      </c>
      <c r="M460" s="47">
        <v>1.5</v>
      </c>
      <c r="N460" s="47">
        <v>56.8</v>
      </c>
      <c r="O460" s="46" t="s">
        <v>4295</v>
      </c>
      <c r="P460" s="43">
        <v>331</v>
      </c>
      <c r="Q460" s="43">
        <v>40</v>
      </c>
      <c r="R460" s="45" t="s">
        <v>4296</v>
      </c>
      <c r="S460" s="46" t="s">
        <v>1096</v>
      </c>
    </row>
    <row r="461" spans="1:19" ht="31.5">
      <c r="A461" s="43">
        <v>457</v>
      </c>
      <c r="B461" s="43">
        <v>410</v>
      </c>
      <c r="C461" s="43">
        <v>620</v>
      </c>
      <c r="D461" s="44">
        <v>45565</v>
      </c>
      <c r="E461" s="45" t="s">
        <v>2904</v>
      </c>
      <c r="F461" s="46" t="s">
        <v>37</v>
      </c>
      <c r="G461" s="46" t="s">
        <v>1038</v>
      </c>
      <c r="H461" s="46" t="s">
        <v>1005</v>
      </c>
      <c r="I461" s="46" t="s">
        <v>515</v>
      </c>
      <c r="J461" s="46" t="s">
        <v>977</v>
      </c>
      <c r="K461" s="43">
        <v>21</v>
      </c>
      <c r="L461" s="43">
        <v>694</v>
      </c>
      <c r="M461" s="47">
        <v>3.0215827338129497E-2</v>
      </c>
      <c r="N461" s="47">
        <v>56.5</v>
      </c>
      <c r="O461" s="46" t="s">
        <v>4295</v>
      </c>
      <c r="P461" s="43">
        <v>773</v>
      </c>
      <c r="Q461" s="43">
        <v>30</v>
      </c>
      <c r="R461" s="45" t="s">
        <v>4283</v>
      </c>
      <c r="S461" s="46" t="s">
        <v>2905</v>
      </c>
    </row>
    <row r="462" spans="1:19" ht="42">
      <c r="A462" s="43">
        <v>458</v>
      </c>
      <c r="B462" s="43">
        <v>411</v>
      </c>
      <c r="C462" s="43">
        <v>617</v>
      </c>
      <c r="D462" s="44">
        <v>45563</v>
      </c>
      <c r="E462" s="45" t="s">
        <v>2913</v>
      </c>
      <c r="F462" s="46" t="s">
        <v>37</v>
      </c>
      <c r="G462" s="46" t="s">
        <v>878</v>
      </c>
      <c r="H462" s="46" t="s">
        <v>965</v>
      </c>
      <c r="I462" s="46" t="s">
        <v>515</v>
      </c>
      <c r="J462" s="46" t="s">
        <v>977</v>
      </c>
      <c r="K462" s="43">
        <v>21</v>
      </c>
      <c r="L462" s="43">
        <v>696</v>
      </c>
      <c r="M462" s="47">
        <v>3.0129124820659971E-2</v>
      </c>
      <c r="N462" s="47">
        <v>56.4</v>
      </c>
      <c r="O462" s="46" t="s">
        <v>4295</v>
      </c>
      <c r="P462" s="43">
        <v>20</v>
      </c>
      <c r="Q462" s="43">
        <v>10</v>
      </c>
      <c r="R462" s="45" t="s">
        <v>4281</v>
      </c>
      <c r="S462" s="46" t="s">
        <v>2914</v>
      </c>
    </row>
    <row r="463" spans="1:19" ht="42">
      <c r="A463" s="43">
        <v>459</v>
      </c>
      <c r="B463" s="43">
        <v>412</v>
      </c>
      <c r="C463" s="43">
        <v>613</v>
      </c>
      <c r="D463" s="44">
        <v>45563</v>
      </c>
      <c r="E463" s="45" t="s">
        <v>2940</v>
      </c>
      <c r="F463" s="46" t="s">
        <v>37</v>
      </c>
      <c r="G463" s="46" t="s">
        <v>1038</v>
      </c>
      <c r="H463" s="46" t="s">
        <v>1038</v>
      </c>
      <c r="I463" s="46" t="s">
        <v>515</v>
      </c>
      <c r="J463" s="46" t="s">
        <v>968</v>
      </c>
      <c r="K463" s="43">
        <v>21</v>
      </c>
      <c r="L463" s="43">
        <v>696</v>
      </c>
      <c r="M463" s="47">
        <v>3.0129124820659971E-2</v>
      </c>
      <c r="N463" s="47">
        <v>56.4</v>
      </c>
      <c r="O463" s="46" t="s">
        <v>4295</v>
      </c>
      <c r="P463" s="43">
        <v>647</v>
      </c>
      <c r="Q463" s="43">
        <v>20</v>
      </c>
      <c r="R463" s="45" t="s">
        <v>4278</v>
      </c>
      <c r="S463" s="46" t="s">
        <v>2941</v>
      </c>
    </row>
    <row r="464" spans="1:19" ht="31.5">
      <c r="A464" s="43">
        <v>460</v>
      </c>
      <c r="B464" s="43">
        <v>557</v>
      </c>
      <c r="C464" s="43">
        <v>1201</v>
      </c>
      <c r="D464" s="44">
        <v>46126</v>
      </c>
      <c r="E464" s="45" t="s">
        <v>1725</v>
      </c>
      <c r="F464" s="46" t="s">
        <v>37</v>
      </c>
      <c r="G464" s="46" t="s">
        <v>885</v>
      </c>
      <c r="H464" s="46" t="s">
        <v>965</v>
      </c>
      <c r="I464" s="46" t="s">
        <v>519</v>
      </c>
      <c r="J464" s="46" t="s">
        <v>977</v>
      </c>
      <c r="K464" s="43">
        <v>15</v>
      </c>
      <c r="L464" s="43">
        <v>133</v>
      </c>
      <c r="M464" s="47">
        <v>0.11194029850746269</v>
      </c>
      <c r="N464" s="47">
        <v>56.4</v>
      </c>
      <c r="O464" s="46" t="s">
        <v>4295</v>
      </c>
      <c r="P464" s="43">
        <v>241</v>
      </c>
      <c r="Q464" s="43">
        <v>30</v>
      </c>
      <c r="R464" s="45" t="s">
        <v>4279</v>
      </c>
      <c r="S464" s="46" t="s">
        <v>1726</v>
      </c>
    </row>
    <row r="465" spans="1:19" ht="42">
      <c r="A465" s="43">
        <v>461</v>
      </c>
      <c r="B465" s="43">
        <v>332</v>
      </c>
      <c r="C465" s="43">
        <v>93</v>
      </c>
      <c r="D465" s="44">
        <v>44885</v>
      </c>
      <c r="E465" s="45" t="s">
        <v>3919</v>
      </c>
      <c r="F465" s="46" t="s">
        <v>37</v>
      </c>
      <c r="G465" s="46" t="s">
        <v>1038</v>
      </c>
      <c r="H465" s="46" t="s">
        <v>1038</v>
      </c>
      <c r="I465" s="46" t="s">
        <v>515</v>
      </c>
      <c r="J465" s="46" t="s">
        <v>968</v>
      </c>
      <c r="K465" s="43">
        <v>25</v>
      </c>
      <c r="L465" s="43">
        <v>1374</v>
      </c>
      <c r="M465" s="47">
        <v>1.8181818181818181E-2</v>
      </c>
      <c r="N465" s="47">
        <v>56.2</v>
      </c>
      <c r="O465" s="46" t="s">
        <v>4295</v>
      </c>
      <c r="P465" s="43">
        <v>247</v>
      </c>
      <c r="Q465" s="43">
        <v>10</v>
      </c>
      <c r="R465" s="45" t="s">
        <v>4281</v>
      </c>
      <c r="S465" s="46" t="s">
        <v>3920</v>
      </c>
    </row>
    <row r="466" spans="1:19" ht="42">
      <c r="A466" s="43">
        <v>462</v>
      </c>
      <c r="B466" s="43">
        <v>433</v>
      </c>
      <c r="C466" s="43">
        <v>869</v>
      </c>
      <c r="D466" s="44">
        <v>45666</v>
      </c>
      <c r="E466" s="45" t="s">
        <v>2615</v>
      </c>
      <c r="F466" s="46" t="s">
        <v>371</v>
      </c>
      <c r="G466" s="46" t="s">
        <v>904</v>
      </c>
      <c r="H466" s="46" t="s">
        <v>965</v>
      </c>
      <c r="I466" s="46" t="s">
        <v>522</v>
      </c>
      <c r="J466" s="46" t="s">
        <v>977</v>
      </c>
      <c r="K466" s="43">
        <v>20</v>
      </c>
      <c r="L466" s="43">
        <v>593</v>
      </c>
      <c r="M466" s="47">
        <v>3.3670033670033669E-2</v>
      </c>
      <c r="N466" s="47">
        <v>56</v>
      </c>
      <c r="O466" s="46" t="s">
        <v>4295</v>
      </c>
      <c r="P466" s="43">
        <v>694</v>
      </c>
      <c r="Q466" s="43">
        <v>20</v>
      </c>
      <c r="R466" s="45" t="s">
        <v>4278</v>
      </c>
      <c r="S466" s="46" t="s">
        <v>2616</v>
      </c>
    </row>
    <row r="467" spans="1:19" ht="42">
      <c r="A467" s="43">
        <v>463</v>
      </c>
      <c r="B467" s="43">
        <v>476</v>
      </c>
      <c r="C467" s="43">
        <v>765</v>
      </c>
      <c r="D467" s="44">
        <v>45847</v>
      </c>
      <c r="E467" s="45" t="s">
        <v>2316</v>
      </c>
      <c r="F467" s="46" t="s">
        <v>37</v>
      </c>
      <c r="G467" s="46" t="s">
        <v>882</v>
      </c>
      <c r="H467" s="46" t="s">
        <v>965</v>
      </c>
      <c r="I467" s="46" t="s">
        <v>530</v>
      </c>
      <c r="J467" s="46" t="s">
        <v>977</v>
      </c>
      <c r="K467" s="43">
        <v>18</v>
      </c>
      <c r="L467" s="43">
        <v>412</v>
      </c>
      <c r="M467" s="47">
        <v>4.3583535108958835E-2</v>
      </c>
      <c r="N467" s="47">
        <v>55.9</v>
      </c>
      <c r="O467" s="46" t="s">
        <v>4295</v>
      </c>
      <c r="P467" s="43">
        <v>571</v>
      </c>
      <c r="Q467" s="43">
        <v>20</v>
      </c>
      <c r="R467" s="45" t="s">
        <v>4278</v>
      </c>
      <c r="S467" s="46" t="s">
        <v>2317</v>
      </c>
    </row>
    <row r="468" spans="1:19" ht="42">
      <c r="A468" s="43">
        <v>464</v>
      </c>
      <c r="B468" s="43">
        <v>477</v>
      </c>
      <c r="C468" s="43">
        <v>1062</v>
      </c>
      <c r="D468" s="44">
        <v>45846</v>
      </c>
      <c r="E468" s="45" t="s">
        <v>2322</v>
      </c>
      <c r="F468" s="46" t="s">
        <v>382</v>
      </c>
      <c r="G468" s="46" t="s">
        <v>882</v>
      </c>
      <c r="H468" s="46" t="s">
        <v>965</v>
      </c>
      <c r="I468" s="46" t="s">
        <v>512</v>
      </c>
      <c r="J468" s="46" t="s">
        <v>977</v>
      </c>
      <c r="K468" s="43">
        <v>18</v>
      </c>
      <c r="L468" s="43">
        <v>413</v>
      </c>
      <c r="M468" s="47">
        <v>4.3478260869565216E-2</v>
      </c>
      <c r="N468" s="47">
        <v>55.9</v>
      </c>
      <c r="O468" s="46" t="s">
        <v>4295</v>
      </c>
      <c r="P468" s="43">
        <v>235</v>
      </c>
      <c r="Q468" s="43">
        <v>10</v>
      </c>
      <c r="R468" s="45" t="s">
        <v>4281</v>
      </c>
      <c r="S468" s="46" t="s">
        <v>2323</v>
      </c>
    </row>
    <row r="469" spans="1:19" ht="42">
      <c r="A469" s="43">
        <v>465</v>
      </c>
      <c r="B469" s="43">
        <v>394</v>
      </c>
      <c r="C469" s="43">
        <v>371</v>
      </c>
      <c r="D469" s="44">
        <v>45303</v>
      </c>
      <c r="E469" s="45" t="s">
        <v>3453</v>
      </c>
      <c r="F469" s="46" t="s">
        <v>37</v>
      </c>
      <c r="G469" s="46" t="s">
        <v>900</v>
      </c>
      <c r="H469" s="46" t="s">
        <v>965</v>
      </c>
      <c r="I469" s="46" t="s">
        <v>515</v>
      </c>
      <c r="J469" s="46" t="s">
        <v>977</v>
      </c>
      <c r="K469" s="43">
        <v>22</v>
      </c>
      <c r="L469" s="43">
        <v>956</v>
      </c>
      <c r="M469" s="47">
        <v>2.2988505747126436E-2</v>
      </c>
      <c r="N469" s="47">
        <v>55.3</v>
      </c>
      <c r="O469" s="46" t="s">
        <v>4295</v>
      </c>
      <c r="P469" s="43">
        <v>239</v>
      </c>
      <c r="Q469" s="43">
        <v>20</v>
      </c>
      <c r="R469" s="45" t="s">
        <v>4275</v>
      </c>
      <c r="S469" s="46" t="s">
        <v>3454</v>
      </c>
    </row>
    <row r="470" spans="1:19" ht="42">
      <c r="A470" s="43">
        <v>466</v>
      </c>
      <c r="B470" s="43">
        <v>478</v>
      </c>
      <c r="C470" s="43">
        <v>761</v>
      </c>
      <c r="D470" s="44">
        <v>45836</v>
      </c>
      <c r="E470" s="45" t="s">
        <v>2349</v>
      </c>
      <c r="F470" s="46" t="s">
        <v>37</v>
      </c>
      <c r="G470" s="46" t="s">
        <v>1038</v>
      </c>
      <c r="H470" s="46" t="s">
        <v>1005</v>
      </c>
      <c r="I470" s="46" t="s">
        <v>526</v>
      </c>
      <c r="J470" s="46" t="s">
        <v>968</v>
      </c>
      <c r="K470" s="43">
        <v>18</v>
      </c>
      <c r="L470" s="43">
        <v>423</v>
      </c>
      <c r="M470" s="47">
        <v>4.2452830188679243E-2</v>
      </c>
      <c r="N470" s="47">
        <v>55.3</v>
      </c>
      <c r="O470" s="46" t="s">
        <v>4295</v>
      </c>
      <c r="P470" s="43">
        <v>656</v>
      </c>
      <c r="Q470" s="43">
        <v>20</v>
      </c>
      <c r="R470" s="45" t="s">
        <v>4278</v>
      </c>
      <c r="S470" s="46" t="s">
        <v>2350</v>
      </c>
    </row>
    <row r="471" spans="1:19" ht="42">
      <c r="A471" s="43">
        <v>467</v>
      </c>
      <c r="B471" s="43">
        <v>505</v>
      </c>
      <c r="C471" s="43">
        <v>790</v>
      </c>
      <c r="D471" s="44">
        <v>45911</v>
      </c>
      <c r="E471" s="45" t="s">
        <v>2161</v>
      </c>
      <c r="F471" s="46" t="s">
        <v>37</v>
      </c>
      <c r="G471" s="46" t="s">
        <v>891</v>
      </c>
      <c r="H471" s="46" t="s">
        <v>965</v>
      </c>
      <c r="I471" s="46" t="s">
        <v>515</v>
      </c>
      <c r="J471" s="46" t="s">
        <v>977</v>
      </c>
      <c r="K471" s="43">
        <v>17</v>
      </c>
      <c r="L471" s="43">
        <v>348</v>
      </c>
      <c r="M471" s="47">
        <v>4.8710601719197708E-2</v>
      </c>
      <c r="N471" s="47">
        <v>55.2</v>
      </c>
      <c r="O471" s="46" t="s">
        <v>4295</v>
      </c>
      <c r="P471" s="43">
        <v>426</v>
      </c>
      <c r="Q471" s="43">
        <v>10</v>
      </c>
      <c r="R471" s="45" t="s">
        <v>4281</v>
      </c>
      <c r="S471" s="46" t="s">
        <v>2162</v>
      </c>
    </row>
    <row r="472" spans="1:19" ht="31.5">
      <c r="A472" s="43">
        <v>468</v>
      </c>
      <c r="B472" s="43">
        <v>479</v>
      </c>
      <c r="C472" s="43">
        <v>927</v>
      </c>
      <c r="D472" s="44">
        <v>45832</v>
      </c>
      <c r="E472" s="45" t="s">
        <v>2358</v>
      </c>
      <c r="F472" s="46" t="s">
        <v>371</v>
      </c>
      <c r="G472" s="46" t="s">
        <v>894</v>
      </c>
      <c r="H472" s="46" t="s">
        <v>965</v>
      </c>
      <c r="I472" s="46" t="s">
        <v>519</v>
      </c>
      <c r="J472" s="46" t="s">
        <v>977</v>
      </c>
      <c r="K472" s="43">
        <v>18</v>
      </c>
      <c r="L472" s="43">
        <v>427</v>
      </c>
      <c r="M472" s="47">
        <v>4.2056074766355138E-2</v>
      </c>
      <c r="N472" s="47">
        <v>55.1</v>
      </c>
      <c r="O472" s="46" t="s">
        <v>4295</v>
      </c>
      <c r="P472" s="43">
        <v>991</v>
      </c>
      <c r="Q472" s="43">
        <v>30</v>
      </c>
      <c r="R472" s="45" t="s">
        <v>4283</v>
      </c>
      <c r="S472" s="46" t="s">
        <v>2359</v>
      </c>
    </row>
    <row r="473" spans="1:19" ht="42">
      <c r="A473" s="43">
        <v>469</v>
      </c>
      <c r="B473" s="43">
        <v>529</v>
      </c>
      <c r="C473" s="43">
        <v>1139</v>
      </c>
      <c r="D473" s="44">
        <v>45994</v>
      </c>
      <c r="E473" s="45" t="s">
        <v>2035</v>
      </c>
      <c r="F473" s="46" t="s">
        <v>360</v>
      </c>
      <c r="G473" s="46" t="s">
        <v>878</v>
      </c>
      <c r="H473" s="46" t="s">
        <v>1317</v>
      </c>
      <c r="I473" s="46" t="s">
        <v>512</v>
      </c>
      <c r="J473" s="46" t="s">
        <v>977</v>
      </c>
      <c r="K473" s="43">
        <v>16</v>
      </c>
      <c r="L473" s="43">
        <v>265</v>
      </c>
      <c r="M473" s="47">
        <v>6.0150375939849621E-2</v>
      </c>
      <c r="N473" s="47">
        <v>55</v>
      </c>
      <c r="O473" s="46" t="s">
        <v>4295</v>
      </c>
      <c r="P473" s="43">
        <v>547</v>
      </c>
      <c r="Q473" s="43">
        <v>20</v>
      </c>
      <c r="R473" s="45" t="s">
        <v>4278</v>
      </c>
      <c r="S473" s="46" t="s">
        <v>2036</v>
      </c>
    </row>
    <row r="474" spans="1:19" ht="42">
      <c r="A474" s="43">
        <v>470</v>
      </c>
      <c r="B474" s="43">
        <v>333</v>
      </c>
      <c r="C474" s="43">
        <v>85</v>
      </c>
      <c r="D474" s="44">
        <v>44712</v>
      </c>
      <c r="E474" s="45" t="s">
        <v>4000</v>
      </c>
      <c r="F474" s="46" t="s">
        <v>37</v>
      </c>
      <c r="G474" s="46" t="s">
        <v>926</v>
      </c>
      <c r="H474" s="46" t="s">
        <v>965</v>
      </c>
      <c r="I474" s="46" t="s">
        <v>533</v>
      </c>
      <c r="J474" s="46" t="s">
        <v>977</v>
      </c>
      <c r="K474" s="43">
        <v>25</v>
      </c>
      <c r="L474" s="43">
        <v>1547</v>
      </c>
      <c r="M474" s="47">
        <v>1.614987080103359E-2</v>
      </c>
      <c r="N474" s="47">
        <v>54.9</v>
      </c>
      <c r="O474" s="46" t="s">
        <v>4295</v>
      </c>
      <c r="P474" s="43">
        <v>329</v>
      </c>
      <c r="Q474" s="43">
        <v>20</v>
      </c>
      <c r="R474" s="45" t="s">
        <v>4275</v>
      </c>
      <c r="S474" s="46" t="s">
        <v>4001</v>
      </c>
    </row>
    <row r="475" spans="1:19" ht="42">
      <c r="A475" s="43">
        <v>471</v>
      </c>
      <c r="B475" s="43">
        <v>395</v>
      </c>
      <c r="C475" s="43">
        <v>363</v>
      </c>
      <c r="D475" s="44">
        <v>45269</v>
      </c>
      <c r="E475" s="45" t="s">
        <v>3513</v>
      </c>
      <c r="F475" s="46" t="s">
        <v>37</v>
      </c>
      <c r="G475" s="46" t="s">
        <v>1038</v>
      </c>
      <c r="H475" s="46" t="s">
        <v>1005</v>
      </c>
      <c r="I475" s="46" t="s">
        <v>515</v>
      </c>
      <c r="J475" s="46" t="s">
        <v>968</v>
      </c>
      <c r="K475" s="43">
        <v>22</v>
      </c>
      <c r="L475" s="43">
        <v>990</v>
      </c>
      <c r="M475" s="47">
        <v>2.2199798183652877E-2</v>
      </c>
      <c r="N475" s="47">
        <v>54.9</v>
      </c>
      <c r="O475" s="46" t="s">
        <v>4295</v>
      </c>
      <c r="P475" s="43">
        <v>1660</v>
      </c>
      <c r="Q475" s="43">
        <v>20</v>
      </c>
      <c r="R475" s="45" t="s">
        <v>4278</v>
      </c>
      <c r="S475" s="46" t="s">
        <v>3514</v>
      </c>
    </row>
    <row r="476" spans="1:19" ht="31.5">
      <c r="A476" s="43">
        <v>472</v>
      </c>
      <c r="B476" s="43">
        <v>764</v>
      </c>
      <c r="C476" s="43">
        <v>1499</v>
      </c>
      <c r="D476" s="44">
        <v>46259</v>
      </c>
      <c r="E476" s="45" t="s">
        <v>974</v>
      </c>
      <c r="F476" s="46" t="s">
        <v>37</v>
      </c>
      <c r="G476" s="46" t="s">
        <v>933</v>
      </c>
      <c r="H476" s="46" t="s">
        <v>965</v>
      </c>
      <c r="I476" s="46" t="s">
        <v>522</v>
      </c>
      <c r="J476" s="46" t="s">
        <v>977</v>
      </c>
      <c r="K476" s="43">
        <v>10</v>
      </c>
      <c r="L476" s="43">
        <v>0</v>
      </c>
      <c r="M476" s="47">
        <v>10</v>
      </c>
      <c r="N476" s="47">
        <v>54.9</v>
      </c>
      <c r="O476" s="46" t="s">
        <v>4295</v>
      </c>
      <c r="P476" s="43">
        <v>601</v>
      </c>
      <c r="Q476" s="43">
        <v>50</v>
      </c>
      <c r="R476" s="45" t="s">
        <v>4264</v>
      </c>
      <c r="S476" s="46" t="s">
        <v>975</v>
      </c>
    </row>
    <row r="477" spans="1:19" ht="42">
      <c r="A477" s="43">
        <v>473</v>
      </c>
      <c r="B477" s="43">
        <v>530</v>
      </c>
      <c r="C477" s="43">
        <v>1136</v>
      </c>
      <c r="D477" s="44">
        <v>45987</v>
      </c>
      <c r="E477" s="45" t="s">
        <v>2047</v>
      </c>
      <c r="F477" s="46" t="s">
        <v>360</v>
      </c>
      <c r="G477" s="46" t="s">
        <v>1038</v>
      </c>
      <c r="H477" s="46" t="s">
        <v>1005</v>
      </c>
      <c r="I477" s="46" t="s">
        <v>515</v>
      </c>
      <c r="J477" s="46" t="s">
        <v>977</v>
      </c>
      <c r="K477" s="43">
        <v>16</v>
      </c>
      <c r="L477" s="43">
        <v>272</v>
      </c>
      <c r="M477" s="47">
        <v>5.8608058608058608E-2</v>
      </c>
      <c r="N477" s="47">
        <v>54.8</v>
      </c>
      <c r="O477" s="46" t="s">
        <v>4295</v>
      </c>
      <c r="P477" s="43">
        <v>328</v>
      </c>
      <c r="Q477" s="43">
        <v>10</v>
      </c>
      <c r="R477" s="45" t="s">
        <v>4281</v>
      </c>
      <c r="S477" s="46" t="s">
        <v>2048</v>
      </c>
    </row>
    <row r="478" spans="1:19" ht="42">
      <c r="A478" s="43">
        <v>474</v>
      </c>
      <c r="B478" s="43">
        <v>587</v>
      </c>
      <c r="C478" s="43">
        <v>1239</v>
      </c>
      <c r="D478" s="44">
        <v>46140</v>
      </c>
      <c r="E478" s="45" t="s">
        <v>1686</v>
      </c>
      <c r="F478" s="46" t="s">
        <v>37</v>
      </c>
      <c r="G478" s="46" t="s">
        <v>939</v>
      </c>
      <c r="H478" s="46" t="s">
        <v>1317</v>
      </c>
      <c r="I478" s="46" t="s">
        <v>522</v>
      </c>
      <c r="J478" s="46" t="s">
        <v>977</v>
      </c>
      <c r="K478" s="43">
        <v>14</v>
      </c>
      <c r="L478" s="43">
        <v>119</v>
      </c>
      <c r="M478" s="47">
        <v>0.11666666666666667</v>
      </c>
      <c r="N478" s="47">
        <v>54.8</v>
      </c>
      <c r="O478" s="46" t="s">
        <v>4295</v>
      </c>
      <c r="P478" s="43">
        <v>291</v>
      </c>
      <c r="Q478" s="43">
        <v>20</v>
      </c>
      <c r="R478" s="45" t="s">
        <v>4275</v>
      </c>
      <c r="S478" s="46" t="s">
        <v>1687</v>
      </c>
    </row>
    <row r="479" spans="1:19" ht="42">
      <c r="A479" s="43">
        <v>475</v>
      </c>
      <c r="B479" s="43">
        <v>531</v>
      </c>
      <c r="C479" s="43">
        <v>800</v>
      </c>
      <c r="D479" s="44">
        <v>45984</v>
      </c>
      <c r="E479" s="45" t="s">
        <v>2059</v>
      </c>
      <c r="F479" s="46" t="s">
        <v>37</v>
      </c>
      <c r="G479" s="46" t="s">
        <v>882</v>
      </c>
      <c r="H479" s="46" t="s">
        <v>965</v>
      </c>
      <c r="I479" s="46" t="s">
        <v>512</v>
      </c>
      <c r="J479" s="46" t="s">
        <v>977</v>
      </c>
      <c r="K479" s="43">
        <v>16</v>
      </c>
      <c r="L479" s="43">
        <v>275</v>
      </c>
      <c r="M479" s="47">
        <v>5.7971014492753624E-2</v>
      </c>
      <c r="N479" s="47">
        <v>54.7</v>
      </c>
      <c r="O479" s="46" t="s">
        <v>4295</v>
      </c>
      <c r="P479" s="43">
        <v>624</v>
      </c>
      <c r="Q479" s="43">
        <v>20</v>
      </c>
      <c r="R479" s="45" t="s">
        <v>4278</v>
      </c>
      <c r="S479" s="46" t="s">
        <v>2060</v>
      </c>
    </row>
    <row r="480" spans="1:19" ht="42">
      <c r="A480" s="43">
        <v>476</v>
      </c>
      <c r="B480" s="43">
        <v>558</v>
      </c>
      <c r="C480" s="43">
        <v>1172</v>
      </c>
      <c r="D480" s="44">
        <v>46069</v>
      </c>
      <c r="E480" s="45" t="s">
        <v>1791</v>
      </c>
      <c r="F480" s="46" t="s">
        <v>37</v>
      </c>
      <c r="G480" s="46" t="s">
        <v>882</v>
      </c>
      <c r="H480" s="46" t="s">
        <v>965</v>
      </c>
      <c r="I480" s="46" t="s">
        <v>522</v>
      </c>
      <c r="J480" s="46" t="s">
        <v>977</v>
      </c>
      <c r="K480" s="43">
        <v>15</v>
      </c>
      <c r="L480" s="43">
        <v>190</v>
      </c>
      <c r="M480" s="47">
        <v>7.8534031413612565E-2</v>
      </c>
      <c r="N480" s="47">
        <v>54.7</v>
      </c>
      <c r="O480" s="46" t="s">
        <v>4295</v>
      </c>
      <c r="P480" s="43">
        <v>332</v>
      </c>
      <c r="Q480" s="43">
        <v>20</v>
      </c>
      <c r="R480" s="45" t="s">
        <v>4272</v>
      </c>
      <c r="S480" s="46" t="s">
        <v>1792</v>
      </c>
    </row>
    <row r="481" spans="1:19" ht="42">
      <c r="A481" s="43">
        <v>477</v>
      </c>
      <c r="B481" s="43">
        <v>434</v>
      </c>
      <c r="C481" s="43">
        <v>595</v>
      </c>
      <c r="D481" s="44">
        <v>45534</v>
      </c>
      <c r="E481" s="45" t="s">
        <v>3015</v>
      </c>
      <c r="F481" s="46" t="s">
        <v>37</v>
      </c>
      <c r="G481" s="46" t="s">
        <v>893</v>
      </c>
      <c r="H481" s="46" t="s">
        <v>965</v>
      </c>
      <c r="I481" s="46" t="s">
        <v>515</v>
      </c>
      <c r="J481" s="46" t="s">
        <v>977</v>
      </c>
      <c r="K481" s="43">
        <v>20</v>
      </c>
      <c r="L481" s="43">
        <v>725</v>
      </c>
      <c r="M481" s="47">
        <v>2.7548209366391185E-2</v>
      </c>
      <c r="N481" s="47">
        <v>54.4</v>
      </c>
      <c r="O481" s="46" t="s">
        <v>4295</v>
      </c>
      <c r="P481" s="43">
        <v>2885</v>
      </c>
      <c r="Q481" s="43">
        <v>20</v>
      </c>
      <c r="R481" s="45" t="s">
        <v>4278</v>
      </c>
      <c r="S481" s="46" t="s">
        <v>3016</v>
      </c>
    </row>
    <row r="482" spans="1:19" ht="42">
      <c r="A482" s="43">
        <v>478</v>
      </c>
      <c r="B482" s="43">
        <v>449</v>
      </c>
      <c r="C482" s="43">
        <v>712</v>
      </c>
      <c r="D482" s="44">
        <v>45661</v>
      </c>
      <c r="E482" s="45" t="s">
        <v>2639</v>
      </c>
      <c r="F482" s="46" t="s">
        <v>37</v>
      </c>
      <c r="G482" s="46" t="s">
        <v>889</v>
      </c>
      <c r="H482" s="46" t="s">
        <v>965</v>
      </c>
      <c r="I482" s="46" t="s">
        <v>512</v>
      </c>
      <c r="J482" s="46" t="s">
        <v>977</v>
      </c>
      <c r="K482" s="43">
        <v>19</v>
      </c>
      <c r="L482" s="43">
        <v>598</v>
      </c>
      <c r="M482" s="47">
        <v>3.1719532554257093E-2</v>
      </c>
      <c r="N482" s="47">
        <v>54.3</v>
      </c>
      <c r="O482" s="46" t="s">
        <v>4295</v>
      </c>
      <c r="P482" s="43">
        <v>1301</v>
      </c>
      <c r="Q482" s="43">
        <v>20</v>
      </c>
      <c r="R482" s="45" t="s">
        <v>4278</v>
      </c>
      <c r="S482" s="46" t="s">
        <v>2640</v>
      </c>
    </row>
    <row r="483" spans="1:19" ht="42">
      <c r="A483" s="43">
        <v>479</v>
      </c>
      <c r="B483" s="43">
        <v>450</v>
      </c>
      <c r="C483" s="43">
        <v>718</v>
      </c>
      <c r="D483" s="44">
        <v>45657</v>
      </c>
      <c r="E483" s="45" t="s">
        <v>2675</v>
      </c>
      <c r="F483" s="46" t="s">
        <v>37</v>
      </c>
      <c r="G483" s="46" t="s">
        <v>905</v>
      </c>
      <c r="H483" s="46" t="s">
        <v>1317</v>
      </c>
      <c r="I483" s="46" t="s">
        <v>515</v>
      </c>
      <c r="J483" s="46" t="s">
        <v>968</v>
      </c>
      <c r="K483" s="43">
        <v>19</v>
      </c>
      <c r="L483" s="43">
        <v>602</v>
      </c>
      <c r="M483" s="47">
        <v>3.150912106135987E-2</v>
      </c>
      <c r="N483" s="47">
        <v>54.2</v>
      </c>
      <c r="O483" s="46" t="s">
        <v>4295</v>
      </c>
      <c r="P483" s="43">
        <v>1803</v>
      </c>
      <c r="Q483" s="43">
        <v>20</v>
      </c>
      <c r="R483" s="45" t="s">
        <v>4278</v>
      </c>
      <c r="S483" s="46" t="s">
        <v>2676</v>
      </c>
    </row>
    <row r="484" spans="1:19" ht="31.5">
      <c r="A484" s="43">
        <v>480</v>
      </c>
      <c r="B484" s="43">
        <v>765</v>
      </c>
      <c r="C484" s="43">
        <v>1491</v>
      </c>
      <c r="D484" s="44">
        <v>46258</v>
      </c>
      <c r="E484" s="45" t="s">
        <v>1010</v>
      </c>
      <c r="F484" s="46" t="s">
        <v>37</v>
      </c>
      <c r="G484" s="46" t="s">
        <v>891</v>
      </c>
      <c r="H484" s="46" t="s">
        <v>965</v>
      </c>
      <c r="I484" s="46" t="s">
        <v>530</v>
      </c>
      <c r="J484" s="46" t="s">
        <v>977</v>
      </c>
      <c r="K484" s="43">
        <v>10</v>
      </c>
      <c r="L484" s="43">
        <v>1</v>
      </c>
      <c r="M484" s="47">
        <v>5</v>
      </c>
      <c r="N484" s="47">
        <v>54.2</v>
      </c>
      <c r="O484" s="46" t="s">
        <v>4295</v>
      </c>
      <c r="P484" s="43">
        <v>895</v>
      </c>
      <c r="Q484" s="43">
        <v>50</v>
      </c>
      <c r="R484" s="45" t="s">
        <v>4264</v>
      </c>
      <c r="S484" s="46" t="s">
        <v>1011</v>
      </c>
    </row>
    <row r="485" spans="1:19" ht="42">
      <c r="A485" s="43">
        <v>481</v>
      </c>
      <c r="B485" s="43">
        <v>435</v>
      </c>
      <c r="C485" s="43">
        <v>561</v>
      </c>
      <c r="D485" s="44">
        <v>45495</v>
      </c>
      <c r="E485" s="45" t="s">
        <v>3072</v>
      </c>
      <c r="F485" s="46" t="s">
        <v>37</v>
      </c>
      <c r="G485" s="46" t="s">
        <v>885</v>
      </c>
      <c r="H485" s="46" t="s">
        <v>965</v>
      </c>
      <c r="I485" s="46" t="s">
        <v>512</v>
      </c>
      <c r="J485" s="46" t="s">
        <v>968</v>
      </c>
      <c r="K485" s="43">
        <v>20</v>
      </c>
      <c r="L485" s="43">
        <v>764</v>
      </c>
      <c r="M485" s="47">
        <v>2.6143790849673203E-2</v>
      </c>
      <c r="N485" s="47">
        <v>54.1</v>
      </c>
      <c r="O485" s="46" t="s">
        <v>4295</v>
      </c>
      <c r="P485" s="43">
        <v>313</v>
      </c>
      <c r="Q485" s="43">
        <v>20</v>
      </c>
      <c r="R485" s="45" t="s">
        <v>4275</v>
      </c>
      <c r="S485" s="46" t="s">
        <v>3073</v>
      </c>
    </row>
    <row r="486" spans="1:19" ht="31.5">
      <c r="A486" s="43">
        <v>482</v>
      </c>
      <c r="B486" s="43">
        <v>480</v>
      </c>
      <c r="C486" s="43">
        <v>748</v>
      </c>
      <c r="D486" s="44">
        <v>45782</v>
      </c>
      <c r="E486" s="45" t="s">
        <v>2442</v>
      </c>
      <c r="F486" s="46" t="s">
        <v>37</v>
      </c>
      <c r="G486" s="46" t="s">
        <v>884</v>
      </c>
      <c r="H486" s="46" t="s">
        <v>1317</v>
      </c>
      <c r="I486" s="46" t="s">
        <v>526</v>
      </c>
      <c r="J486" s="46" t="s">
        <v>968</v>
      </c>
      <c r="K486" s="43">
        <v>18</v>
      </c>
      <c r="L486" s="43">
        <v>477</v>
      </c>
      <c r="M486" s="47">
        <v>3.7656903765690378E-2</v>
      </c>
      <c r="N486" s="47">
        <v>54.1</v>
      </c>
      <c r="O486" s="46" t="s">
        <v>4295</v>
      </c>
      <c r="P486" s="43">
        <v>504</v>
      </c>
      <c r="Q486" s="43">
        <v>30</v>
      </c>
      <c r="R486" s="45" t="s">
        <v>4283</v>
      </c>
      <c r="S486" s="46" t="s">
        <v>2443</v>
      </c>
    </row>
    <row r="487" spans="1:19" ht="42">
      <c r="A487" s="43">
        <v>483</v>
      </c>
      <c r="B487" s="43">
        <v>532</v>
      </c>
      <c r="C487" s="43">
        <v>1120</v>
      </c>
      <c r="D487" s="44">
        <v>45945</v>
      </c>
      <c r="E487" s="45" t="s">
        <v>2104</v>
      </c>
      <c r="F487" s="46" t="s">
        <v>360</v>
      </c>
      <c r="G487" s="46" t="s">
        <v>1038</v>
      </c>
      <c r="H487" s="46" t="s">
        <v>1005</v>
      </c>
      <c r="I487" s="46" t="s">
        <v>512</v>
      </c>
      <c r="J487" s="46" t="s">
        <v>968</v>
      </c>
      <c r="K487" s="43">
        <v>16</v>
      </c>
      <c r="L487" s="43">
        <v>314</v>
      </c>
      <c r="M487" s="47">
        <v>5.0793650793650794E-2</v>
      </c>
      <c r="N487" s="47">
        <v>53.9</v>
      </c>
      <c r="O487" s="46" t="s">
        <v>4295</v>
      </c>
      <c r="P487" s="43">
        <v>236</v>
      </c>
      <c r="Q487" s="43">
        <v>10</v>
      </c>
      <c r="R487" s="45" t="s">
        <v>4281</v>
      </c>
      <c r="S487" s="46" t="s">
        <v>2105</v>
      </c>
    </row>
    <row r="488" spans="1:19" ht="42">
      <c r="A488" s="43">
        <v>484</v>
      </c>
      <c r="B488" s="43">
        <v>413</v>
      </c>
      <c r="C488" s="43">
        <v>413</v>
      </c>
      <c r="D488" s="44">
        <v>45322</v>
      </c>
      <c r="E488" s="45" t="s">
        <v>3370</v>
      </c>
      <c r="F488" s="46" t="s">
        <v>37</v>
      </c>
      <c r="G488" s="46" t="s">
        <v>885</v>
      </c>
      <c r="H488" s="46" t="s">
        <v>965</v>
      </c>
      <c r="I488" s="46" t="s">
        <v>522</v>
      </c>
      <c r="J488" s="46" t="s">
        <v>968</v>
      </c>
      <c r="K488" s="43">
        <v>21</v>
      </c>
      <c r="L488" s="43">
        <v>937</v>
      </c>
      <c r="M488" s="47">
        <v>2.2388059701492536E-2</v>
      </c>
      <c r="N488" s="47">
        <v>53.7</v>
      </c>
      <c r="O488" s="46" t="s">
        <v>4295</v>
      </c>
      <c r="P488" s="43">
        <v>539</v>
      </c>
      <c r="Q488" s="43">
        <v>20</v>
      </c>
      <c r="R488" s="45" t="s">
        <v>4278</v>
      </c>
      <c r="S488" s="46" t="s">
        <v>3371</v>
      </c>
    </row>
    <row r="489" spans="1:19" ht="42">
      <c r="A489" s="43">
        <v>485</v>
      </c>
      <c r="B489" s="43">
        <v>506</v>
      </c>
      <c r="C489" s="43">
        <v>768</v>
      </c>
      <c r="D489" s="44">
        <v>45863</v>
      </c>
      <c r="E489" s="45" t="s">
        <v>2271</v>
      </c>
      <c r="F489" s="46" t="s">
        <v>37</v>
      </c>
      <c r="G489" s="46" t="s">
        <v>1038</v>
      </c>
      <c r="H489" s="46" t="s">
        <v>1038</v>
      </c>
      <c r="I489" s="46" t="s">
        <v>515</v>
      </c>
      <c r="J489" s="46" t="s">
        <v>968</v>
      </c>
      <c r="K489" s="43">
        <v>17</v>
      </c>
      <c r="L489" s="43">
        <v>396</v>
      </c>
      <c r="M489" s="47">
        <v>4.2821158690176324E-2</v>
      </c>
      <c r="N489" s="47">
        <v>53.7</v>
      </c>
      <c r="O489" s="46" t="s">
        <v>4295</v>
      </c>
      <c r="P489" s="43">
        <v>253</v>
      </c>
      <c r="Q489" s="43">
        <v>10</v>
      </c>
      <c r="R489" s="45" t="s">
        <v>4281</v>
      </c>
      <c r="S489" s="46" t="s">
        <v>2272</v>
      </c>
    </row>
    <row r="490" spans="1:19" ht="31.5">
      <c r="A490" s="43">
        <v>486</v>
      </c>
      <c r="B490" s="43">
        <v>588</v>
      </c>
      <c r="C490" s="43">
        <v>1190</v>
      </c>
      <c r="D490" s="44">
        <v>46108</v>
      </c>
      <c r="E490" s="45" t="s">
        <v>1749</v>
      </c>
      <c r="F490" s="46" t="s">
        <v>37</v>
      </c>
      <c r="G490" s="46" t="s">
        <v>1038</v>
      </c>
      <c r="H490" s="46" t="s">
        <v>1005</v>
      </c>
      <c r="I490" s="46" t="s">
        <v>522</v>
      </c>
      <c r="J490" s="46" t="s">
        <v>977</v>
      </c>
      <c r="K490" s="43">
        <v>14</v>
      </c>
      <c r="L490" s="43">
        <v>151</v>
      </c>
      <c r="M490" s="47">
        <v>9.2105263157894732E-2</v>
      </c>
      <c r="N490" s="47">
        <v>53.6</v>
      </c>
      <c r="O490" s="46" t="s">
        <v>4295</v>
      </c>
      <c r="P490" s="43">
        <v>342</v>
      </c>
      <c r="Q490" s="43">
        <v>30</v>
      </c>
      <c r="R490" s="45" t="s">
        <v>4279</v>
      </c>
      <c r="S490" s="46" t="s">
        <v>1750</v>
      </c>
    </row>
    <row r="491" spans="1:19" ht="42">
      <c r="A491" s="43">
        <v>487</v>
      </c>
      <c r="B491" s="43">
        <v>507</v>
      </c>
      <c r="C491" s="43">
        <v>943</v>
      </c>
      <c r="D491" s="44">
        <v>45857</v>
      </c>
      <c r="E491" s="45" t="s">
        <v>2289</v>
      </c>
      <c r="F491" s="46" t="s">
        <v>371</v>
      </c>
      <c r="G491" s="46" t="s">
        <v>924</v>
      </c>
      <c r="H491" s="46" t="s">
        <v>1317</v>
      </c>
      <c r="I491" s="46" t="s">
        <v>526</v>
      </c>
      <c r="J491" s="46" t="s">
        <v>968</v>
      </c>
      <c r="K491" s="43">
        <v>17</v>
      </c>
      <c r="L491" s="43">
        <v>402</v>
      </c>
      <c r="M491" s="47">
        <v>4.2183622828784122E-2</v>
      </c>
      <c r="N491" s="47">
        <v>53.5</v>
      </c>
      <c r="O491" s="46" t="s">
        <v>4295</v>
      </c>
      <c r="P491" s="43">
        <v>365</v>
      </c>
      <c r="Q491" s="43">
        <v>20</v>
      </c>
      <c r="R491" s="45" t="s">
        <v>4275</v>
      </c>
      <c r="S491" s="46" t="s">
        <v>2290</v>
      </c>
    </row>
    <row r="492" spans="1:19" ht="42">
      <c r="A492" s="43">
        <v>488</v>
      </c>
      <c r="B492" s="43">
        <v>414</v>
      </c>
      <c r="C492" s="43">
        <v>372</v>
      </c>
      <c r="D492" s="44">
        <v>45303</v>
      </c>
      <c r="E492" s="45" t="s">
        <v>3450</v>
      </c>
      <c r="F492" s="46" t="s">
        <v>37</v>
      </c>
      <c r="G492" s="46" t="s">
        <v>900</v>
      </c>
      <c r="H492" s="46" t="s">
        <v>965</v>
      </c>
      <c r="I492" s="46" t="s">
        <v>533</v>
      </c>
      <c r="J492" s="46" t="s">
        <v>977</v>
      </c>
      <c r="K492" s="43">
        <v>21</v>
      </c>
      <c r="L492" s="43">
        <v>956</v>
      </c>
      <c r="M492" s="47">
        <v>2.1943573667711599E-2</v>
      </c>
      <c r="N492" s="47">
        <v>53.4</v>
      </c>
      <c r="O492" s="46" t="s">
        <v>4295</v>
      </c>
      <c r="P492" s="43">
        <v>385</v>
      </c>
      <c r="Q492" s="43">
        <v>10</v>
      </c>
      <c r="R492" s="45" t="s">
        <v>4281</v>
      </c>
      <c r="S492" s="46" t="s">
        <v>3451</v>
      </c>
    </row>
    <row r="493" spans="1:19" ht="42">
      <c r="A493" s="43">
        <v>489</v>
      </c>
      <c r="B493" s="43">
        <v>436</v>
      </c>
      <c r="C493" s="43">
        <v>529</v>
      </c>
      <c r="D493" s="44">
        <v>45448</v>
      </c>
      <c r="E493" s="45" t="s">
        <v>3138</v>
      </c>
      <c r="F493" s="46" t="s">
        <v>37</v>
      </c>
      <c r="G493" s="46" t="s">
        <v>878</v>
      </c>
      <c r="H493" s="46" t="s">
        <v>965</v>
      </c>
      <c r="I493" s="46" t="s">
        <v>526</v>
      </c>
      <c r="J493" s="46" t="s">
        <v>977</v>
      </c>
      <c r="K493" s="43">
        <v>20</v>
      </c>
      <c r="L493" s="43">
        <v>811</v>
      </c>
      <c r="M493" s="47">
        <v>2.4630541871921183E-2</v>
      </c>
      <c r="N493" s="47">
        <v>53.4</v>
      </c>
      <c r="O493" s="46" t="s">
        <v>4295</v>
      </c>
      <c r="P493" s="43">
        <v>704</v>
      </c>
      <c r="Q493" s="43">
        <v>20</v>
      </c>
      <c r="R493" s="45" t="s">
        <v>4278</v>
      </c>
      <c r="S493" s="46" t="s">
        <v>3139</v>
      </c>
    </row>
    <row r="494" spans="1:19" ht="42">
      <c r="A494" s="43">
        <v>490</v>
      </c>
      <c r="B494" s="43">
        <v>559</v>
      </c>
      <c r="C494" s="43">
        <v>1087</v>
      </c>
      <c r="D494" s="44">
        <v>46016</v>
      </c>
      <c r="E494" s="45" t="s">
        <v>1962</v>
      </c>
      <c r="F494" s="46" t="s">
        <v>382</v>
      </c>
      <c r="G494" s="46" t="s">
        <v>1038</v>
      </c>
      <c r="H494" s="46" t="s">
        <v>1038</v>
      </c>
      <c r="I494" s="46" t="s">
        <v>519</v>
      </c>
      <c r="J494" s="46" t="s">
        <v>977</v>
      </c>
      <c r="K494" s="43">
        <v>15</v>
      </c>
      <c r="L494" s="43">
        <v>243</v>
      </c>
      <c r="M494" s="47">
        <v>6.1475409836065573E-2</v>
      </c>
      <c r="N494" s="47">
        <v>53.4</v>
      </c>
      <c r="O494" s="46" t="s">
        <v>4295</v>
      </c>
      <c r="P494" s="43">
        <v>662</v>
      </c>
      <c r="Q494" s="43">
        <v>20</v>
      </c>
      <c r="R494" s="45" t="s">
        <v>4278</v>
      </c>
      <c r="S494" s="46" t="s">
        <v>1963</v>
      </c>
    </row>
    <row r="495" spans="1:19" ht="42">
      <c r="A495" s="43">
        <v>491</v>
      </c>
      <c r="B495" s="43">
        <v>437</v>
      </c>
      <c r="C495" s="43">
        <v>523</v>
      </c>
      <c r="D495" s="44">
        <v>45429</v>
      </c>
      <c r="E495" s="45" t="s">
        <v>3162</v>
      </c>
      <c r="F495" s="46" t="s">
        <v>37</v>
      </c>
      <c r="G495" s="46" t="s">
        <v>893</v>
      </c>
      <c r="H495" s="46" t="s">
        <v>1317</v>
      </c>
      <c r="I495" s="46" t="s">
        <v>526</v>
      </c>
      <c r="J495" s="46" t="s">
        <v>968</v>
      </c>
      <c r="K495" s="43">
        <v>20</v>
      </c>
      <c r="L495" s="43">
        <v>830</v>
      </c>
      <c r="M495" s="47">
        <v>2.4067388688327317E-2</v>
      </c>
      <c r="N495" s="47">
        <v>53.2</v>
      </c>
      <c r="O495" s="46" t="s">
        <v>4295</v>
      </c>
      <c r="P495" s="43">
        <v>447</v>
      </c>
      <c r="Q495" s="43">
        <v>10</v>
      </c>
      <c r="R495" s="45" t="s">
        <v>4281</v>
      </c>
      <c r="S495" s="46" t="s">
        <v>3163</v>
      </c>
    </row>
    <row r="496" spans="1:19" ht="42">
      <c r="A496" s="43">
        <v>492</v>
      </c>
      <c r="B496" s="43">
        <v>621</v>
      </c>
      <c r="C496" s="43">
        <v>1276</v>
      </c>
      <c r="D496" s="44">
        <v>46163</v>
      </c>
      <c r="E496" s="45" t="s">
        <v>1581</v>
      </c>
      <c r="F496" s="46" t="s">
        <v>37</v>
      </c>
      <c r="G496" s="46" t="s">
        <v>1038</v>
      </c>
      <c r="H496" s="46" t="s">
        <v>1005</v>
      </c>
      <c r="I496" s="46" t="s">
        <v>522</v>
      </c>
      <c r="J496" s="46" t="s">
        <v>977</v>
      </c>
      <c r="K496" s="43">
        <v>13</v>
      </c>
      <c r="L496" s="43">
        <v>96</v>
      </c>
      <c r="M496" s="47">
        <v>0.13402061855670103</v>
      </c>
      <c r="N496" s="47">
        <v>53</v>
      </c>
      <c r="O496" s="46" t="s">
        <v>4295</v>
      </c>
      <c r="P496" s="43">
        <v>283</v>
      </c>
      <c r="Q496" s="43">
        <v>20</v>
      </c>
      <c r="R496" s="45" t="s">
        <v>4272</v>
      </c>
      <c r="S496" s="46" t="s">
        <v>1582</v>
      </c>
    </row>
    <row r="497" spans="1:19" ht="42">
      <c r="A497" s="43">
        <v>493</v>
      </c>
      <c r="B497" s="43">
        <v>438</v>
      </c>
      <c r="C497" s="43">
        <v>503</v>
      </c>
      <c r="D497" s="44">
        <v>45410</v>
      </c>
      <c r="E497" s="45" t="s">
        <v>3199</v>
      </c>
      <c r="F497" s="46" t="s">
        <v>37</v>
      </c>
      <c r="G497" s="46" t="s">
        <v>1038</v>
      </c>
      <c r="H497" s="46" t="s">
        <v>1038</v>
      </c>
      <c r="I497" s="46" t="s">
        <v>533</v>
      </c>
      <c r="J497" s="46" t="s">
        <v>968</v>
      </c>
      <c r="K497" s="43">
        <v>20</v>
      </c>
      <c r="L497" s="43">
        <v>849</v>
      </c>
      <c r="M497" s="47">
        <v>2.3529411764705882E-2</v>
      </c>
      <c r="N497" s="47">
        <v>52.9</v>
      </c>
      <c r="O497" s="46" t="s">
        <v>4295</v>
      </c>
      <c r="P497" s="43">
        <v>141</v>
      </c>
      <c r="Q497" s="43">
        <v>10</v>
      </c>
      <c r="R497" s="45" t="s">
        <v>4281</v>
      </c>
      <c r="S497" s="46" t="s">
        <v>3200</v>
      </c>
    </row>
    <row r="498" spans="1:19" ht="42">
      <c r="A498" s="43">
        <v>494</v>
      </c>
      <c r="B498" s="43">
        <v>415</v>
      </c>
      <c r="C498" s="43">
        <v>329</v>
      </c>
      <c r="D498" s="44">
        <v>45237</v>
      </c>
      <c r="E498" s="45" t="s">
        <v>3540</v>
      </c>
      <c r="F498" s="46" t="s">
        <v>37</v>
      </c>
      <c r="G498" s="46" t="s">
        <v>884</v>
      </c>
      <c r="H498" s="46" t="s">
        <v>965</v>
      </c>
      <c r="I498" s="46" t="s">
        <v>526</v>
      </c>
      <c r="J498" s="46" t="s">
        <v>977</v>
      </c>
      <c r="K498" s="43">
        <v>21</v>
      </c>
      <c r="L498" s="43">
        <v>1022</v>
      </c>
      <c r="M498" s="47">
        <v>2.0527859237536656E-2</v>
      </c>
      <c r="N498" s="47">
        <v>52.8</v>
      </c>
      <c r="O498" s="46" t="s">
        <v>4295</v>
      </c>
      <c r="P498" s="43">
        <v>150</v>
      </c>
      <c r="Q498" s="43">
        <v>10</v>
      </c>
      <c r="R498" s="45" t="s">
        <v>4281</v>
      </c>
      <c r="S498" s="46" t="s">
        <v>3541</v>
      </c>
    </row>
    <row r="499" spans="1:19" ht="42">
      <c r="A499" s="43">
        <v>495</v>
      </c>
      <c r="B499" s="43">
        <v>451</v>
      </c>
      <c r="C499" s="43">
        <v>584</v>
      </c>
      <c r="D499" s="44">
        <v>45527</v>
      </c>
      <c r="E499" s="45" t="s">
        <v>3021</v>
      </c>
      <c r="F499" s="46" t="s">
        <v>37</v>
      </c>
      <c r="G499" s="46" t="s">
        <v>878</v>
      </c>
      <c r="H499" s="46" t="s">
        <v>965</v>
      </c>
      <c r="I499" s="46" t="s">
        <v>526</v>
      </c>
      <c r="J499" s="46" t="s">
        <v>977</v>
      </c>
      <c r="K499" s="43">
        <v>19</v>
      </c>
      <c r="L499" s="43">
        <v>732</v>
      </c>
      <c r="M499" s="47">
        <v>2.5920873124147339E-2</v>
      </c>
      <c r="N499" s="47">
        <v>52.8</v>
      </c>
      <c r="O499" s="46" t="s">
        <v>4295</v>
      </c>
      <c r="P499" s="43">
        <v>222</v>
      </c>
      <c r="Q499" s="43">
        <v>10</v>
      </c>
      <c r="R499" s="45" t="s">
        <v>4281</v>
      </c>
      <c r="S499" s="46" t="s">
        <v>3022</v>
      </c>
    </row>
    <row r="500" spans="1:19" ht="42">
      <c r="A500" s="43">
        <v>496</v>
      </c>
      <c r="B500" s="43">
        <v>508</v>
      </c>
      <c r="C500" s="43">
        <v>917</v>
      </c>
      <c r="D500" s="44">
        <v>45819</v>
      </c>
      <c r="E500" s="45" t="s">
        <v>2399</v>
      </c>
      <c r="F500" s="46" t="s">
        <v>371</v>
      </c>
      <c r="G500" s="46" t="s">
        <v>884</v>
      </c>
      <c r="H500" s="46" t="s">
        <v>965</v>
      </c>
      <c r="I500" s="46" t="s">
        <v>515</v>
      </c>
      <c r="J500" s="46" t="s">
        <v>977</v>
      </c>
      <c r="K500" s="43">
        <v>17</v>
      </c>
      <c r="L500" s="43">
        <v>440</v>
      </c>
      <c r="M500" s="47">
        <v>3.8548752834467119E-2</v>
      </c>
      <c r="N500" s="47">
        <v>52.7</v>
      </c>
      <c r="O500" s="46" t="s">
        <v>4295</v>
      </c>
      <c r="P500" s="43">
        <v>161</v>
      </c>
      <c r="Q500" s="43">
        <v>20</v>
      </c>
      <c r="R500" s="45" t="s">
        <v>4275</v>
      </c>
      <c r="S500" s="46" t="s">
        <v>2400</v>
      </c>
    </row>
    <row r="501" spans="1:19" ht="42">
      <c r="A501" s="43">
        <v>497</v>
      </c>
      <c r="B501" s="43">
        <v>533</v>
      </c>
      <c r="C501" s="43">
        <v>965</v>
      </c>
      <c r="D501" s="44">
        <v>45893</v>
      </c>
      <c r="E501" s="45" t="s">
        <v>2198</v>
      </c>
      <c r="F501" s="46" t="s">
        <v>371</v>
      </c>
      <c r="G501" s="46" t="s">
        <v>885</v>
      </c>
      <c r="H501" s="46" t="s">
        <v>965</v>
      </c>
      <c r="I501" s="46" t="s">
        <v>512</v>
      </c>
      <c r="J501" s="46" t="s">
        <v>977</v>
      </c>
      <c r="K501" s="43">
        <v>16</v>
      </c>
      <c r="L501" s="43">
        <v>366</v>
      </c>
      <c r="M501" s="47">
        <v>4.3596730245231606E-2</v>
      </c>
      <c r="N501" s="47">
        <v>52.6</v>
      </c>
      <c r="O501" s="46" t="s">
        <v>4295</v>
      </c>
      <c r="P501" s="43">
        <v>424</v>
      </c>
      <c r="Q501" s="43">
        <v>20</v>
      </c>
      <c r="R501" s="45" t="s">
        <v>4275</v>
      </c>
      <c r="S501" s="46" t="s">
        <v>2199</v>
      </c>
    </row>
    <row r="502" spans="1:19" ht="42">
      <c r="A502" s="43">
        <v>498</v>
      </c>
      <c r="B502" s="43">
        <v>509</v>
      </c>
      <c r="C502" s="43">
        <v>912</v>
      </c>
      <c r="D502" s="44">
        <v>45810</v>
      </c>
      <c r="E502" s="45" t="s">
        <v>2415</v>
      </c>
      <c r="F502" s="46" t="s">
        <v>371</v>
      </c>
      <c r="G502" s="46" t="s">
        <v>1038</v>
      </c>
      <c r="H502" s="46" t="s">
        <v>1038</v>
      </c>
      <c r="I502" s="46" t="s">
        <v>512</v>
      </c>
      <c r="J502" s="46" t="s">
        <v>977</v>
      </c>
      <c r="K502" s="43">
        <v>17</v>
      </c>
      <c r="L502" s="43">
        <v>449</v>
      </c>
      <c r="M502" s="47">
        <v>3.7777777777777778E-2</v>
      </c>
      <c r="N502" s="47">
        <v>52.5</v>
      </c>
      <c r="O502" s="46" t="s">
        <v>4295</v>
      </c>
      <c r="P502" s="43">
        <v>1259</v>
      </c>
      <c r="Q502" s="43">
        <v>20</v>
      </c>
      <c r="R502" s="45" t="s">
        <v>4278</v>
      </c>
      <c r="S502" s="46" t="s">
        <v>2416</v>
      </c>
    </row>
    <row r="503" spans="1:19" ht="42">
      <c r="A503" s="43">
        <v>499</v>
      </c>
      <c r="B503" s="43">
        <v>481</v>
      </c>
      <c r="C503" s="43">
        <v>1039</v>
      </c>
      <c r="D503" s="44">
        <v>45663</v>
      </c>
      <c r="E503" s="45" t="s">
        <v>2624</v>
      </c>
      <c r="F503" s="46" t="s">
        <v>382</v>
      </c>
      <c r="G503" s="46" t="s">
        <v>916</v>
      </c>
      <c r="H503" s="46" t="s">
        <v>965</v>
      </c>
      <c r="I503" s="46" t="s">
        <v>512</v>
      </c>
      <c r="J503" s="46" t="s">
        <v>968</v>
      </c>
      <c r="K503" s="43">
        <v>18</v>
      </c>
      <c r="L503" s="43">
        <v>596</v>
      </c>
      <c r="M503" s="47">
        <v>3.015075376884422E-2</v>
      </c>
      <c r="N503" s="47">
        <v>52.3</v>
      </c>
      <c r="O503" s="46" t="s">
        <v>4295</v>
      </c>
      <c r="P503" s="43">
        <v>879</v>
      </c>
      <c r="Q503" s="43">
        <v>20</v>
      </c>
      <c r="R503" s="45" t="s">
        <v>4278</v>
      </c>
      <c r="S503" s="46" t="s">
        <v>2625</v>
      </c>
    </row>
    <row r="504" spans="1:19" ht="42">
      <c r="A504" s="43">
        <v>500</v>
      </c>
      <c r="B504" s="43">
        <v>510</v>
      </c>
      <c r="C504" s="43">
        <v>911</v>
      </c>
      <c r="D504" s="44">
        <v>45808</v>
      </c>
      <c r="E504" s="45" t="s">
        <v>2418</v>
      </c>
      <c r="F504" s="46" t="s">
        <v>371</v>
      </c>
      <c r="G504" s="46" t="s">
        <v>904</v>
      </c>
      <c r="H504" s="46" t="s">
        <v>1317</v>
      </c>
      <c r="I504" s="46" t="s">
        <v>512</v>
      </c>
      <c r="J504" s="46" t="s">
        <v>968</v>
      </c>
      <c r="K504" s="43">
        <v>17</v>
      </c>
      <c r="L504" s="43">
        <v>451</v>
      </c>
      <c r="M504" s="47">
        <v>3.7610619469026552E-2</v>
      </c>
      <c r="N504" s="47">
        <v>52.3</v>
      </c>
      <c r="O504" s="46" t="s">
        <v>4295</v>
      </c>
      <c r="P504" s="43">
        <v>386</v>
      </c>
      <c r="Q504" s="43">
        <v>20</v>
      </c>
      <c r="R504" s="45" t="s">
        <v>4275</v>
      </c>
      <c r="S504" s="46" t="s">
        <v>2419</v>
      </c>
    </row>
    <row r="505" spans="1:19" ht="42">
      <c r="A505" s="43">
        <v>501</v>
      </c>
      <c r="B505" s="43">
        <v>482</v>
      </c>
      <c r="C505" s="43">
        <v>709</v>
      </c>
      <c r="D505" s="44">
        <v>45660</v>
      </c>
      <c r="E505" s="45" t="s">
        <v>2648</v>
      </c>
      <c r="F505" s="46" t="s">
        <v>37</v>
      </c>
      <c r="G505" s="46" t="s">
        <v>1038</v>
      </c>
      <c r="H505" s="46" t="s">
        <v>1038</v>
      </c>
      <c r="I505" s="46" t="s">
        <v>512</v>
      </c>
      <c r="J505" s="46" t="s">
        <v>977</v>
      </c>
      <c r="K505" s="43">
        <v>18</v>
      </c>
      <c r="L505" s="43">
        <v>599</v>
      </c>
      <c r="M505" s="47">
        <v>0.03</v>
      </c>
      <c r="N505" s="47">
        <v>52.2</v>
      </c>
      <c r="O505" s="46" t="s">
        <v>4295</v>
      </c>
      <c r="P505" s="43">
        <v>964</v>
      </c>
      <c r="Q505" s="43">
        <v>20</v>
      </c>
      <c r="R505" s="45" t="s">
        <v>4278</v>
      </c>
      <c r="S505" s="46" t="s">
        <v>2649</v>
      </c>
    </row>
    <row r="506" spans="1:19" ht="42">
      <c r="A506" s="43">
        <v>502</v>
      </c>
      <c r="B506" s="43">
        <v>622</v>
      </c>
      <c r="C506" s="43">
        <v>1245</v>
      </c>
      <c r="D506" s="44">
        <v>46143</v>
      </c>
      <c r="E506" s="45" t="s">
        <v>1674</v>
      </c>
      <c r="F506" s="46" t="s">
        <v>37</v>
      </c>
      <c r="G506" s="46" t="s">
        <v>1038</v>
      </c>
      <c r="H506" s="46" t="s">
        <v>1005</v>
      </c>
      <c r="I506" s="46" t="s">
        <v>522</v>
      </c>
      <c r="J506" s="46" t="s">
        <v>968</v>
      </c>
      <c r="K506" s="43">
        <v>13</v>
      </c>
      <c r="L506" s="43">
        <v>116</v>
      </c>
      <c r="M506" s="47">
        <v>0.1111111111111111</v>
      </c>
      <c r="N506" s="47">
        <v>52.2</v>
      </c>
      <c r="O506" s="46" t="s">
        <v>4295</v>
      </c>
      <c r="P506" s="43">
        <v>359</v>
      </c>
      <c r="Q506" s="43">
        <v>20</v>
      </c>
      <c r="R506" s="45" t="s">
        <v>4272</v>
      </c>
      <c r="S506" s="46" t="s">
        <v>1675</v>
      </c>
    </row>
    <row r="507" spans="1:19" ht="31.5">
      <c r="A507" s="43">
        <v>503</v>
      </c>
      <c r="B507" s="43">
        <v>416</v>
      </c>
      <c r="C507" s="43">
        <v>271</v>
      </c>
      <c r="D507" s="44">
        <v>45164</v>
      </c>
      <c r="E507" s="45" t="s">
        <v>3642</v>
      </c>
      <c r="F507" s="46" t="s">
        <v>37</v>
      </c>
      <c r="G507" s="46" t="s">
        <v>885</v>
      </c>
      <c r="H507" s="46" t="s">
        <v>965</v>
      </c>
      <c r="I507" s="46" t="s">
        <v>522</v>
      </c>
      <c r="J507" s="46" t="s">
        <v>977</v>
      </c>
      <c r="K507" s="43">
        <v>21</v>
      </c>
      <c r="L507" s="43">
        <v>1095</v>
      </c>
      <c r="M507" s="47">
        <v>1.916058394160584E-2</v>
      </c>
      <c r="N507" s="47">
        <v>52.1</v>
      </c>
      <c r="O507" s="46" t="s">
        <v>4295</v>
      </c>
      <c r="P507" s="43">
        <v>602</v>
      </c>
      <c r="Q507" s="43">
        <v>30</v>
      </c>
      <c r="R507" s="45" t="s">
        <v>4283</v>
      </c>
      <c r="S507" s="46" t="s">
        <v>3643</v>
      </c>
    </row>
    <row r="508" spans="1:19" ht="42">
      <c r="A508" s="43">
        <v>504</v>
      </c>
      <c r="B508" s="43">
        <v>483</v>
      </c>
      <c r="C508" s="43">
        <v>680</v>
      </c>
      <c r="D508" s="44">
        <v>45644</v>
      </c>
      <c r="E508" s="45" t="s">
        <v>2731</v>
      </c>
      <c r="F508" s="46" t="s">
        <v>37</v>
      </c>
      <c r="G508" s="46" t="s">
        <v>911</v>
      </c>
      <c r="H508" s="46" t="s">
        <v>965</v>
      </c>
      <c r="I508" s="46" t="s">
        <v>519</v>
      </c>
      <c r="J508" s="46" t="s">
        <v>977</v>
      </c>
      <c r="K508" s="43">
        <v>18</v>
      </c>
      <c r="L508" s="43">
        <v>615</v>
      </c>
      <c r="M508" s="47">
        <v>2.922077922077922E-2</v>
      </c>
      <c r="N508" s="47">
        <v>52.1</v>
      </c>
      <c r="O508" s="46" t="s">
        <v>4295</v>
      </c>
      <c r="P508" s="43">
        <v>453</v>
      </c>
      <c r="Q508" s="43">
        <v>10</v>
      </c>
      <c r="R508" s="45" t="s">
        <v>4281</v>
      </c>
      <c r="S508" s="46" t="s">
        <v>2732</v>
      </c>
    </row>
    <row r="509" spans="1:19" ht="42">
      <c r="A509" s="43">
        <v>505</v>
      </c>
      <c r="B509" s="43">
        <v>484</v>
      </c>
      <c r="C509" s="43">
        <v>675</v>
      </c>
      <c r="D509" s="44">
        <v>45636</v>
      </c>
      <c r="E509" s="45" t="s">
        <v>2752</v>
      </c>
      <c r="F509" s="46" t="s">
        <v>37</v>
      </c>
      <c r="G509" s="46" t="s">
        <v>903</v>
      </c>
      <c r="H509" s="46" t="s">
        <v>965</v>
      </c>
      <c r="I509" s="46" t="s">
        <v>512</v>
      </c>
      <c r="J509" s="46" t="s">
        <v>968</v>
      </c>
      <c r="K509" s="43">
        <v>18</v>
      </c>
      <c r="L509" s="43">
        <v>623</v>
      </c>
      <c r="M509" s="47">
        <v>2.8846153846153848E-2</v>
      </c>
      <c r="N509" s="47">
        <v>52</v>
      </c>
      <c r="O509" s="46" t="s">
        <v>4295</v>
      </c>
      <c r="P509" s="43">
        <v>1137</v>
      </c>
      <c r="Q509" s="43">
        <v>20</v>
      </c>
      <c r="R509" s="45" t="s">
        <v>4278</v>
      </c>
      <c r="S509" s="46" t="s">
        <v>2753</v>
      </c>
    </row>
    <row r="510" spans="1:19" ht="42">
      <c r="A510" s="43">
        <v>506</v>
      </c>
      <c r="B510" s="43">
        <v>623</v>
      </c>
      <c r="C510" s="43">
        <v>1222</v>
      </c>
      <c r="D510" s="44">
        <v>46137</v>
      </c>
      <c r="E510" s="45" t="s">
        <v>1695</v>
      </c>
      <c r="F510" s="46" t="s">
        <v>37</v>
      </c>
      <c r="G510" s="46" t="s">
        <v>1038</v>
      </c>
      <c r="H510" s="46" t="s">
        <v>1038</v>
      </c>
      <c r="I510" s="46" t="s">
        <v>519</v>
      </c>
      <c r="J510" s="46" t="s">
        <v>977</v>
      </c>
      <c r="K510" s="43">
        <v>13</v>
      </c>
      <c r="L510" s="43">
        <v>122</v>
      </c>
      <c r="M510" s="47">
        <v>0.10569105691056911</v>
      </c>
      <c r="N510" s="47">
        <v>52</v>
      </c>
      <c r="O510" s="46" t="s">
        <v>4295</v>
      </c>
      <c r="P510" s="43">
        <v>395</v>
      </c>
      <c r="Q510" s="43">
        <v>20</v>
      </c>
      <c r="R510" s="45" t="s">
        <v>4272</v>
      </c>
      <c r="S510" s="46" t="s">
        <v>1696</v>
      </c>
    </row>
    <row r="511" spans="1:19" ht="42">
      <c r="A511" s="43">
        <v>507</v>
      </c>
      <c r="B511" s="43">
        <v>372</v>
      </c>
      <c r="C511" s="43">
        <v>68</v>
      </c>
      <c r="D511" s="44">
        <v>44770</v>
      </c>
      <c r="E511" s="45" t="s">
        <v>3928</v>
      </c>
      <c r="F511" s="46" t="s">
        <v>37</v>
      </c>
      <c r="G511" s="46" t="s">
        <v>878</v>
      </c>
      <c r="H511" s="46" t="s">
        <v>965</v>
      </c>
      <c r="I511" s="46" t="s">
        <v>526</v>
      </c>
      <c r="J511" s="46" t="s">
        <v>977</v>
      </c>
      <c r="K511" s="43">
        <v>23</v>
      </c>
      <c r="L511" s="43">
        <v>1489</v>
      </c>
      <c r="M511" s="47">
        <v>1.5436241610738255E-2</v>
      </c>
      <c r="N511" s="47">
        <v>51.9</v>
      </c>
      <c r="O511" s="46" t="s">
        <v>4295</v>
      </c>
      <c r="P511" s="43">
        <v>206</v>
      </c>
      <c r="Q511" s="43">
        <v>20</v>
      </c>
      <c r="R511" s="45" t="s">
        <v>4275</v>
      </c>
      <c r="S511" s="46" t="s">
        <v>3929</v>
      </c>
    </row>
    <row r="512" spans="1:19" ht="42">
      <c r="A512" s="43">
        <v>508</v>
      </c>
      <c r="B512" s="43">
        <v>560</v>
      </c>
      <c r="C512" s="43">
        <v>1123</v>
      </c>
      <c r="D512" s="44">
        <v>45955</v>
      </c>
      <c r="E512" s="45" t="s">
        <v>2095</v>
      </c>
      <c r="F512" s="46" t="s">
        <v>360</v>
      </c>
      <c r="G512" s="46" t="s">
        <v>896</v>
      </c>
      <c r="H512" s="46" t="s">
        <v>965</v>
      </c>
      <c r="I512" s="46" t="s">
        <v>519</v>
      </c>
      <c r="J512" s="46" t="s">
        <v>977</v>
      </c>
      <c r="K512" s="43">
        <v>15</v>
      </c>
      <c r="L512" s="43">
        <v>304</v>
      </c>
      <c r="M512" s="47">
        <v>4.9180327868852458E-2</v>
      </c>
      <c r="N512" s="47">
        <v>51.8</v>
      </c>
      <c r="O512" s="46" t="s">
        <v>4295</v>
      </c>
      <c r="P512" s="43">
        <v>324</v>
      </c>
      <c r="Q512" s="43">
        <v>20</v>
      </c>
      <c r="R512" s="45" t="s">
        <v>4275</v>
      </c>
      <c r="S512" s="46" t="s">
        <v>2096</v>
      </c>
    </row>
    <row r="513" spans="1:19" ht="42">
      <c r="A513" s="43">
        <v>509</v>
      </c>
      <c r="B513" s="43">
        <v>589</v>
      </c>
      <c r="C513" s="43">
        <v>1160</v>
      </c>
      <c r="D513" s="44">
        <v>46037</v>
      </c>
      <c r="E513" s="45" t="s">
        <v>1890</v>
      </c>
      <c r="F513" s="46" t="s">
        <v>360</v>
      </c>
      <c r="G513" s="46" t="s">
        <v>911</v>
      </c>
      <c r="H513" s="46" t="s">
        <v>965</v>
      </c>
      <c r="I513" s="46" t="s">
        <v>522</v>
      </c>
      <c r="J513" s="46" t="s">
        <v>977</v>
      </c>
      <c r="K513" s="43">
        <v>14</v>
      </c>
      <c r="L513" s="43">
        <v>222</v>
      </c>
      <c r="M513" s="47">
        <v>6.2780269058295965E-2</v>
      </c>
      <c r="N513" s="47">
        <v>51.7</v>
      </c>
      <c r="O513" s="46" t="s">
        <v>4295</v>
      </c>
      <c r="P513" s="43">
        <v>274</v>
      </c>
      <c r="Q513" s="43">
        <v>20</v>
      </c>
      <c r="R513" s="45" t="s">
        <v>4275</v>
      </c>
      <c r="S513" s="46" t="s">
        <v>1891</v>
      </c>
    </row>
    <row r="514" spans="1:19" ht="42">
      <c r="A514" s="43">
        <v>510</v>
      </c>
      <c r="B514" s="43">
        <v>590</v>
      </c>
      <c r="C514" s="43">
        <v>1159</v>
      </c>
      <c r="D514" s="44">
        <v>46037</v>
      </c>
      <c r="E514" s="45" t="s">
        <v>1893</v>
      </c>
      <c r="F514" s="46" t="s">
        <v>360</v>
      </c>
      <c r="G514" s="46" t="s">
        <v>882</v>
      </c>
      <c r="H514" s="46" t="s">
        <v>965</v>
      </c>
      <c r="I514" s="46" t="s">
        <v>512</v>
      </c>
      <c r="J514" s="46" t="s">
        <v>968</v>
      </c>
      <c r="K514" s="43">
        <v>14</v>
      </c>
      <c r="L514" s="43">
        <v>222</v>
      </c>
      <c r="M514" s="47">
        <v>6.2780269058295965E-2</v>
      </c>
      <c r="N514" s="47">
        <v>51.7</v>
      </c>
      <c r="O514" s="46" t="s">
        <v>4295</v>
      </c>
      <c r="P514" s="43">
        <v>482</v>
      </c>
      <c r="Q514" s="43">
        <v>20</v>
      </c>
      <c r="R514" s="45" t="s">
        <v>4275</v>
      </c>
      <c r="S514" s="46" t="s">
        <v>1894</v>
      </c>
    </row>
    <row r="515" spans="1:19" ht="42">
      <c r="A515" s="43">
        <v>511</v>
      </c>
      <c r="B515" s="43">
        <v>591</v>
      </c>
      <c r="C515" s="43">
        <v>1158</v>
      </c>
      <c r="D515" s="44">
        <v>46037</v>
      </c>
      <c r="E515" s="45" t="s">
        <v>1896</v>
      </c>
      <c r="F515" s="46" t="s">
        <v>360</v>
      </c>
      <c r="G515" s="46" t="s">
        <v>913</v>
      </c>
      <c r="H515" s="46" t="s">
        <v>965</v>
      </c>
      <c r="I515" s="46" t="s">
        <v>512</v>
      </c>
      <c r="J515" s="46" t="s">
        <v>968</v>
      </c>
      <c r="K515" s="43">
        <v>14</v>
      </c>
      <c r="L515" s="43">
        <v>222</v>
      </c>
      <c r="M515" s="47">
        <v>6.2780269058295965E-2</v>
      </c>
      <c r="N515" s="47">
        <v>51.7</v>
      </c>
      <c r="O515" s="46" t="s">
        <v>4295</v>
      </c>
      <c r="P515" s="43">
        <v>390</v>
      </c>
      <c r="Q515" s="43">
        <v>20</v>
      </c>
      <c r="R515" s="45" t="s">
        <v>4275</v>
      </c>
      <c r="S515" s="46" t="s">
        <v>1897</v>
      </c>
    </row>
    <row r="516" spans="1:19" ht="42">
      <c r="A516" s="43">
        <v>512</v>
      </c>
      <c r="B516" s="43">
        <v>485</v>
      </c>
      <c r="C516" s="43">
        <v>648</v>
      </c>
      <c r="D516" s="44">
        <v>45600</v>
      </c>
      <c r="E516" s="45" t="s">
        <v>2819</v>
      </c>
      <c r="F516" s="46" t="s">
        <v>37</v>
      </c>
      <c r="G516" s="46" t="s">
        <v>1038</v>
      </c>
      <c r="H516" s="46" t="s">
        <v>1038</v>
      </c>
      <c r="I516" s="46" t="s">
        <v>515</v>
      </c>
      <c r="J516" s="46" t="s">
        <v>977</v>
      </c>
      <c r="K516" s="43">
        <v>18</v>
      </c>
      <c r="L516" s="43">
        <v>659</v>
      </c>
      <c r="M516" s="47">
        <v>2.7272727272727271E-2</v>
      </c>
      <c r="N516" s="47">
        <v>51.6</v>
      </c>
      <c r="O516" s="46" t="s">
        <v>4295</v>
      </c>
      <c r="P516" s="43">
        <v>1044</v>
      </c>
      <c r="Q516" s="43">
        <v>20</v>
      </c>
      <c r="R516" s="45" t="s">
        <v>4278</v>
      </c>
      <c r="S516" s="46" t="s">
        <v>2820</v>
      </c>
    </row>
    <row r="517" spans="1:19" ht="42">
      <c r="A517" s="43">
        <v>513</v>
      </c>
      <c r="B517" s="43">
        <v>511</v>
      </c>
      <c r="C517" s="43">
        <v>901</v>
      </c>
      <c r="D517" s="44">
        <v>45765</v>
      </c>
      <c r="E517" s="45" t="s">
        <v>2485</v>
      </c>
      <c r="F517" s="46" t="s">
        <v>371</v>
      </c>
      <c r="G517" s="46" t="s">
        <v>1038</v>
      </c>
      <c r="H517" s="46" t="s">
        <v>1038</v>
      </c>
      <c r="I517" s="46" t="s">
        <v>512</v>
      </c>
      <c r="J517" s="46" t="s">
        <v>977</v>
      </c>
      <c r="K517" s="43">
        <v>17</v>
      </c>
      <c r="L517" s="43">
        <v>494</v>
      </c>
      <c r="M517" s="47">
        <v>3.4343434343434343E-2</v>
      </c>
      <c r="N517" s="47">
        <v>51.6</v>
      </c>
      <c r="O517" s="46" t="s">
        <v>4295</v>
      </c>
      <c r="P517" s="43">
        <v>942</v>
      </c>
      <c r="Q517" s="43">
        <v>20</v>
      </c>
      <c r="R517" s="45" t="s">
        <v>4278</v>
      </c>
      <c r="S517" s="46" t="s">
        <v>2486</v>
      </c>
    </row>
    <row r="518" spans="1:19" ht="42">
      <c r="A518" s="43">
        <v>514</v>
      </c>
      <c r="B518" s="43">
        <v>486</v>
      </c>
      <c r="C518" s="43">
        <v>626</v>
      </c>
      <c r="D518" s="44">
        <v>45575</v>
      </c>
      <c r="E518" s="45" t="s">
        <v>2877</v>
      </c>
      <c r="F518" s="46" t="s">
        <v>37</v>
      </c>
      <c r="G518" s="46" t="s">
        <v>884</v>
      </c>
      <c r="H518" s="46" t="s">
        <v>965</v>
      </c>
      <c r="I518" s="46" t="s">
        <v>512</v>
      </c>
      <c r="J518" s="46" t="s">
        <v>977</v>
      </c>
      <c r="K518" s="43">
        <v>18</v>
      </c>
      <c r="L518" s="43">
        <v>684</v>
      </c>
      <c r="M518" s="47">
        <v>2.6277372262773723E-2</v>
      </c>
      <c r="N518" s="47">
        <v>51.4</v>
      </c>
      <c r="O518" s="46" t="s">
        <v>4295</v>
      </c>
      <c r="P518" s="43">
        <v>170</v>
      </c>
      <c r="Q518" s="43">
        <v>10</v>
      </c>
      <c r="R518" s="45" t="s">
        <v>4281</v>
      </c>
      <c r="S518" s="46" t="s">
        <v>2878</v>
      </c>
    </row>
    <row r="519" spans="1:19" ht="42">
      <c r="A519" s="43">
        <v>515</v>
      </c>
      <c r="B519" s="43">
        <v>592</v>
      </c>
      <c r="C519" s="43">
        <v>820</v>
      </c>
      <c r="D519" s="44">
        <v>46028</v>
      </c>
      <c r="E519" s="45" t="s">
        <v>1911</v>
      </c>
      <c r="F519" s="46" t="s">
        <v>37</v>
      </c>
      <c r="G519" s="46" t="s">
        <v>911</v>
      </c>
      <c r="H519" s="46" t="s">
        <v>965</v>
      </c>
      <c r="I519" s="46" t="s">
        <v>512</v>
      </c>
      <c r="J519" s="46" t="s">
        <v>977</v>
      </c>
      <c r="K519" s="43">
        <v>14</v>
      </c>
      <c r="L519" s="43">
        <v>231</v>
      </c>
      <c r="M519" s="47">
        <v>6.0344827586206899E-2</v>
      </c>
      <c r="N519" s="47">
        <v>51.4</v>
      </c>
      <c r="O519" s="46" t="s">
        <v>4295</v>
      </c>
      <c r="P519" s="43">
        <v>374</v>
      </c>
      <c r="Q519" s="43">
        <v>10</v>
      </c>
      <c r="R519" s="45" t="s">
        <v>4281</v>
      </c>
      <c r="S519" s="46" t="s">
        <v>1912</v>
      </c>
    </row>
    <row r="520" spans="1:19" ht="42">
      <c r="A520" s="43">
        <v>516</v>
      </c>
      <c r="B520" s="43">
        <v>417</v>
      </c>
      <c r="C520" s="43">
        <v>211</v>
      </c>
      <c r="D520" s="44">
        <v>45094</v>
      </c>
      <c r="E520" s="45" t="s">
        <v>3744</v>
      </c>
      <c r="F520" s="46" t="s">
        <v>37</v>
      </c>
      <c r="G520" s="46" t="s">
        <v>1038</v>
      </c>
      <c r="H520" s="46" t="s">
        <v>1038</v>
      </c>
      <c r="I520" s="46" t="s">
        <v>533</v>
      </c>
      <c r="J520" s="46" t="s">
        <v>968</v>
      </c>
      <c r="K520" s="43">
        <v>21</v>
      </c>
      <c r="L520" s="43">
        <v>1165</v>
      </c>
      <c r="M520" s="47">
        <v>1.8010291595197257E-2</v>
      </c>
      <c r="N520" s="47">
        <v>51.3</v>
      </c>
      <c r="O520" s="46" t="s">
        <v>4295</v>
      </c>
      <c r="P520" s="43">
        <v>138</v>
      </c>
      <c r="Q520" s="43">
        <v>10</v>
      </c>
      <c r="R520" s="45" t="s">
        <v>4281</v>
      </c>
      <c r="S520" s="46" t="s">
        <v>3745</v>
      </c>
    </row>
    <row r="521" spans="1:19" ht="42">
      <c r="A521" s="43">
        <v>517</v>
      </c>
      <c r="B521" s="43">
        <v>452</v>
      </c>
      <c r="C521" s="43">
        <v>514</v>
      </c>
      <c r="D521" s="44">
        <v>45419</v>
      </c>
      <c r="E521" s="45" t="s">
        <v>3187</v>
      </c>
      <c r="F521" s="46" t="s">
        <v>37</v>
      </c>
      <c r="G521" s="46" t="s">
        <v>1038</v>
      </c>
      <c r="H521" s="46" t="s">
        <v>1005</v>
      </c>
      <c r="I521" s="46" t="s">
        <v>519</v>
      </c>
      <c r="J521" s="46" t="s">
        <v>968</v>
      </c>
      <c r="K521" s="43">
        <v>19</v>
      </c>
      <c r="L521" s="43">
        <v>840</v>
      </c>
      <c r="M521" s="47">
        <v>2.2592152199762187E-2</v>
      </c>
      <c r="N521" s="47">
        <v>51.2</v>
      </c>
      <c r="O521" s="46" t="s">
        <v>4295</v>
      </c>
      <c r="P521" s="43">
        <v>768</v>
      </c>
      <c r="Q521" s="43">
        <v>20</v>
      </c>
      <c r="R521" s="45" t="s">
        <v>4278</v>
      </c>
      <c r="S521" s="46" t="s">
        <v>3188</v>
      </c>
    </row>
    <row r="522" spans="1:19" ht="42">
      <c r="A522" s="43">
        <v>518</v>
      </c>
      <c r="B522" s="43">
        <v>561</v>
      </c>
      <c r="C522" s="43">
        <v>1115</v>
      </c>
      <c r="D522" s="44">
        <v>45930</v>
      </c>
      <c r="E522" s="45" t="s">
        <v>2116</v>
      </c>
      <c r="F522" s="46" t="s">
        <v>360</v>
      </c>
      <c r="G522" s="46" t="s">
        <v>1038</v>
      </c>
      <c r="H522" s="46" t="s">
        <v>1005</v>
      </c>
      <c r="I522" s="46" t="s">
        <v>522</v>
      </c>
      <c r="J522" s="46" t="s">
        <v>968</v>
      </c>
      <c r="K522" s="43">
        <v>15</v>
      </c>
      <c r="L522" s="43">
        <v>329</v>
      </c>
      <c r="M522" s="47">
        <v>4.5454545454545456E-2</v>
      </c>
      <c r="N522" s="47">
        <v>51.2</v>
      </c>
      <c r="O522" s="46" t="s">
        <v>4295</v>
      </c>
      <c r="P522" s="43">
        <v>444</v>
      </c>
      <c r="Q522" s="43">
        <v>20</v>
      </c>
      <c r="R522" s="45" t="s">
        <v>4275</v>
      </c>
      <c r="S522" s="46" t="s">
        <v>2117</v>
      </c>
    </row>
    <row r="523" spans="1:19" ht="42">
      <c r="A523" s="43">
        <v>519</v>
      </c>
      <c r="B523" s="43">
        <v>439</v>
      </c>
      <c r="C523" s="43">
        <v>336</v>
      </c>
      <c r="D523" s="44">
        <v>45248</v>
      </c>
      <c r="E523" s="45" t="s">
        <v>3528</v>
      </c>
      <c r="F523" s="46" t="s">
        <v>37</v>
      </c>
      <c r="G523" s="46" t="s">
        <v>1038</v>
      </c>
      <c r="H523" s="46" t="s">
        <v>1005</v>
      </c>
      <c r="I523" s="46" t="s">
        <v>533</v>
      </c>
      <c r="J523" s="46" t="s">
        <v>968</v>
      </c>
      <c r="K523" s="43">
        <v>20</v>
      </c>
      <c r="L523" s="43">
        <v>1011</v>
      </c>
      <c r="M523" s="47">
        <v>1.9762845849802372E-2</v>
      </c>
      <c r="N523" s="47">
        <v>51.1</v>
      </c>
      <c r="O523" s="46" t="s">
        <v>4295</v>
      </c>
      <c r="P523" s="43">
        <v>253</v>
      </c>
      <c r="Q523" s="43">
        <v>10</v>
      </c>
      <c r="R523" s="45" t="s">
        <v>4281</v>
      </c>
      <c r="S523" s="46" t="s">
        <v>3529</v>
      </c>
    </row>
    <row r="524" spans="1:19" ht="42">
      <c r="A524" s="43">
        <v>520</v>
      </c>
      <c r="B524" s="43">
        <v>418</v>
      </c>
      <c r="C524" s="43">
        <v>124</v>
      </c>
      <c r="D524" s="44">
        <v>45047</v>
      </c>
      <c r="E524" s="45" t="s">
        <v>3843</v>
      </c>
      <c r="F524" s="46" t="s">
        <v>37</v>
      </c>
      <c r="G524" s="46" t="s">
        <v>878</v>
      </c>
      <c r="H524" s="46" t="s">
        <v>965</v>
      </c>
      <c r="I524" s="46" t="s">
        <v>530</v>
      </c>
      <c r="J524" s="46" t="s">
        <v>977</v>
      </c>
      <c r="K524" s="43">
        <v>21</v>
      </c>
      <c r="L524" s="43">
        <v>1212</v>
      </c>
      <c r="M524" s="47">
        <v>1.7312448474855729E-2</v>
      </c>
      <c r="N524" s="47">
        <v>51</v>
      </c>
      <c r="O524" s="46" t="s">
        <v>4295</v>
      </c>
      <c r="P524" s="43">
        <v>332</v>
      </c>
      <c r="Q524" s="43">
        <v>20</v>
      </c>
      <c r="R524" s="45" t="s">
        <v>4275</v>
      </c>
      <c r="S524" s="46" t="s">
        <v>3844</v>
      </c>
    </row>
    <row r="525" spans="1:19" ht="42">
      <c r="A525" s="43">
        <v>521</v>
      </c>
      <c r="B525" s="43">
        <v>453</v>
      </c>
      <c r="C525" s="43">
        <v>493</v>
      </c>
      <c r="D525" s="44">
        <v>45402</v>
      </c>
      <c r="E525" s="45" t="s">
        <v>3217</v>
      </c>
      <c r="F525" s="46" t="s">
        <v>37</v>
      </c>
      <c r="G525" s="46" t="s">
        <v>1038</v>
      </c>
      <c r="H525" s="46" t="s">
        <v>1038</v>
      </c>
      <c r="I525" s="46" t="s">
        <v>533</v>
      </c>
      <c r="J525" s="46" t="s">
        <v>968</v>
      </c>
      <c r="K525" s="43">
        <v>19</v>
      </c>
      <c r="L525" s="43">
        <v>857</v>
      </c>
      <c r="M525" s="47">
        <v>2.2144522144522144E-2</v>
      </c>
      <c r="N525" s="47">
        <v>51</v>
      </c>
      <c r="O525" s="46" t="s">
        <v>4295</v>
      </c>
      <c r="P525" s="43">
        <v>153</v>
      </c>
      <c r="Q525" s="43">
        <v>10</v>
      </c>
      <c r="R525" s="45" t="s">
        <v>4281</v>
      </c>
      <c r="S525" s="46" t="s">
        <v>3218</v>
      </c>
    </row>
    <row r="526" spans="1:19" ht="31.5">
      <c r="A526" s="43">
        <v>522</v>
      </c>
      <c r="B526" s="43">
        <v>487</v>
      </c>
      <c r="C526" s="43">
        <v>600</v>
      </c>
      <c r="D526" s="44">
        <v>45557</v>
      </c>
      <c r="E526" s="45" t="s">
        <v>2973</v>
      </c>
      <c r="F526" s="46" t="s">
        <v>37</v>
      </c>
      <c r="G526" s="46" t="s">
        <v>893</v>
      </c>
      <c r="H526" s="46" t="s">
        <v>965</v>
      </c>
      <c r="I526" s="46" t="s">
        <v>515</v>
      </c>
      <c r="J526" s="46" t="s">
        <v>977</v>
      </c>
      <c r="K526" s="43">
        <v>18</v>
      </c>
      <c r="L526" s="43">
        <v>702</v>
      </c>
      <c r="M526" s="47">
        <v>2.5604551920341393E-2</v>
      </c>
      <c r="N526" s="47">
        <v>51</v>
      </c>
      <c r="O526" s="46" t="s">
        <v>4295</v>
      </c>
      <c r="P526" s="43">
        <v>1016</v>
      </c>
      <c r="Q526" s="43">
        <v>30</v>
      </c>
      <c r="R526" s="45" t="s">
        <v>4283</v>
      </c>
      <c r="S526" s="46" t="s">
        <v>2974</v>
      </c>
    </row>
    <row r="527" spans="1:19" ht="42">
      <c r="A527" s="43">
        <v>523</v>
      </c>
      <c r="B527" s="43">
        <v>624</v>
      </c>
      <c r="C527" s="43">
        <v>1192</v>
      </c>
      <c r="D527" s="44">
        <v>46111</v>
      </c>
      <c r="E527" s="45" t="s">
        <v>1743</v>
      </c>
      <c r="F527" s="46" t="s">
        <v>37</v>
      </c>
      <c r="G527" s="46" t="s">
        <v>894</v>
      </c>
      <c r="H527" s="46" t="s">
        <v>965</v>
      </c>
      <c r="I527" s="46" t="s">
        <v>522</v>
      </c>
      <c r="J527" s="46" t="s">
        <v>968</v>
      </c>
      <c r="K527" s="43">
        <v>13</v>
      </c>
      <c r="L527" s="43">
        <v>148</v>
      </c>
      <c r="M527" s="47">
        <v>8.7248322147651006E-2</v>
      </c>
      <c r="N527" s="47">
        <v>51</v>
      </c>
      <c r="O527" s="46" t="s">
        <v>4295</v>
      </c>
      <c r="P527" s="43">
        <v>275</v>
      </c>
      <c r="Q527" s="43">
        <v>20</v>
      </c>
      <c r="R527" s="45" t="s">
        <v>4272</v>
      </c>
      <c r="S527" s="46" t="s">
        <v>1744</v>
      </c>
    </row>
    <row r="528" spans="1:19" ht="42">
      <c r="A528" s="43">
        <v>524</v>
      </c>
      <c r="B528" s="43">
        <v>488</v>
      </c>
      <c r="C528" s="43">
        <v>589</v>
      </c>
      <c r="D528" s="44">
        <v>45539</v>
      </c>
      <c r="E528" s="45" t="s">
        <v>3006</v>
      </c>
      <c r="F528" s="46" t="s">
        <v>37</v>
      </c>
      <c r="G528" s="46" t="s">
        <v>1038</v>
      </c>
      <c r="H528" s="46" t="s">
        <v>1005</v>
      </c>
      <c r="I528" s="46" t="s">
        <v>512</v>
      </c>
      <c r="J528" s="46" t="s">
        <v>968</v>
      </c>
      <c r="K528" s="43">
        <v>18</v>
      </c>
      <c r="L528" s="43">
        <v>720</v>
      </c>
      <c r="M528" s="47">
        <v>2.4965325936199722E-2</v>
      </c>
      <c r="N528" s="47">
        <v>50.7</v>
      </c>
      <c r="O528" s="46" t="s">
        <v>4295</v>
      </c>
      <c r="P528" s="43">
        <v>630</v>
      </c>
      <c r="Q528" s="43">
        <v>20</v>
      </c>
      <c r="R528" s="45" t="s">
        <v>4278</v>
      </c>
      <c r="S528" s="46" t="s">
        <v>3007</v>
      </c>
    </row>
    <row r="529" spans="1:19" ht="42">
      <c r="A529" s="43">
        <v>525</v>
      </c>
      <c r="B529" s="43">
        <v>454</v>
      </c>
      <c r="C529" s="43">
        <v>477</v>
      </c>
      <c r="D529" s="44">
        <v>45375</v>
      </c>
      <c r="E529" s="45" t="s">
        <v>3257</v>
      </c>
      <c r="F529" s="46" t="s">
        <v>37</v>
      </c>
      <c r="G529" s="46" t="s">
        <v>885</v>
      </c>
      <c r="H529" s="46" t="s">
        <v>965</v>
      </c>
      <c r="I529" s="46" t="s">
        <v>530</v>
      </c>
      <c r="J529" s="46" t="s">
        <v>968</v>
      </c>
      <c r="K529" s="43">
        <v>19</v>
      </c>
      <c r="L529" s="43">
        <v>884</v>
      </c>
      <c r="M529" s="47">
        <v>2.1468926553672316E-2</v>
      </c>
      <c r="N529" s="47">
        <v>50.6</v>
      </c>
      <c r="O529" s="46" t="s">
        <v>4295</v>
      </c>
      <c r="P529" s="43">
        <v>344</v>
      </c>
      <c r="Q529" s="43">
        <v>20</v>
      </c>
      <c r="R529" s="45" t="s">
        <v>4275</v>
      </c>
      <c r="S529" s="46" t="s">
        <v>3258</v>
      </c>
    </row>
    <row r="530" spans="1:19" ht="42">
      <c r="A530" s="43">
        <v>526</v>
      </c>
      <c r="B530" s="43">
        <v>668</v>
      </c>
      <c r="C530" s="43">
        <v>1296</v>
      </c>
      <c r="D530" s="44">
        <v>46174</v>
      </c>
      <c r="E530" s="45" t="s">
        <v>1550</v>
      </c>
      <c r="F530" s="46" t="s">
        <v>360</v>
      </c>
      <c r="G530" s="46" t="s">
        <v>1038</v>
      </c>
      <c r="H530" s="46" t="s">
        <v>1134</v>
      </c>
      <c r="I530" s="46" t="s">
        <v>526</v>
      </c>
      <c r="J530" s="46" t="s">
        <v>977</v>
      </c>
      <c r="K530" s="43">
        <v>12</v>
      </c>
      <c r="L530" s="43">
        <v>85</v>
      </c>
      <c r="M530" s="47">
        <v>0.13953488372093023</v>
      </c>
      <c r="N530" s="47">
        <v>50.6</v>
      </c>
      <c r="O530" s="46" t="s">
        <v>4295</v>
      </c>
      <c r="P530" s="43">
        <v>596</v>
      </c>
      <c r="Q530" s="43">
        <v>20</v>
      </c>
      <c r="R530" s="45" t="s">
        <v>4278</v>
      </c>
      <c r="S530" s="46" t="s">
        <v>1551</v>
      </c>
    </row>
    <row r="531" spans="1:19" ht="31.5">
      <c r="A531" s="43">
        <v>527</v>
      </c>
      <c r="B531" s="43">
        <v>837</v>
      </c>
      <c r="C531" s="43">
        <v>1500</v>
      </c>
      <c r="D531" s="44">
        <v>46259</v>
      </c>
      <c r="E531" s="45" t="s">
        <v>970</v>
      </c>
      <c r="F531" s="46" t="s">
        <v>37</v>
      </c>
      <c r="G531" s="46" t="s">
        <v>885</v>
      </c>
      <c r="H531" s="46" t="s">
        <v>965</v>
      </c>
      <c r="I531" s="46" t="s">
        <v>530</v>
      </c>
      <c r="J531" s="46" t="s">
        <v>968</v>
      </c>
      <c r="K531" s="43">
        <v>8</v>
      </c>
      <c r="L531" s="43">
        <v>0</v>
      </c>
      <c r="M531" s="47">
        <v>8</v>
      </c>
      <c r="N531" s="47">
        <v>50.5</v>
      </c>
      <c r="O531" s="46" t="s">
        <v>4295</v>
      </c>
      <c r="P531" s="43">
        <v>609</v>
      </c>
      <c r="Q531" s="43">
        <v>40</v>
      </c>
      <c r="R531" s="45" t="s">
        <v>4297</v>
      </c>
      <c r="S531" s="46" t="s">
        <v>971</v>
      </c>
    </row>
    <row r="532" spans="1:19" ht="42">
      <c r="A532" s="43">
        <v>528</v>
      </c>
      <c r="B532" s="43">
        <v>838</v>
      </c>
      <c r="C532" s="43">
        <v>1493</v>
      </c>
      <c r="D532" s="44">
        <v>46259</v>
      </c>
      <c r="E532" s="45" t="s">
        <v>999</v>
      </c>
      <c r="F532" s="46" t="s">
        <v>37</v>
      </c>
      <c r="G532" s="46" t="s">
        <v>920</v>
      </c>
      <c r="H532" s="46" t="s">
        <v>965</v>
      </c>
      <c r="I532" s="46" t="s">
        <v>526</v>
      </c>
      <c r="J532" s="46" t="s">
        <v>968</v>
      </c>
      <c r="K532" s="43">
        <v>8</v>
      </c>
      <c r="L532" s="43">
        <v>0</v>
      </c>
      <c r="M532" s="47">
        <v>8</v>
      </c>
      <c r="N532" s="47">
        <v>50.5</v>
      </c>
      <c r="O532" s="46" t="s">
        <v>4295</v>
      </c>
      <c r="P532" s="43">
        <v>411</v>
      </c>
      <c r="Q532" s="43">
        <v>20</v>
      </c>
      <c r="R532" s="45" t="s">
        <v>4298</v>
      </c>
      <c r="S532" s="46" t="s">
        <v>1000</v>
      </c>
    </row>
    <row r="533" spans="1:19" ht="42">
      <c r="A533" s="43">
        <v>529</v>
      </c>
      <c r="B533" s="43">
        <v>440</v>
      </c>
      <c r="C533" s="43">
        <v>429</v>
      </c>
      <c r="D533" s="44">
        <v>45180</v>
      </c>
      <c r="E533" s="45" t="s">
        <v>3587</v>
      </c>
      <c r="F533" s="46" t="s">
        <v>37</v>
      </c>
      <c r="G533" s="46" t="s">
        <v>1038</v>
      </c>
      <c r="H533" s="46" t="s">
        <v>1005</v>
      </c>
      <c r="I533" s="46" t="s">
        <v>526</v>
      </c>
      <c r="J533" s="46" t="s">
        <v>968</v>
      </c>
      <c r="K533" s="43">
        <v>20</v>
      </c>
      <c r="L533" s="43">
        <v>1079</v>
      </c>
      <c r="M533" s="47">
        <v>1.8518518518518517E-2</v>
      </c>
      <c r="N533" s="47">
        <v>50.4</v>
      </c>
      <c r="O533" s="46" t="s">
        <v>4295</v>
      </c>
      <c r="P533" s="43">
        <v>590</v>
      </c>
      <c r="Q533" s="43">
        <v>20</v>
      </c>
      <c r="R533" s="45" t="s">
        <v>4278</v>
      </c>
      <c r="S533" s="46" t="s">
        <v>3588</v>
      </c>
    </row>
    <row r="534" spans="1:19" ht="42">
      <c r="A534" s="43">
        <v>530</v>
      </c>
      <c r="B534" s="43">
        <v>562</v>
      </c>
      <c r="C534" s="43">
        <v>970</v>
      </c>
      <c r="D534" s="44">
        <v>45911</v>
      </c>
      <c r="E534" s="45" t="s">
        <v>2164</v>
      </c>
      <c r="F534" s="46" t="s">
        <v>371</v>
      </c>
      <c r="G534" s="46" t="s">
        <v>1038</v>
      </c>
      <c r="H534" s="46" t="s">
        <v>1005</v>
      </c>
      <c r="I534" s="46" t="s">
        <v>515</v>
      </c>
      <c r="J534" s="46" t="s">
        <v>977</v>
      </c>
      <c r="K534" s="43">
        <v>15</v>
      </c>
      <c r="L534" s="43">
        <v>348</v>
      </c>
      <c r="M534" s="47">
        <v>4.2979942693409739E-2</v>
      </c>
      <c r="N534" s="47">
        <v>50.4</v>
      </c>
      <c r="O534" s="46" t="s">
        <v>4295</v>
      </c>
      <c r="P534" s="43">
        <v>491</v>
      </c>
      <c r="Q534" s="43">
        <v>10</v>
      </c>
      <c r="R534" s="45" t="s">
        <v>4281</v>
      </c>
      <c r="S534" s="46" t="s">
        <v>2165</v>
      </c>
    </row>
    <row r="535" spans="1:19" ht="42">
      <c r="A535" s="43">
        <v>531</v>
      </c>
      <c r="B535" s="43">
        <v>455</v>
      </c>
      <c r="C535" s="43">
        <v>421</v>
      </c>
      <c r="D535" s="44">
        <v>45332</v>
      </c>
      <c r="E535" s="45" t="s">
        <v>3357</v>
      </c>
      <c r="F535" s="46" t="s">
        <v>37</v>
      </c>
      <c r="G535" s="46" t="s">
        <v>878</v>
      </c>
      <c r="H535" s="46" t="s">
        <v>1317</v>
      </c>
      <c r="I535" s="46" t="s">
        <v>512</v>
      </c>
      <c r="J535" s="46" t="s">
        <v>968</v>
      </c>
      <c r="K535" s="43">
        <v>19</v>
      </c>
      <c r="L535" s="43">
        <v>927</v>
      </c>
      <c r="M535" s="47">
        <v>2.0474137931034482E-2</v>
      </c>
      <c r="N535" s="47">
        <v>50.2</v>
      </c>
      <c r="O535" s="46" t="s">
        <v>4295</v>
      </c>
      <c r="P535" s="43">
        <v>352</v>
      </c>
      <c r="Q535" s="43">
        <v>20</v>
      </c>
      <c r="R535" s="45" t="s">
        <v>4275</v>
      </c>
      <c r="S535" s="46" t="s">
        <v>3358</v>
      </c>
    </row>
    <row r="536" spans="1:19" ht="42">
      <c r="A536" s="43">
        <v>532</v>
      </c>
      <c r="B536" s="43">
        <v>489</v>
      </c>
      <c r="C536" s="43">
        <v>555</v>
      </c>
      <c r="D536" s="44">
        <v>45495</v>
      </c>
      <c r="E536" s="45" t="s">
        <v>3075</v>
      </c>
      <c r="F536" s="46" t="s">
        <v>37</v>
      </c>
      <c r="G536" s="46" t="s">
        <v>1038</v>
      </c>
      <c r="H536" s="46" t="s">
        <v>1005</v>
      </c>
      <c r="I536" s="46" t="s">
        <v>519</v>
      </c>
      <c r="J536" s="46" t="s">
        <v>968</v>
      </c>
      <c r="K536" s="43">
        <v>18</v>
      </c>
      <c r="L536" s="43">
        <v>764</v>
      </c>
      <c r="M536" s="47">
        <v>2.3529411764705882E-2</v>
      </c>
      <c r="N536" s="47">
        <v>50.1</v>
      </c>
      <c r="O536" s="46" t="s">
        <v>4295</v>
      </c>
      <c r="P536" s="43">
        <v>605</v>
      </c>
      <c r="Q536" s="43">
        <v>20</v>
      </c>
      <c r="R536" s="45" t="s">
        <v>4278</v>
      </c>
      <c r="S536" s="46" t="s">
        <v>3076</v>
      </c>
    </row>
    <row r="537" spans="1:19" ht="42">
      <c r="A537" s="43">
        <v>533</v>
      </c>
      <c r="B537" s="43">
        <v>512</v>
      </c>
      <c r="C537" s="43">
        <v>691</v>
      </c>
      <c r="D537" s="44">
        <v>45654</v>
      </c>
      <c r="E537" s="45" t="s">
        <v>2700</v>
      </c>
      <c r="F537" s="46" t="s">
        <v>37</v>
      </c>
      <c r="G537" s="46" t="s">
        <v>1038</v>
      </c>
      <c r="H537" s="46" t="s">
        <v>1038</v>
      </c>
      <c r="I537" s="46" t="s">
        <v>512</v>
      </c>
      <c r="J537" s="46" t="s">
        <v>977</v>
      </c>
      <c r="K537" s="43">
        <v>17</v>
      </c>
      <c r="L537" s="43">
        <v>605</v>
      </c>
      <c r="M537" s="47">
        <v>2.8052805280528052E-2</v>
      </c>
      <c r="N537" s="47">
        <v>50</v>
      </c>
      <c r="O537" s="46" t="s">
        <v>4295</v>
      </c>
      <c r="P537" s="43">
        <v>10</v>
      </c>
      <c r="Q537" s="43">
        <v>10</v>
      </c>
      <c r="R537" s="45" t="s">
        <v>4281</v>
      </c>
      <c r="S537" s="46" t="s">
        <v>2701</v>
      </c>
    </row>
    <row r="538" spans="1:19" ht="42">
      <c r="A538" s="43">
        <v>534</v>
      </c>
      <c r="B538" s="43">
        <v>396</v>
      </c>
      <c r="C538" s="43">
        <v>18</v>
      </c>
      <c r="D538" s="44">
        <v>44668</v>
      </c>
      <c r="E538" s="45" t="s">
        <v>4051</v>
      </c>
      <c r="F538" s="46" t="s">
        <v>37</v>
      </c>
      <c r="G538" s="46" t="s">
        <v>889</v>
      </c>
      <c r="H538" s="46" t="s">
        <v>965</v>
      </c>
      <c r="I538" s="46" t="s">
        <v>536</v>
      </c>
      <c r="J538" s="46" t="s">
        <v>977</v>
      </c>
      <c r="K538" s="43">
        <v>22</v>
      </c>
      <c r="L538" s="43">
        <v>1591</v>
      </c>
      <c r="M538" s="47">
        <v>1.3819095477386936E-2</v>
      </c>
      <c r="N538" s="47">
        <v>49.8</v>
      </c>
      <c r="O538" s="46" t="s">
        <v>910</v>
      </c>
      <c r="P538" s="43">
        <v>143</v>
      </c>
      <c r="Q538" s="43">
        <v>10</v>
      </c>
      <c r="R538" s="45" t="s">
        <v>4281</v>
      </c>
      <c r="S538" s="46" t="s">
        <v>4052</v>
      </c>
    </row>
    <row r="539" spans="1:19" ht="42">
      <c r="A539" s="43">
        <v>535</v>
      </c>
      <c r="B539" s="43">
        <v>534</v>
      </c>
      <c r="C539" s="43">
        <v>905</v>
      </c>
      <c r="D539" s="44">
        <v>45777</v>
      </c>
      <c r="E539" s="45" t="s">
        <v>2458</v>
      </c>
      <c r="F539" s="46" t="s">
        <v>371</v>
      </c>
      <c r="G539" s="46" t="s">
        <v>882</v>
      </c>
      <c r="H539" s="46" t="s">
        <v>965</v>
      </c>
      <c r="I539" s="46" t="s">
        <v>515</v>
      </c>
      <c r="J539" s="46" t="s">
        <v>977</v>
      </c>
      <c r="K539" s="43">
        <v>16</v>
      </c>
      <c r="L539" s="43">
        <v>482</v>
      </c>
      <c r="M539" s="47">
        <v>3.3126293995859216E-2</v>
      </c>
      <c r="N539" s="47">
        <v>49.8</v>
      </c>
      <c r="O539" s="46" t="s">
        <v>910</v>
      </c>
      <c r="P539" s="43">
        <v>578</v>
      </c>
      <c r="Q539" s="43">
        <v>20</v>
      </c>
      <c r="R539" s="45" t="s">
        <v>4278</v>
      </c>
      <c r="S539" s="46" t="s">
        <v>2459</v>
      </c>
    </row>
    <row r="540" spans="1:19" ht="31.5">
      <c r="A540" s="43">
        <v>536</v>
      </c>
      <c r="B540" s="43">
        <v>625</v>
      </c>
      <c r="C540" s="43">
        <v>1174</v>
      </c>
      <c r="D540" s="44">
        <v>46072</v>
      </c>
      <c r="E540" s="45" t="s">
        <v>1788</v>
      </c>
      <c r="F540" s="46" t="s">
        <v>37</v>
      </c>
      <c r="G540" s="46" t="s">
        <v>891</v>
      </c>
      <c r="H540" s="46" t="s">
        <v>965</v>
      </c>
      <c r="I540" s="46" t="s">
        <v>526</v>
      </c>
      <c r="J540" s="46" t="s">
        <v>977</v>
      </c>
      <c r="K540" s="43">
        <v>13</v>
      </c>
      <c r="L540" s="43">
        <v>187</v>
      </c>
      <c r="M540" s="47">
        <v>6.9148936170212769E-2</v>
      </c>
      <c r="N540" s="47">
        <v>49.8</v>
      </c>
      <c r="O540" s="46" t="s">
        <v>910</v>
      </c>
      <c r="P540" s="43">
        <v>399</v>
      </c>
      <c r="Q540" s="43">
        <v>30</v>
      </c>
      <c r="R540" s="45" t="s">
        <v>4279</v>
      </c>
      <c r="S540" s="46" t="s">
        <v>1789</v>
      </c>
    </row>
    <row r="541" spans="1:19" ht="42">
      <c r="A541" s="43">
        <v>537</v>
      </c>
      <c r="B541" s="43">
        <v>563</v>
      </c>
      <c r="C541" s="43">
        <v>963</v>
      </c>
      <c r="D541" s="44">
        <v>45893</v>
      </c>
      <c r="E541" s="45" t="s">
        <v>2204</v>
      </c>
      <c r="F541" s="46" t="s">
        <v>371</v>
      </c>
      <c r="G541" s="46" t="s">
        <v>889</v>
      </c>
      <c r="H541" s="46" t="s">
        <v>965</v>
      </c>
      <c r="I541" s="46" t="s">
        <v>530</v>
      </c>
      <c r="J541" s="46" t="s">
        <v>977</v>
      </c>
      <c r="K541" s="43">
        <v>15</v>
      </c>
      <c r="L541" s="43">
        <v>366</v>
      </c>
      <c r="M541" s="47">
        <v>4.0871934604904632E-2</v>
      </c>
      <c r="N541" s="47">
        <v>49.7</v>
      </c>
      <c r="O541" s="46" t="s">
        <v>910</v>
      </c>
      <c r="P541" s="43">
        <v>243</v>
      </c>
      <c r="Q541" s="43">
        <v>10</v>
      </c>
      <c r="R541" s="45" t="s">
        <v>4281</v>
      </c>
      <c r="S541" s="46" t="s">
        <v>2205</v>
      </c>
    </row>
    <row r="542" spans="1:19" ht="42">
      <c r="A542" s="43">
        <v>538</v>
      </c>
      <c r="B542" s="43">
        <v>441</v>
      </c>
      <c r="C542" s="43">
        <v>195</v>
      </c>
      <c r="D542" s="44">
        <v>45088</v>
      </c>
      <c r="E542" s="45" t="s">
        <v>3768</v>
      </c>
      <c r="F542" s="46" t="s">
        <v>37</v>
      </c>
      <c r="G542" s="46" t="s">
        <v>893</v>
      </c>
      <c r="H542" s="46" t="s">
        <v>965</v>
      </c>
      <c r="I542" s="46" t="s">
        <v>519</v>
      </c>
      <c r="J542" s="46" t="s">
        <v>968</v>
      </c>
      <c r="K542" s="43">
        <v>20</v>
      </c>
      <c r="L542" s="43">
        <v>1171</v>
      </c>
      <c r="M542" s="47">
        <v>1.7064846416382253E-2</v>
      </c>
      <c r="N542" s="47">
        <v>49.5</v>
      </c>
      <c r="O542" s="46" t="s">
        <v>910</v>
      </c>
      <c r="P542" s="43">
        <v>1887</v>
      </c>
      <c r="Q542" s="43">
        <v>20</v>
      </c>
      <c r="R542" s="45" t="s">
        <v>4278</v>
      </c>
      <c r="S542" s="46" t="s">
        <v>3769</v>
      </c>
    </row>
    <row r="543" spans="1:19" ht="42">
      <c r="A543" s="43">
        <v>539</v>
      </c>
      <c r="B543" s="43">
        <v>626</v>
      </c>
      <c r="C543" s="43">
        <v>1108</v>
      </c>
      <c r="D543" s="44">
        <v>46056</v>
      </c>
      <c r="E543" s="45" t="s">
        <v>1821</v>
      </c>
      <c r="F543" s="46" t="s">
        <v>382</v>
      </c>
      <c r="G543" s="46" t="s">
        <v>892</v>
      </c>
      <c r="H543" s="46" t="s">
        <v>965</v>
      </c>
      <c r="I543" s="46" t="s">
        <v>512</v>
      </c>
      <c r="J543" s="46" t="s">
        <v>977</v>
      </c>
      <c r="K543" s="43">
        <v>13</v>
      </c>
      <c r="L543" s="43">
        <v>203</v>
      </c>
      <c r="M543" s="47">
        <v>6.3725490196078427E-2</v>
      </c>
      <c r="N543" s="47">
        <v>49.5</v>
      </c>
      <c r="O543" s="46" t="s">
        <v>910</v>
      </c>
      <c r="P543" s="43">
        <v>650</v>
      </c>
      <c r="Q543" s="43">
        <v>20</v>
      </c>
      <c r="R543" s="45" t="s">
        <v>4278</v>
      </c>
      <c r="S543" s="46" t="s">
        <v>1822</v>
      </c>
    </row>
    <row r="544" spans="1:19" ht="42">
      <c r="A544" s="43">
        <v>540</v>
      </c>
      <c r="B544" s="43">
        <v>564</v>
      </c>
      <c r="C544" s="43">
        <v>776</v>
      </c>
      <c r="D544" s="44">
        <v>45871</v>
      </c>
      <c r="E544" s="45" t="s">
        <v>2234</v>
      </c>
      <c r="F544" s="46" t="s">
        <v>37</v>
      </c>
      <c r="G544" s="46" t="s">
        <v>923</v>
      </c>
      <c r="H544" s="46" t="s">
        <v>965</v>
      </c>
      <c r="I544" s="46" t="s">
        <v>512</v>
      </c>
      <c r="J544" s="46" t="s">
        <v>977</v>
      </c>
      <c r="K544" s="43">
        <v>15</v>
      </c>
      <c r="L544" s="43">
        <v>388</v>
      </c>
      <c r="M544" s="47">
        <v>3.8560411311053984E-2</v>
      </c>
      <c r="N544" s="47">
        <v>49.4</v>
      </c>
      <c r="O544" s="46" t="s">
        <v>910</v>
      </c>
      <c r="P544" s="43">
        <v>633</v>
      </c>
      <c r="Q544" s="43">
        <v>20</v>
      </c>
      <c r="R544" s="45" t="s">
        <v>4278</v>
      </c>
      <c r="S544" s="46" t="s">
        <v>2235</v>
      </c>
    </row>
    <row r="545" spans="1:19" ht="42">
      <c r="A545" s="43">
        <v>541</v>
      </c>
      <c r="B545" s="43">
        <v>565</v>
      </c>
      <c r="C545" s="43">
        <v>772</v>
      </c>
      <c r="D545" s="44">
        <v>45870</v>
      </c>
      <c r="E545" s="45" t="s">
        <v>2243</v>
      </c>
      <c r="F545" s="46" t="s">
        <v>37</v>
      </c>
      <c r="G545" s="46" t="s">
        <v>1038</v>
      </c>
      <c r="H545" s="46" t="s">
        <v>1038</v>
      </c>
      <c r="I545" s="46" t="s">
        <v>512</v>
      </c>
      <c r="J545" s="46" t="s">
        <v>977</v>
      </c>
      <c r="K545" s="43">
        <v>15</v>
      </c>
      <c r="L545" s="43">
        <v>389</v>
      </c>
      <c r="M545" s="47">
        <v>3.8461538461538464E-2</v>
      </c>
      <c r="N545" s="47">
        <v>49.3</v>
      </c>
      <c r="O545" s="46" t="s">
        <v>910</v>
      </c>
      <c r="P545" s="43">
        <v>437</v>
      </c>
      <c r="Q545" s="43">
        <v>20</v>
      </c>
      <c r="R545" s="45" t="s">
        <v>4275</v>
      </c>
      <c r="S545" s="46" t="s">
        <v>2244</v>
      </c>
    </row>
    <row r="546" spans="1:19" ht="42">
      <c r="A546" s="43">
        <v>542</v>
      </c>
      <c r="B546" s="43">
        <v>442</v>
      </c>
      <c r="C546" s="43">
        <v>169</v>
      </c>
      <c r="D546" s="44">
        <v>45072</v>
      </c>
      <c r="E546" s="45" t="s">
        <v>3813</v>
      </c>
      <c r="F546" s="46" t="s">
        <v>37</v>
      </c>
      <c r="G546" s="46" t="s">
        <v>1038</v>
      </c>
      <c r="H546" s="46" t="s">
        <v>1038</v>
      </c>
      <c r="I546" s="46" t="s">
        <v>533</v>
      </c>
      <c r="J546" s="46" t="s">
        <v>977</v>
      </c>
      <c r="K546" s="43">
        <v>20</v>
      </c>
      <c r="L546" s="43">
        <v>1187</v>
      </c>
      <c r="M546" s="47">
        <v>1.6835016835016835E-2</v>
      </c>
      <c r="N546" s="47">
        <v>49.2</v>
      </c>
      <c r="O546" s="46" t="s">
        <v>910</v>
      </c>
      <c r="P546" s="43">
        <v>3021</v>
      </c>
      <c r="Q546" s="43">
        <v>20</v>
      </c>
      <c r="R546" s="45" t="s">
        <v>4278</v>
      </c>
      <c r="S546" s="46" t="s">
        <v>3814</v>
      </c>
    </row>
    <row r="547" spans="1:19" ht="42">
      <c r="A547" s="43">
        <v>543</v>
      </c>
      <c r="B547" s="43">
        <v>627</v>
      </c>
      <c r="C547" s="43">
        <v>1161</v>
      </c>
      <c r="D547" s="44">
        <v>46043</v>
      </c>
      <c r="E547" s="45" t="s">
        <v>1884</v>
      </c>
      <c r="F547" s="46" t="s">
        <v>360</v>
      </c>
      <c r="G547" s="46" t="s">
        <v>894</v>
      </c>
      <c r="H547" s="46" t="s">
        <v>965</v>
      </c>
      <c r="I547" s="46" t="s">
        <v>530</v>
      </c>
      <c r="J547" s="46" t="s">
        <v>977</v>
      </c>
      <c r="K547" s="43">
        <v>13</v>
      </c>
      <c r="L547" s="43">
        <v>216</v>
      </c>
      <c r="M547" s="47">
        <v>5.9907834101382486E-2</v>
      </c>
      <c r="N547" s="47">
        <v>49</v>
      </c>
      <c r="O547" s="46" t="s">
        <v>910</v>
      </c>
      <c r="P547" s="43">
        <v>302</v>
      </c>
      <c r="Q547" s="43">
        <v>10</v>
      </c>
      <c r="R547" s="45" t="s">
        <v>4281</v>
      </c>
      <c r="S547" s="46" t="s">
        <v>1885</v>
      </c>
    </row>
    <row r="548" spans="1:19" ht="42">
      <c r="A548" s="43">
        <v>544</v>
      </c>
      <c r="B548" s="43">
        <v>490</v>
      </c>
      <c r="C548" s="43">
        <v>504</v>
      </c>
      <c r="D548" s="44">
        <v>45410</v>
      </c>
      <c r="E548" s="45" t="s">
        <v>3196</v>
      </c>
      <c r="F548" s="46" t="s">
        <v>37</v>
      </c>
      <c r="G548" s="46" t="s">
        <v>904</v>
      </c>
      <c r="H548" s="46" t="s">
        <v>1317</v>
      </c>
      <c r="I548" s="46" t="s">
        <v>512</v>
      </c>
      <c r="J548" s="46" t="s">
        <v>968</v>
      </c>
      <c r="K548" s="43">
        <v>18</v>
      </c>
      <c r="L548" s="43">
        <v>849</v>
      </c>
      <c r="M548" s="47">
        <v>2.1176470588235293E-2</v>
      </c>
      <c r="N548" s="47">
        <v>48.8</v>
      </c>
      <c r="O548" s="46" t="s">
        <v>910</v>
      </c>
      <c r="P548" s="43">
        <v>960</v>
      </c>
      <c r="Q548" s="43">
        <v>20</v>
      </c>
      <c r="R548" s="45" t="s">
        <v>4278</v>
      </c>
      <c r="S548" s="46" t="s">
        <v>3197</v>
      </c>
    </row>
    <row r="549" spans="1:19" ht="42">
      <c r="A549" s="43">
        <v>545</v>
      </c>
      <c r="B549" s="43">
        <v>566</v>
      </c>
      <c r="C549" s="43">
        <v>946</v>
      </c>
      <c r="D549" s="44">
        <v>45858</v>
      </c>
      <c r="E549" s="45" t="s">
        <v>2286</v>
      </c>
      <c r="F549" s="46" t="s">
        <v>371</v>
      </c>
      <c r="G549" s="46" t="s">
        <v>882</v>
      </c>
      <c r="H549" s="46" t="s">
        <v>1317</v>
      </c>
      <c r="I549" s="46" t="s">
        <v>526</v>
      </c>
      <c r="J549" s="46" t="s">
        <v>968</v>
      </c>
      <c r="K549" s="43">
        <v>15</v>
      </c>
      <c r="L549" s="43">
        <v>401</v>
      </c>
      <c r="M549" s="47">
        <v>3.7313432835820892E-2</v>
      </c>
      <c r="N549" s="47">
        <v>48.8</v>
      </c>
      <c r="O549" s="46" t="s">
        <v>910</v>
      </c>
      <c r="P549" s="43">
        <v>457</v>
      </c>
      <c r="Q549" s="43">
        <v>20</v>
      </c>
      <c r="R549" s="45" t="s">
        <v>4275</v>
      </c>
      <c r="S549" s="46" t="s">
        <v>2287</v>
      </c>
    </row>
    <row r="550" spans="1:19" ht="42">
      <c r="A550" s="43">
        <v>546</v>
      </c>
      <c r="B550" s="43">
        <v>513</v>
      </c>
      <c r="C550" s="43">
        <v>1016</v>
      </c>
      <c r="D550" s="44">
        <v>45563</v>
      </c>
      <c r="E550" s="45" t="s">
        <v>2931</v>
      </c>
      <c r="F550" s="46" t="s">
        <v>382</v>
      </c>
      <c r="G550" s="46" t="s">
        <v>878</v>
      </c>
      <c r="H550" s="46" t="s">
        <v>965</v>
      </c>
      <c r="I550" s="46" t="s">
        <v>515</v>
      </c>
      <c r="J550" s="46" t="s">
        <v>977</v>
      </c>
      <c r="K550" s="43">
        <v>17</v>
      </c>
      <c r="L550" s="43">
        <v>696</v>
      </c>
      <c r="M550" s="47">
        <v>2.4390243902439025E-2</v>
      </c>
      <c r="N550" s="47">
        <v>48.7</v>
      </c>
      <c r="O550" s="46" t="s">
        <v>910</v>
      </c>
      <c r="P550" s="43">
        <v>6</v>
      </c>
      <c r="Q550" s="43">
        <v>10</v>
      </c>
      <c r="R550" s="45" t="s">
        <v>4281</v>
      </c>
      <c r="S550" s="46" t="s">
        <v>2932</v>
      </c>
    </row>
    <row r="551" spans="1:19" ht="42">
      <c r="A551" s="43">
        <v>547</v>
      </c>
      <c r="B551" s="43">
        <v>456</v>
      </c>
      <c r="C551" s="43">
        <v>289</v>
      </c>
      <c r="D551" s="44">
        <v>45177</v>
      </c>
      <c r="E551" s="45" t="s">
        <v>3627</v>
      </c>
      <c r="F551" s="46" t="s">
        <v>37</v>
      </c>
      <c r="G551" s="46" t="s">
        <v>1038</v>
      </c>
      <c r="H551" s="46" t="s">
        <v>1005</v>
      </c>
      <c r="I551" s="46" t="s">
        <v>512</v>
      </c>
      <c r="J551" s="46" t="s">
        <v>968</v>
      </c>
      <c r="K551" s="43">
        <v>19</v>
      </c>
      <c r="L551" s="43">
        <v>1082</v>
      </c>
      <c r="M551" s="47">
        <v>1.7543859649122806E-2</v>
      </c>
      <c r="N551" s="47">
        <v>48.6</v>
      </c>
      <c r="O551" s="46" t="s">
        <v>910</v>
      </c>
      <c r="P551" s="43">
        <v>327</v>
      </c>
      <c r="Q551" s="43">
        <v>10</v>
      </c>
      <c r="R551" s="45" t="s">
        <v>4281</v>
      </c>
      <c r="S551" s="46" t="s">
        <v>3628</v>
      </c>
    </row>
    <row r="552" spans="1:19" ht="42">
      <c r="A552" s="43">
        <v>548</v>
      </c>
      <c r="B552" s="43">
        <v>535</v>
      </c>
      <c r="C552" s="43">
        <v>1053</v>
      </c>
      <c r="D552" s="44">
        <v>45706</v>
      </c>
      <c r="E552" s="45" t="s">
        <v>2533</v>
      </c>
      <c r="F552" s="46" t="s">
        <v>382</v>
      </c>
      <c r="G552" s="46" t="s">
        <v>878</v>
      </c>
      <c r="H552" s="46" t="s">
        <v>965</v>
      </c>
      <c r="I552" s="46" t="s">
        <v>515</v>
      </c>
      <c r="J552" s="46" t="s">
        <v>977</v>
      </c>
      <c r="K552" s="43">
        <v>16</v>
      </c>
      <c r="L552" s="43">
        <v>553</v>
      </c>
      <c r="M552" s="47">
        <v>2.8880866425992781E-2</v>
      </c>
      <c r="N552" s="47">
        <v>48.6</v>
      </c>
      <c r="O552" s="46" t="s">
        <v>910</v>
      </c>
      <c r="P552" s="43">
        <v>249</v>
      </c>
      <c r="Q552" s="43">
        <v>10</v>
      </c>
      <c r="R552" s="45" t="s">
        <v>4281</v>
      </c>
      <c r="S552" s="46" t="s">
        <v>2534</v>
      </c>
    </row>
    <row r="553" spans="1:19" ht="42">
      <c r="A553" s="43">
        <v>549</v>
      </c>
      <c r="B553" s="43">
        <v>457</v>
      </c>
      <c r="C553" s="43">
        <v>416</v>
      </c>
      <c r="D553" s="44">
        <v>45175</v>
      </c>
      <c r="E553" s="45" t="s">
        <v>3633</v>
      </c>
      <c r="F553" s="46" t="s">
        <v>37</v>
      </c>
      <c r="G553" s="46" t="s">
        <v>878</v>
      </c>
      <c r="H553" s="46" t="s">
        <v>965</v>
      </c>
      <c r="I553" s="46" t="s">
        <v>512</v>
      </c>
      <c r="J553" s="46" t="s">
        <v>977</v>
      </c>
      <c r="K553" s="43">
        <v>19</v>
      </c>
      <c r="L553" s="43">
        <v>1084</v>
      </c>
      <c r="M553" s="47">
        <v>1.7511520737327188E-2</v>
      </c>
      <c r="N553" s="47">
        <v>48.5</v>
      </c>
      <c r="O553" s="46" t="s">
        <v>910</v>
      </c>
      <c r="P553" s="43">
        <v>407</v>
      </c>
      <c r="Q553" s="43">
        <v>20</v>
      </c>
      <c r="R553" s="45" t="s">
        <v>4275</v>
      </c>
      <c r="S553" s="46" t="s">
        <v>3634</v>
      </c>
    </row>
    <row r="554" spans="1:19" ht="42">
      <c r="A554" s="43">
        <v>550</v>
      </c>
      <c r="B554" s="43">
        <v>628</v>
      </c>
      <c r="C554" s="43">
        <v>812</v>
      </c>
      <c r="D554" s="44">
        <v>46023</v>
      </c>
      <c r="E554" s="45" t="s">
        <v>1935</v>
      </c>
      <c r="F554" s="46" t="s">
        <v>37</v>
      </c>
      <c r="G554" s="46" t="s">
        <v>884</v>
      </c>
      <c r="H554" s="46" t="s">
        <v>965</v>
      </c>
      <c r="I554" s="46" t="s">
        <v>522</v>
      </c>
      <c r="J554" s="46" t="s">
        <v>977</v>
      </c>
      <c r="K554" s="43">
        <v>13</v>
      </c>
      <c r="L554" s="43">
        <v>236</v>
      </c>
      <c r="M554" s="47">
        <v>5.4852320675105488E-2</v>
      </c>
      <c r="N554" s="47">
        <v>48.5</v>
      </c>
      <c r="O554" s="46" t="s">
        <v>910</v>
      </c>
      <c r="P554" s="43">
        <v>356</v>
      </c>
      <c r="Q554" s="43">
        <v>10</v>
      </c>
      <c r="R554" s="45" t="s">
        <v>4281</v>
      </c>
      <c r="S554" s="46" t="s">
        <v>1936</v>
      </c>
    </row>
    <row r="555" spans="1:19" ht="21">
      <c r="A555" s="43">
        <v>551</v>
      </c>
      <c r="B555" s="43">
        <v>872</v>
      </c>
      <c r="C555" s="43">
        <v>1498</v>
      </c>
      <c r="D555" s="44">
        <v>46259</v>
      </c>
      <c r="E555" s="45" t="s">
        <v>979</v>
      </c>
      <c r="F555" s="46" t="s">
        <v>37</v>
      </c>
      <c r="G555" s="46" t="s">
        <v>914</v>
      </c>
      <c r="H555" s="46" t="s">
        <v>965</v>
      </c>
      <c r="I555" s="46" t="s">
        <v>519</v>
      </c>
      <c r="J555" s="46" t="s">
        <v>968</v>
      </c>
      <c r="K555" s="43">
        <v>7</v>
      </c>
      <c r="L555" s="43">
        <v>0</v>
      </c>
      <c r="M555" s="47">
        <v>7</v>
      </c>
      <c r="N555" s="47">
        <v>48.5</v>
      </c>
      <c r="O555" s="46" t="s">
        <v>910</v>
      </c>
      <c r="P555" s="43">
        <v>610</v>
      </c>
      <c r="Q555" s="43">
        <v>60</v>
      </c>
      <c r="R555" s="45" t="s">
        <v>4267</v>
      </c>
      <c r="S555" s="46" t="s">
        <v>980</v>
      </c>
    </row>
    <row r="556" spans="1:19" ht="42">
      <c r="A556" s="43">
        <v>552</v>
      </c>
      <c r="B556" s="43">
        <v>458</v>
      </c>
      <c r="C556" s="43">
        <v>255</v>
      </c>
      <c r="D556" s="44">
        <v>45150</v>
      </c>
      <c r="E556" s="45" t="s">
        <v>3663</v>
      </c>
      <c r="F556" s="46" t="s">
        <v>37</v>
      </c>
      <c r="G556" s="46" t="s">
        <v>882</v>
      </c>
      <c r="H556" s="46" t="s">
        <v>965</v>
      </c>
      <c r="I556" s="46" t="s">
        <v>533</v>
      </c>
      <c r="J556" s="46" t="s">
        <v>977</v>
      </c>
      <c r="K556" s="43">
        <v>19</v>
      </c>
      <c r="L556" s="43">
        <v>1109</v>
      </c>
      <c r="M556" s="47">
        <v>1.7117117117117116E-2</v>
      </c>
      <c r="N556" s="47">
        <v>48.3</v>
      </c>
      <c r="O556" s="46" t="s">
        <v>910</v>
      </c>
      <c r="P556" s="43">
        <v>29</v>
      </c>
      <c r="Q556" s="43">
        <v>10</v>
      </c>
      <c r="R556" s="45" t="s">
        <v>4281</v>
      </c>
      <c r="S556" s="46" t="s">
        <v>3664</v>
      </c>
    </row>
    <row r="557" spans="1:19" ht="31.5">
      <c r="A557" s="43">
        <v>553</v>
      </c>
      <c r="B557" s="43">
        <v>514</v>
      </c>
      <c r="C557" s="43">
        <v>585</v>
      </c>
      <c r="D557" s="44">
        <v>45533</v>
      </c>
      <c r="E557" s="45" t="s">
        <v>3018</v>
      </c>
      <c r="F557" s="46" t="s">
        <v>37</v>
      </c>
      <c r="G557" s="46" t="s">
        <v>894</v>
      </c>
      <c r="H557" s="46" t="s">
        <v>965</v>
      </c>
      <c r="I557" s="46" t="s">
        <v>512</v>
      </c>
      <c r="J557" s="46" t="s">
        <v>977</v>
      </c>
      <c r="K557" s="43">
        <v>17</v>
      </c>
      <c r="L557" s="43">
        <v>726</v>
      </c>
      <c r="M557" s="47">
        <v>2.3383768913342505E-2</v>
      </c>
      <c r="N557" s="47">
        <v>48.3</v>
      </c>
      <c r="O557" s="46" t="s">
        <v>910</v>
      </c>
      <c r="P557" s="43">
        <v>679</v>
      </c>
      <c r="Q557" s="43">
        <v>30</v>
      </c>
      <c r="R557" s="45" t="s">
        <v>4283</v>
      </c>
      <c r="S557" s="46" t="s">
        <v>3019</v>
      </c>
    </row>
    <row r="558" spans="1:19" ht="31.5">
      <c r="A558" s="43">
        <v>554</v>
      </c>
      <c r="B558" s="43">
        <v>491</v>
      </c>
      <c r="C558" s="43">
        <v>438</v>
      </c>
      <c r="D558" s="44">
        <v>45339</v>
      </c>
      <c r="E558" s="45" t="s">
        <v>3330</v>
      </c>
      <c r="F558" s="46" t="s">
        <v>37</v>
      </c>
      <c r="G558" s="46" t="s">
        <v>1038</v>
      </c>
      <c r="H558" s="46" t="s">
        <v>1038</v>
      </c>
      <c r="I558" s="46" t="s">
        <v>522</v>
      </c>
      <c r="J558" s="46" t="s">
        <v>977</v>
      </c>
      <c r="K558" s="43">
        <v>18</v>
      </c>
      <c r="L558" s="43">
        <v>920</v>
      </c>
      <c r="M558" s="47">
        <v>1.9543973941368076E-2</v>
      </c>
      <c r="N558" s="47">
        <v>48.2</v>
      </c>
      <c r="O558" s="46" t="s">
        <v>910</v>
      </c>
      <c r="P558" s="43">
        <v>579</v>
      </c>
      <c r="Q558" s="43">
        <v>30</v>
      </c>
      <c r="R558" s="45" t="s">
        <v>4283</v>
      </c>
      <c r="S558" s="46" t="s">
        <v>3331</v>
      </c>
    </row>
    <row r="559" spans="1:19" ht="31.5">
      <c r="A559" s="43">
        <v>555</v>
      </c>
      <c r="B559" s="43">
        <v>629</v>
      </c>
      <c r="C559" s="43">
        <v>1082</v>
      </c>
      <c r="D559" s="44">
        <v>46009</v>
      </c>
      <c r="E559" s="45" t="s">
        <v>2020</v>
      </c>
      <c r="F559" s="46" t="s">
        <v>382</v>
      </c>
      <c r="G559" s="46" t="s">
        <v>878</v>
      </c>
      <c r="H559" s="46" t="s">
        <v>965</v>
      </c>
      <c r="I559" s="46" t="s">
        <v>522</v>
      </c>
      <c r="J559" s="46" t="s">
        <v>968</v>
      </c>
      <c r="K559" s="43">
        <v>13</v>
      </c>
      <c r="L559" s="43">
        <v>250</v>
      </c>
      <c r="M559" s="47">
        <v>5.1792828685258967E-2</v>
      </c>
      <c r="N559" s="47">
        <v>48.2</v>
      </c>
      <c r="O559" s="46" t="s">
        <v>910</v>
      </c>
      <c r="P559" s="43">
        <v>666</v>
      </c>
      <c r="Q559" s="43">
        <v>30</v>
      </c>
      <c r="R559" s="45" t="s">
        <v>4283</v>
      </c>
      <c r="S559" s="46" t="s">
        <v>2021</v>
      </c>
    </row>
    <row r="560" spans="1:19" ht="42">
      <c r="A560" s="43">
        <v>556</v>
      </c>
      <c r="B560" s="43">
        <v>669</v>
      </c>
      <c r="C560" s="43">
        <v>1193</v>
      </c>
      <c r="D560" s="44">
        <v>46115</v>
      </c>
      <c r="E560" s="45" t="s">
        <v>1740</v>
      </c>
      <c r="F560" s="46" t="s">
        <v>37</v>
      </c>
      <c r="G560" s="46" t="s">
        <v>889</v>
      </c>
      <c r="H560" s="46" t="s">
        <v>965</v>
      </c>
      <c r="I560" s="46" t="s">
        <v>515</v>
      </c>
      <c r="J560" s="46" t="s">
        <v>977</v>
      </c>
      <c r="K560" s="43">
        <v>12</v>
      </c>
      <c r="L560" s="43">
        <v>144</v>
      </c>
      <c r="M560" s="47">
        <v>8.2758620689655171E-2</v>
      </c>
      <c r="N560" s="47">
        <v>48.2</v>
      </c>
      <c r="O560" s="46" t="s">
        <v>910</v>
      </c>
      <c r="P560" s="43">
        <v>479</v>
      </c>
      <c r="Q560" s="43">
        <v>20</v>
      </c>
      <c r="R560" s="45" t="s">
        <v>4272</v>
      </c>
      <c r="S560" s="46" t="s">
        <v>1741</v>
      </c>
    </row>
    <row r="561" spans="1:19" ht="42">
      <c r="A561" s="43">
        <v>557</v>
      </c>
      <c r="B561" s="43">
        <v>492</v>
      </c>
      <c r="C561" s="43">
        <v>414</v>
      </c>
      <c r="D561" s="44">
        <v>45322</v>
      </c>
      <c r="E561" s="45" t="s">
        <v>3367</v>
      </c>
      <c r="F561" s="46" t="s">
        <v>37</v>
      </c>
      <c r="G561" s="46" t="s">
        <v>882</v>
      </c>
      <c r="H561" s="46" t="s">
        <v>965</v>
      </c>
      <c r="I561" s="46" t="s">
        <v>512</v>
      </c>
      <c r="J561" s="46" t="s">
        <v>977</v>
      </c>
      <c r="K561" s="43">
        <v>18</v>
      </c>
      <c r="L561" s="43">
        <v>937</v>
      </c>
      <c r="M561" s="47">
        <v>1.9189765458422176E-2</v>
      </c>
      <c r="N561" s="47">
        <v>48</v>
      </c>
      <c r="O561" s="46" t="s">
        <v>910</v>
      </c>
      <c r="P561" s="43">
        <v>7</v>
      </c>
      <c r="Q561" s="43">
        <v>20</v>
      </c>
      <c r="R561" s="45" t="s">
        <v>4275</v>
      </c>
      <c r="S561" s="46" t="s">
        <v>3368</v>
      </c>
    </row>
    <row r="562" spans="1:19" ht="42">
      <c r="A562" s="43">
        <v>558</v>
      </c>
      <c r="B562" s="43">
        <v>536</v>
      </c>
      <c r="C562" s="43">
        <v>696</v>
      </c>
      <c r="D562" s="44">
        <v>45657</v>
      </c>
      <c r="E562" s="45" t="s">
        <v>2679</v>
      </c>
      <c r="F562" s="46" t="s">
        <v>37</v>
      </c>
      <c r="G562" s="46" t="s">
        <v>894</v>
      </c>
      <c r="H562" s="46" t="s">
        <v>965</v>
      </c>
      <c r="I562" s="46" t="s">
        <v>526</v>
      </c>
      <c r="J562" s="46" t="s">
        <v>977</v>
      </c>
      <c r="K562" s="43">
        <v>16</v>
      </c>
      <c r="L562" s="43">
        <v>602</v>
      </c>
      <c r="M562" s="47">
        <v>2.6533996683250415E-2</v>
      </c>
      <c r="N562" s="47">
        <v>48</v>
      </c>
      <c r="O562" s="46" t="s">
        <v>910</v>
      </c>
      <c r="P562" s="43">
        <v>495</v>
      </c>
      <c r="Q562" s="43">
        <v>20</v>
      </c>
      <c r="R562" s="45" t="s">
        <v>4275</v>
      </c>
      <c r="S562" s="46" t="s">
        <v>2680</v>
      </c>
    </row>
    <row r="563" spans="1:19" ht="42">
      <c r="A563" s="43">
        <v>559</v>
      </c>
      <c r="B563" s="43">
        <v>419</v>
      </c>
      <c r="C563" s="43">
        <v>41</v>
      </c>
      <c r="D563" s="44">
        <v>44671</v>
      </c>
      <c r="E563" s="45" t="s">
        <v>4045</v>
      </c>
      <c r="F563" s="46" t="s">
        <v>37</v>
      </c>
      <c r="G563" s="46" t="s">
        <v>878</v>
      </c>
      <c r="H563" s="46" t="s">
        <v>965</v>
      </c>
      <c r="I563" s="46" t="s">
        <v>522</v>
      </c>
      <c r="J563" s="46" t="s">
        <v>977</v>
      </c>
      <c r="K563" s="43">
        <v>21</v>
      </c>
      <c r="L563" s="43">
        <v>1588</v>
      </c>
      <c r="M563" s="47">
        <v>1.3215859030837005E-2</v>
      </c>
      <c r="N563" s="47">
        <v>47.9</v>
      </c>
      <c r="O563" s="46" t="s">
        <v>910</v>
      </c>
      <c r="P563" s="43">
        <v>87</v>
      </c>
      <c r="Q563" s="43">
        <v>20</v>
      </c>
      <c r="R563" s="45" t="s">
        <v>4275</v>
      </c>
      <c r="S563" s="46" t="s">
        <v>4046</v>
      </c>
    </row>
    <row r="564" spans="1:19" ht="31.5">
      <c r="A564" s="43">
        <v>560</v>
      </c>
      <c r="B564" s="43">
        <v>493</v>
      </c>
      <c r="C564" s="43">
        <v>386</v>
      </c>
      <c r="D564" s="44">
        <v>45307</v>
      </c>
      <c r="E564" s="45" t="s">
        <v>3409</v>
      </c>
      <c r="F564" s="46" t="s">
        <v>37</v>
      </c>
      <c r="G564" s="46" t="s">
        <v>904</v>
      </c>
      <c r="H564" s="46" t="s">
        <v>1317</v>
      </c>
      <c r="I564" s="46" t="s">
        <v>512</v>
      </c>
      <c r="J564" s="46" t="s">
        <v>968</v>
      </c>
      <c r="K564" s="43">
        <v>18</v>
      </c>
      <c r="L564" s="43">
        <v>952</v>
      </c>
      <c r="M564" s="47">
        <v>1.888772298006296E-2</v>
      </c>
      <c r="N564" s="47">
        <v>47.9</v>
      </c>
      <c r="O564" s="46" t="s">
        <v>910</v>
      </c>
      <c r="P564" s="43">
        <v>536</v>
      </c>
      <c r="Q564" s="43">
        <v>30</v>
      </c>
      <c r="R564" s="45" t="s">
        <v>4283</v>
      </c>
      <c r="S564" s="46" t="s">
        <v>3410</v>
      </c>
    </row>
    <row r="565" spans="1:19" ht="31.5">
      <c r="A565" s="43">
        <v>561</v>
      </c>
      <c r="B565" s="43">
        <v>670</v>
      </c>
      <c r="C565" s="43">
        <v>1191</v>
      </c>
      <c r="D565" s="44">
        <v>46108</v>
      </c>
      <c r="E565" s="45" t="s">
        <v>1746</v>
      </c>
      <c r="F565" s="46" t="s">
        <v>37</v>
      </c>
      <c r="G565" s="46" t="s">
        <v>913</v>
      </c>
      <c r="H565" s="46" t="s">
        <v>965</v>
      </c>
      <c r="I565" s="46" t="s">
        <v>522</v>
      </c>
      <c r="J565" s="46" t="s">
        <v>977</v>
      </c>
      <c r="K565" s="43">
        <v>12</v>
      </c>
      <c r="L565" s="43">
        <v>151</v>
      </c>
      <c r="M565" s="47">
        <v>7.8947368421052627E-2</v>
      </c>
      <c r="N565" s="47">
        <v>47.9</v>
      </c>
      <c r="O565" s="46" t="s">
        <v>910</v>
      </c>
      <c r="P565" s="43">
        <v>354</v>
      </c>
      <c r="Q565" s="43">
        <v>30</v>
      </c>
      <c r="R565" s="45" t="s">
        <v>4279</v>
      </c>
      <c r="S565" s="46" t="s">
        <v>1747</v>
      </c>
    </row>
    <row r="566" spans="1:19" ht="42">
      <c r="A566" s="43">
        <v>562</v>
      </c>
      <c r="B566" s="43">
        <v>494</v>
      </c>
      <c r="C566" s="43">
        <v>376</v>
      </c>
      <c r="D566" s="44">
        <v>45303</v>
      </c>
      <c r="E566" s="45" t="s">
        <v>3438</v>
      </c>
      <c r="F566" s="46" t="s">
        <v>37</v>
      </c>
      <c r="G566" s="46" t="s">
        <v>900</v>
      </c>
      <c r="H566" s="46" t="s">
        <v>965</v>
      </c>
      <c r="I566" s="46" t="s">
        <v>533</v>
      </c>
      <c r="J566" s="46" t="s">
        <v>977</v>
      </c>
      <c r="K566" s="43">
        <v>18</v>
      </c>
      <c r="L566" s="43">
        <v>956</v>
      </c>
      <c r="M566" s="47">
        <v>1.8808777429467086E-2</v>
      </c>
      <c r="N566" s="47">
        <v>47.8</v>
      </c>
      <c r="O566" s="46" t="s">
        <v>910</v>
      </c>
      <c r="P566" s="43">
        <v>272</v>
      </c>
      <c r="Q566" s="43">
        <v>10</v>
      </c>
      <c r="R566" s="45" t="s">
        <v>4281</v>
      </c>
      <c r="S566" s="46" t="s">
        <v>3439</v>
      </c>
    </row>
    <row r="567" spans="1:19" ht="42">
      <c r="A567" s="43">
        <v>563</v>
      </c>
      <c r="B567" s="43">
        <v>537</v>
      </c>
      <c r="C567" s="43">
        <v>678</v>
      </c>
      <c r="D567" s="44">
        <v>45642</v>
      </c>
      <c r="E567" s="45" t="s">
        <v>2737</v>
      </c>
      <c r="F567" s="46" t="s">
        <v>37</v>
      </c>
      <c r="G567" s="46" t="s">
        <v>1038</v>
      </c>
      <c r="H567" s="46" t="s">
        <v>1005</v>
      </c>
      <c r="I567" s="46" t="s">
        <v>512</v>
      </c>
      <c r="J567" s="46" t="s">
        <v>968</v>
      </c>
      <c r="K567" s="43">
        <v>16</v>
      </c>
      <c r="L567" s="43">
        <v>617</v>
      </c>
      <c r="M567" s="47">
        <v>2.5889967637540454E-2</v>
      </c>
      <c r="N567" s="47">
        <v>47.8</v>
      </c>
      <c r="O567" s="46" t="s">
        <v>910</v>
      </c>
      <c r="P567" s="43">
        <v>577</v>
      </c>
      <c r="Q567" s="43">
        <v>20</v>
      </c>
      <c r="R567" s="45" t="s">
        <v>4278</v>
      </c>
      <c r="S567" s="46" t="s">
        <v>2738</v>
      </c>
    </row>
    <row r="568" spans="1:19" ht="42">
      <c r="A568" s="43">
        <v>564</v>
      </c>
      <c r="B568" s="43">
        <v>538</v>
      </c>
      <c r="C568" s="43">
        <v>897</v>
      </c>
      <c r="D568" s="44">
        <v>45638</v>
      </c>
      <c r="E568" s="45" t="s">
        <v>2749</v>
      </c>
      <c r="F568" s="46" t="s">
        <v>371</v>
      </c>
      <c r="G568" s="46" t="s">
        <v>878</v>
      </c>
      <c r="H568" s="46" t="s">
        <v>965</v>
      </c>
      <c r="I568" s="46" t="s">
        <v>512</v>
      </c>
      <c r="J568" s="46" t="s">
        <v>968</v>
      </c>
      <c r="K568" s="43">
        <v>16</v>
      </c>
      <c r="L568" s="43">
        <v>621</v>
      </c>
      <c r="M568" s="47">
        <v>2.5723472668810289E-2</v>
      </c>
      <c r="N568" s="47">
        <v>47.6</v>
      </c>
      <c r="O568" s="46" t="s">
        <v>910</v>
      </c>
      <c r="P568" s="43">
        <v>51</v>
      </c>
      <c r="Q568" s="43">
        <v>10</v>
      </c>
      <c r="R568" s="45" t="s">
        <v>4281</v>
      </c>
      <c r="S568" s="46" t="s">
        <v>2750</v>
      </c>
    </row>
    <row r="569" spans="1:19" ht="42">
      <c r="A569" s="43">
        <v>565</v>
      </c>
      <c r="B569" s="43">
        <v>539</v>
      </c>
      <c r="C569" s="43">
        <v>670</v>
      </c>
      <c r="D569" s="44">
        <v>45634</v>
      </c>
      <c r="E569" s="45" t="s">
        <v>2764</v>
      </c>
      <c r="F569" s="46" t="s">
        <v>37</v>
      </c>
      <c r="G569" s="46" t="s">
        <v>1038</v>
      </c>
      <c r="H569" s="46" t="s">
        <v>1038</v>
      </c>
      <c r="I569" s="46" t="s">
        <v>515</v>
      </c>
      <c r="J569" s="46" t="s">
        <v>977</v>
      </c>
      <c r="K569" s="43">
        <v>16</v>
      </c>
      <c r="L569" s="43">
        <v>625</v>
      </c>
      <c r="M569" s="47">
        <v>2.5559105431309903E-2</v>
      </c>
      <c r="N569" s="47">
        <v>47.6</v>
      </c>
      <c r="O569" s="46" t="s">
        <v>910</v>
      </c>
      <c r="P569" s="43">
        <v>969</v>
      </c>
      <c r="Q569" s="43">
        <v>20</v>
      </c>
      <c r="R569" s="45" t="s">
        <v>4278</v>
      </c>
      <c r="S569" s="46" t="s">
        <v>2765</v>
      </c>
    </row>
    <row r="570" spans="1:19" ht="31.5">
      <c r="A570" s="43">
        <v>566</v>
      </c>
      <c r="B570" s="43">
        <v>567</v>
      </c>
      <c r="C570" s="43">
        <v>910</v>
      </c>
      <c r="D570" s="44">
        <v>45790</v>
      </c>
      <c r="E570" s="45" t="s">
        <v>2433</v>
      </c>
      <c r="F570" s="46" t="s">
        <v>371</v>
      </c>
      <c r="G570" s="46" t="s">
        <v>1038</v>
      </c>
      <c r="H570" s="46" t="s">
        <v>1005</v>
      </c>
      <c r="I570" s="46" t="s">
        <v>519</v>
      </c>
      <c r="J570" s="46" t="s">
        <v>968</v>
      </c>
      <c r="K570" s="43">
        <v>15</v>
      </c>
      <c r="L570" s="43">
        <v>469</v>
      </c>
      <c r="M570" s="47">
        <v>3.1914893617021274E-2</v>
      </c>
      <c r="N570" s="47">
        <v>47.6</v>
      </c>
      <c r="O570" s="46" t="s">
        <v>910</v>
      </c>
      <c r="P570" s="43">
        <v>620</v>
      </c>
      <c r="Q570" s="43">
        <v>30</v>
      </c>
      <c r="R570" s="45" t="s">
        <v>4283</v>
      </c>
      <c r="S570" s="46" t="s">
        <v>2434</v>
      </c>
    </row>
    <row r="571" spans="1:19" ht="42">
      <c r="A571" s="43">
        <v>567</v>
      </c>
      <c r="B571" s="43">
        <v>459</v>
      </c>
      <c r="C571" s="43">
        <v>162</v>
      </c>
      <c r="D571" s="44">
        <v>45061</v>
      </c>
      <c r="E571" s="45" t="s">
        <v>3837</v>
      </c>
      <c r="F571" s="46" t="s">
        <v>37</v>
      </c>
      <c r="G571" s="46" t="s">
        <v>1038</v>
      </c>
      <c r="H571" s="46" t="s">
        <v>1005</v>
      </c>
      <c r="I571" s="46" t="s">
        <v>533</v>
      </c>
      <c r="J571" s="46" t="s">
        <v>968</v>
      </c>
      <c r="K571" s="43">
        <v>19</v>
      </c>
      <c r="L571" s="43">
        <v>1198</v>
      </c>
      <c r="M571" s="47">
        <v>1.5846538782318599E-2</v>
      </c>
      <c r="N571" s="47">
        <v>47.3</v>
      </c>
      <c r="O571" s="46" t="s">
        <v>910</v>
      </c>
      <c r="P571" s="43">
        <v>265</v>
      </c>
      <c r="Q571" s="43">
        <v>20</v>
      </c>
      <c r="R571" s="45" t="s">
        <v>4275</v>
      </c>
      <c r="S571" s="46" t="s">
        <v>3838</v>
      </c>
    </row>
    <row r="572" spans="1:19" ht="42">
      <c r="A572" s="43">
        <v>568</v>
      </c>
      <c r="B572" s="43">
        <v>515</v>
      </c>
      <c r="C572" s="43">
        <v>547</v>
      </c>
      <c r="D572" s="44">
        <v>45469</v>
      </c>
      <c r="E572" s="45" t="s">
        <v>3093</v>
      </c>
      <c r="F572" s="46" t="s">
        <v>37</v>
      </c>
      <c r="G572" s="46" t="s">
        <v>930</v>
      </c>
      <c r="H572" s="46" t="s">
        <v>965</v>
      </c>
      <c r="I572" s="46" t="s">
        <v>526</v>
      </c>
      <c r="J572" s="46" t="s">
        <v>968</v>
      </c>
      <c r="K572" s="43">
        <v>17</v>
      </c>
      <c r="L572" s="43">
        <v>790</v>
      </c>
      <c r="M572" s="47">
        <v>2.1491782553729456E-2</v>
      </c>
      <c r="N572" s="47">
        <v>47.3</v>
      </c>
      <c r="O572" s="46" t="s">
        <v>910</v>
      </c>
      <c r="P572" s="43">
        <v>502</v>
      </c>
      <c r="Q572" s="43">
        <v>20</v>
      </c>
      <c r="R572" s="45" t="s">
        <v>4278</v>
      </c>
      <c r="S572" s="46" t="s">
        <v>3094</v>
      </c>
    </row>
    <row r="573" spans="1:19" ht="42">
      <c r="A573" s="43">
        <v>569</v>
      </c>
      <c r="B573" s="43">
        <v>568</v>
      </c>
      <c r="C573" s="43">
        <v>908</v>
      </c>
      <c r="D573" s="44">
        <v>45778</v>
      </c>
      <c r="E573" s="45" t="s">
        <v>2455</v>
      </c>
      <c r="F573" s="46" t="s">
        <v>371</v>
      </c>
      <c r="G573" s="46" t="s">
        <v>882</v>
      </c>
      <c r="H573" s="46" t="s">
        <v>965</v>
      </c>
      <c r="I573" s="46" t="s">
        <v>512</v>
      </c>
      <c r="J573" s="46" t="s">
        <v>977</v>
      </c>
      <c r="K573" s="43">
        <v>15</v>
      </c>
      <c r="L573" s="43">
        <v>481</v>
      </c>
      <c r="M573" s="47">
        <v>3.1120331950207469E-2</v>
      </c>
      <c r="N573" s="47">
        <v>47.3</v>
      </c>
      <c r="O573" s="46" t="s">
        <v>910</v>
      </c>
      <c r="P573" s="43">
        <v>100</v>
      </c>
      <c r="Q573" s="43">
        <v>10</v>
      </c>
      <c r="R573" s="45" t="s">
        <v>4281</v>
      </c>
      <c r="S573" s="46" t="s">
        <v>2456</v>
      </c>
    </row>
    <row r="574" spans="1:19" ht="31.5">
      <c r="A574" s="43">
        <v>570</v>
      </c>
      <c r="B574" s="43">
        <v>901</v>
      </c>
      <c r="C574" s="43">
        <v>1496</v>
      </c>
      <c r="D574" s="44">
        <v>46259</v>
      </c>
      <c r="E574" s="45" t="s">
        <v>988</v>
      </c>
      <c r="F574" s="46" t="s">
        <v>37</v>
      </c>
      <c r="G574" s="46" t="s">
        <v>878</v>
      </c>
      <c r="H574" s="46" t="s">
        <v>965</v>
      </c>
      <c r="I574" s="46" t="s">
        <v>512</v>
      </c>
      <c r="J574" s="46" t="s">
        <v>977</v>
      </c>
      <c r="K574" s="43">
        <v>6</v>
      </c>
      <c r="L574" s="43">
        <v>0</v>
      </c>
      <c r="M574" s="47">
        <v>6</v>
      </c>
      <c r="N574" s="47">
        <v>46.7</v>
      </c>
      <c r="O574" s="46" t="s">
        <v>910</v>
      </c>
      <c r="P574" s="43">
        <v>496</v>
      </c>
      <c r="Q574" s="43">
        <v>40</v>
      </c>
      <c r="R574" s="45" t="s">
        <v>4269</v>
      </c>
      <c r="S574" s="46" t="s">
        <v>989</v>
      </c>
    </row>
    <row r="575" spans="1:19" ht="31.5">
      <c r="A575" s="43">
        <v>571</v>
      </c>
      <c r="B575" s="43">
        <v>902</v>
      </c>
      <c r="C575" s="43">
        <v>1495</v>
      </c>
      <c r="D575" s="44">
        <v>46259</v>
      </c>
      <c r="E575" s="45" t="s">
        <v>992</v>
      </c>
      <c r="F575" s="46" t="s">
        <v>37</v>
      </c>
      <c r="G575" s="46" t="s">
        <v>882</v>
      </c>
      <c r="H575" s="46" t="s">
        <v>965</v>
      </c>
      <c r="I575" s="46" t="s">
        <v>522</v>
      </c>
      <c r="J575" s="46" t="s">
        <v>977</v>
      </c>
      <c r="K575" s="43">
        <v>6</v>
      </c>
      <c r="L575" s="43">
        <v>0</v>
      </c>
      <c r="M575" s="47">
        <v>6</v>
      </c>
      <c r="N575" s="47">
        <v>46.7</v>
      </c>
      <c r="O575" s="46" t="s">
        <v>910</v>
      </c>
      <c r="P575" s="43">
        <v>582</v>
      </c>
      <c r="Q575" s="43">
        <v>50</v>
      </c>
      <c r="R575" s="45" t="s">
        <v>4264</v>
      </c>
      <c r="S575" s="46" t="s">
        <v>993</v>
      </c>
    </row>
    <row r="576" spans="1:19" ht="42">
      <c r="A576" s="43">
        <v>572</v>
      </c>
      <c r="B576" s="43">
        <v>540</v>
      </c>
      <c r="C576" s="43">
        <v>1017</v>
      </c>
      <c r="D576" s="44">
        <v>45563</v>
      </c>
      <c r="E576" s="45" t="s">
        <v>2928</v>
      </c>
      <c r="F576" s="46" t="s">
        <v>382</v>
      </c>
      <c r="G576" s="46" t="s">
        <v>878</v>
      </c>
      <c r="H576" s="46" t="s">
        <v>965</v>
      </c>
      <c r="I576" s="46" t="s">
        <v>515</v>
      </c>
      <c r="J576" s="46" t="s">
        <v>977</v>
      </c>
      <c r="K576" s="43">
        <v>16</v>
      </c>
      <c r="L576" s="43">
        <v>696</v>
      </c>
      <c r="M576" s="47">
        <v>2.2955523672883789E-2</v>
      </c>
      <c r="N576" s="47">
        <v>46.4</v>
      </c>
      <c r="O576" s="46" t="s">
        <v>910</v>
      </c>
      <c r="P576" s="43">
        <v>6</v>
      </c>
      <c r="Q576" s="43">
        <v>10</v>
      </c>
      <c r="R576" s="45" t="s">
        <v>4281</v>
      </c>
      <c r="S576" s="46" t="s">
        <v>2929</v>
      </c>
    </row>
    <row r="577" spans="1:19" ht="31.5">
      <c r="A577" s="43">
        <v>573</v>
      </c>
      <c r="B577" s="43">
        <v>541</v>
      </c>
      <c r="C577" s="43">
        <v>612</v>
      </c>
      <c r="D577" s="44">
        <v>45562</v>
      </c>
      <c r="E577" s="45" t="s">
        <v>2943</v>
      </c>
      <c r="F577" s="46" t="s">
        <v>37</v>
      </c>
      <c r="G577" s="46" t="s">
        <v>891</v>
      </c>
      <c r="H577" s="46" t="s">
        <v>965</v>
      </c>
      <c r="I577" s="46" t="s">
        <v>519</v>
      </c>
      <c r="J577" s="46" t="s">
        <v>968</v>
      </c>
      <c r="K577" s="43">
        <v>16</v>
      </c>
      <c r="L577" s="43">
        <v>697</v>
      </c>
      <c r="M577" s="47">
        <v>2.2922636103151862E-2</v>
      </c>
      <c r="N577" s="47">
        <v>46.4</v>
      </c>
      <c r="O577" s="46" t="s">
        <v>910</v>
      </c>
      <c r="P577" s="43">
        <v>959</v>
      </c>
      <c r="Q577" s="43">
        <v>30</v>
      </c>
      <c r="R577" s="45" t="s">
        <v>4283</v>
      </c>
      <c r="S577" s="46" t="s">
        <v>2944</v>
      </c>
    </row>
    <row r="578" spans="1:19" ht="31.5">
      <c r="A578" s="43">
        <v>574</v>
      </c>
      <c r="B578" s="43">
        <v>495</v>
      </c>
      <c r="C578" s="43">
        <v>309</v>
      </c>
      <c r="D578" s="44">
        <v>45187</v>
      </c>
      <c r="E578" s="45" t="s">
        <v>3578</v>
      </c>
      <c r="F578" s="46" t="s">
        <v>37</v>
      </c>
      <c r="G578" s="46" t="s">
        <v>885</v>
      </c>
      <c r="H578" s="46" t="s">
        <v>965</v>
      </c>
      <c r="I578" s="46" t="s">
        <v>519</v>
      </c>
      <c r="J578" s="46" t="s">
        <v>968</v>
      </c>
      <c r="K578" s="43">
        <v>18</v>
      </c>
      <c r="L578" s="43">
        <v>1072</v>
      </c>
      <c r="M578" s="47">
        <v>1.6775396085740912E-2</v>
      </c>
      <c r="N578" s="47">
        <v>46.3</v>
      </c>
      <c r="O578" s="46" t="s">
        <v>910</v>
      </c>
      <c r="P578" s="43">
        <v>724</v>
      </c>
      <c r="Q578" s="43">
        <v>30</v>
      </c>
      <c r="R578" s="45" t="s">
        <v>4283</v>
      </c>
      <c r="S578" s="46" t="s">
        <v>3579</v>
      </c>
    </row>
    <row r="579" spans="1:19" ht="42">
      <c r="A579" s="43">
        <v>575</v>
      </c>
      <c r="B579" s="43">
        <v>516</v>
      </c>
      <c r="C579" s="43">
        <v>479</v>
      </c>
      <c r="D579" s="44">
        <v>45377</v>
      </c>
      <c r="E579" s="45" t="s">
        <v>3254</v>
      </c>
      <c r="F579" s="46" t="s">
        <v>37</v>
      </c>
      <c r="G579" s="46" t="s">
        <v>878</v>
      </c>
      <c r="H579" s="46" t="s">
        <v>965</v>
      </c>
      <c r="I579" s="46" t="s">
        <v>522</v>
      </c>
      <c r="J579" s="46" t="s">
        <v>977</v>
      </c>
      <c r="K579" s="43">
        <v>17</v>
      </c>
      <c r="L579" s="43">
        <v>882</v>
      </c>
      <c r="M579" s="47">
        <v>1.9252548131370329E-2</v>
      </c>
      <c r="N579" s="47">
        <v>46.3</v>
      </c>
      <c r="O579" s="46" t="s">
        <v>910</v>
      </c>
      <c r="P579" s="43">
        <v>713</v>
      </c>
      <c r="Q579" s="43">
        <v>20</v>
      </c>
      <c r="R579" s="45" t="s">
        <v>4278</v>
      </c>
      <c r="S579" s="46" t="s">
        <v>3255</v>
      </c>
    </row>
    <row r="580" spans="1:19" ht="42">
      <c r="A580" s="43">
        <v>576</v>
      </c>
      <c r="B580" s="43">
        <v>542</v>
      </c>
      <c r="C580" s="43">
        <v>610</v>
      </c>
      <c r="D580" s="44">
        <v>45561</v>
      </c>
      <c r="E580" s="45" t="s">
        <v>2949</v>
      </c>
      <c r="F580" s="46" t="s">
        <v>37</v>
      </c>
      <c r="G580" s="46" t="s">
        <v>1038</v>
      </c>
      <c r="H580" s="46" t="s">
        <v>1134</v>
      </c>
      <c r="I580" s="46" t="s">
        <v>512</v>
      </c>
      <c r="J580" s="46" t="s">
        <v>977</v>
      </c>
      <c r="K580" s="43">
        <v>16</v>
      </c>
      <c r="L580" s="43">
        <v>698</v>
      </c>
      <c r="M580" s="47">
        <v>2.2889842632331903E-2</v>
      </c>
      <c r="N580" s="47">
        <v>46.3</v>
      </c>
      <c r="O580" s="46" t="s">
        <v>910</v>
      </c>
      <c r="P580" s="43">
        <v>587</v>
      </c>
      <c r="Q580" s="43">
        <v>20</v>
      </c>
      <c r="R580" s="45" t="s">
        <v>4278</v>
      </c>
      <c r="S580" s="46" t="s">
        <v>2950</v>
      </c>
    </row>
    <row r="581" spans="1:19" ht="42">
      <c r="A581" s="43">
        <v>577</v>
      </c>
      <c r="B581" s="43">
        <v>543</v>
      </c>
      <c r="C581" s="43">
        <v>597</v>
      </c>
      <c r="D581" s="44">
        <v>45557</v>
      </c>
      <c r="E581" s="45" t="s">
        <v>2982</v>
      </c>
      <c r="F581" s="46" t="s">
        <v>37</v>
      </c>
      <c r="G581" s="46" t="s">
        <v>1038</v>
      </c>
      <c r="H581" s="46" t="s">
        <v>1134</v>
      </c>
      <c r="I581" s="46" t="s">
        <v>512</v>
      </c>
      <c r="J581" s="46" t="s">
        <v>977</v>
      </c>
      <c r="K581" s="43">
        <v>16</v>
      </c>
      <c r="L581" s="43">
        <v>702</v>
      </c>
      <c r="M581" s="47">
        <v>2.2759601706970129E-2</v>
      </c>
      <c r="N581" s="47">
        <v>46.3</v>
      </c>
      <c r="O581" s="46" t="s">
        <v>910</v>
      </c>
      <c r="P581" s="43">
        <v>469</v>
      </c>
      <c r="Q581" s="43">
        <v>10</v>
      </c>
      <c r="R581" s="45" t="s">
        <v>4281</v>
      </c>
      <c r="S581" s="46" t="s">
        <v>2983</v>
      </c>
    </row>
    <row r="582" spans="1:19" ht="31.5">
      <c r="A582" s="43">
        <v>578</v>
      </c>
      <c r="B582" s="43">
        <v>544</v>
      </c>
      <c r="C582" s="43">
        <v>605</v>
      </c>
      <c r="D582" s="44">
        <v>45553</v>
      </c>
      <c r="E582" s="45" t="s">
        <v>2994</v>
      </c>
      <c r="F582" s="46" t="s">
        <v>37</v>
      </c>
      <c r="G582" s="46" t="s">
        <v>1038</v>
      </c>
      <c r="H582" s="46" t="s">
        <v>1005</v>
      </c>
      <c r="I582" s="46" t="s">
        <v>515</v>
      </c>
      <c r="J582" s="46" t="s">
        <v>968</v>
      </c>
      <c r="K582" s="43">
        <v>16</v>
      </c>
      <c r="L582" s="43">
        <v>706</v>
      </c>
      <c r="M582" s="47">
        <v>2.2630834512022632E-2</v>
      </c>
      <c r="N582" s="47">
        <v>46.3</v>
      </c>
      <c r="O582" s="46" t="s">
        <v>910</v>
      </c>
      <c r="P582" s="43">
        <v>625</v>
      </c>
      <c r="Q582" s="43">
        <v>30</v>
      </c>
      <c r="R582" s="45" t="s">
        <v>4283</v>
      </c>
      <c r="S582" s="46" t="s">
        <v>2995</v>
      </c>
    </row>
    <row r="583" spans="1:19" ht="31.5">
      <c r="A583" s="43">
        <v>579</v>
      </c>
      <c r="B583" s="43">
        <v>593</v>
      </c>
      <c r="C583" s="43">
        <v>1060</v>
      </c>
      <c r="D583" s="44">
        <v>45846</v>
      </c>
      <c r="E583" s="45" t="s">
        <v>2328</v>
      </c>
      <c r="F583" s="46" t="s">
        <v>382</v>
      </c>
      <c r="G583" s="46" t="s">
        <v>1038</v>
      </c>
      <c r="H583" s="46" t="s">
        <v>1005</v>
      </c>
      <c r="I583" s="46" t="s">
        <v>512</v>
      </c>
      <c r="J583" s="46" t="s">
        <v>977</v>
      </c>
      <c r="K583" s="43">
        <v>14</v>
      </c>
      <c r="L583" s="43">
        <v>413</v>
      </c>
      <c r="M583" s="47">
        <v>3.3816425120772944E-2</v>
      </c>
      <c r="N583" s="47">
        <v>46.3</v>
      </c>
      <c r="O583" s="46" t="s">
        <v>910</v>
      </c>
      <c r="P583" s="43">
        <v>655</v>
      </c>
      <c r="Q583" s="43">
        <v>30</v>
      </c>
      <c r="R583" s="45" t="s">
        <v>4283</v>
      </c>
      <c r="S583" s="46" t="s">
        <v>2329</v>
      </c>
    </row>
    <row r="584" spans="1:19" ht="42">
      <c r="A584" s="43">
        <v>580</v>
      </c>
      <c r="B584" s="43">
        <v>594</v>
      </c>
      <c r="C584" s="43">
        <v>924</v>
      </c>
      <c r="D584" s="44">
        <v>45825</v>
      </c>
      <c r="E584" s="45" t="s">
        <v>2380</v>
      </c>
      <c r="F584" s="46" t="s">
        <v>371</v>
      </c>
      <c r="G584" s="46" t="s">
        <v>899</v>
      </c>
      <c r="H584" s="46" t="s">
        <v>965</v>
      </c>
      <c r="I584" s="46" t="s">
        <v>512</v>
      </c>
      <c r="J584" s="46" t="s">
        <v>977</v>
      </c>
      <c r="K584" s="43">
        <v>14</v>
      </c>
      <c r="L584" s="43">
        <v>434</v>
      </c>
      <c r="M584" s="47">
        <v>3.2183908045977011E-2</v>
      </c>
      <c r="N584" s="47">
        <v>45.9</v>
      </c>
      <c r="O584" s="46" t="s">
        <v>910</v>
      </c>
      <c r="P584" s="43">
        <v>742</v>
      </c>
      <c r="Q584" s="43">
        <v>20</v>
      </c>
      <c r="R584" s="45" t="s">
        <v>4278</v>
      </c>
      <c r="S584" s="46" t="s">
        <v>2381</v>
      </c>
    </row>
    <row r="585" spans="1:19" ht="31.5">
      <c r="A585" s="43">
        <v>581</v>
      </c>
      <c r="B585" s="43">
        <v>595</v>
      </c>
      <c r="C585" s="43">
        <v>922</v>
      </c>
      <c r="D585" s="44">
        <v>45822</v>
      </c>
      <c r="E585" s="45" t="s">
        <v>2390</v>
      </c>
      <c r="F585" s="46" t="s">
        <v>371</v>
      </c>
      <c r="G585" s="46" t="s">
        <v>1038</v>
      </c>
      <c r="H585" s="46" t="s">
        <v>1005</v>
      </c>
      <c r="I585" s="46" t="s">
        <v>515</v>
      </c>
      <c r="J585" s="46" t="s">
        <v>977</v>
      </c>
      <c r="K585" s="43">
        <v>14</v>
      </c>
      <c r="L585" s="43">
        <v>437</v>
      </c>
      <c r="M585" s="47">
        <v>3.1963470319634701E-2</v>
      </c>
      <c r="N585" s="47">
        <v>45.8</v>
      </c>
      <c r="O585" s="46" t="s">
        <v>910</v>
      </c>
      <c r="P585" s="43">
        <v>525</v>
      </c>
      <c r="Q585" s="43">
        <v>30</v>
      </c>
      <c r="R585" s="45" t="s">
        <v>4283</v>
      </c>
      <c r="S585" s="46" t="s">
        <v>2391</v>
      </c>
    </row>
    <row r="586" spans="1:19" ht="42">
      <c r="A586" s="43">
        <v>582</v>
      </c>
      <c r="B586" s="43">
        <v>517</v>
      </c>
      <c r="C586" s="43">
        <v>439</v>
      </c>
      <c r="D586" s="44">
        <v>45339</v>
      </c>
      <c r="E586" s="45" t="s">
        <v>3327</v>
      </c>
      <c r="F586" s="46" t="s">
        <v>37</v>
      </c>
      <c r="G586" s="46" t="s">
        <v>882</v>
      </c>
      <c r="H586" s="46" t="s">
        <v>965</v>
      </c>
      <c r="I586" s="46" t="s">
        <v>530</v>
      </c>
      <c r="J586" s="46" t="s">
        <v>977</v>
      </c>
      <c r="K586" s="43">
        <v>17</v>
      </c>
      <c r="L586" s="43">
        <v>920</v>
      </c>
      <c r="M586" s="47">
        <v>1.8458197611292075E-2</v>
      </c>
      <c r="N586" s="47">
        <v>45.7</v>
      </c>
      <c r="O586" s="46" t="s">
        <v>910</v>
      </c>
      <c r="P586" s="43">
        <v>60</v>
      </c>
      <c r="Q586" s="43">
        <v>20</v>
      </c>
      <c r="R586" s="45" t="s">
        <v>4275</v>
      </c>
      <c r="S586" s="46" t="s">
        <v>3328</v>
      </c>
    </row>
    <row r="587" spans="1:19" ht="42">
      <c r="A587" s="43">
        <v>583</v>
      </c>
      <c r="B587" s="43">
        <v>518</v>
      </c>
      <c r="C587" s="43">
        <v>370</v>
      </c>
      <c r="D587" s="44">
        <v>45303</v>
      </c>
      <c r="E587" s="45" t="s">
        <v>3456</v>
      </c>
      <c r="F587" s="46" t="s">
        <v>37</v>
      </c>
      <c r="G587" s="46" t="s">
        <v>1038</v>
      </c>
      <c r="H587" s="46" t="s">
        <v>1038</v>
      </c>
      <c r="I587" s="46" t="s">
        <v>515</v>
      </c>
      <c r="J587" s="46" t="s">
        <v>968</v>
      </c>
      <c r="K587" s="43">
        <v>17</v>
      </c>
      <c r="L587" s="43">
        <v>956</v>
      </c>
      <c r="M587" s="47">
        <v>1.7763845350052248E-2</v>
      </c>
      <c r="N587" s="47">
        <v>45.3</v>
      </c>
      <c r="O587" s="46" t="s">
        <v>910</v>
      </c>
      <c r="P587" s="43">
        <v>613</v>
      </c>
      <c r="Q587" s="43">
        <v>20</v>
      </c>
      <c r="R587" s="45" t="s">
        <v>4278</v>
      </c>
      <c r="S587" s="46" t="s">
        <v>3457</v>
      </c>
    </row>
    <row r="588" spans="1:19" ht="42">
      <c r="A588" s="43">
        <v>584</v>
      </c>
      <c r="B588" s="43">
        <v>496</v>
      </c>
      <c r="C588" s="43">
        <v>208</v>
      </c>
      <c r="D588" s="44">
        <v>45092</v>
      </c>
      <c r="E588" s="45" t="s">
        <v>3747</v>
      </c>
      <c r="F588" s="46" t="s">
        <v>37</v>
      </c>
      <c r="G588" s="46" t="s">
        <v>1038</v>
      </c>
      <c r="H588" s="46" t="s">
        <v>1038</v>
      </c>
      <c r="I588" s="46" t="s">
        <v>533</v>
      </c>
      <c r="J588" s="46" t="s">
        <v>977</v>
      </c>
      <c r="K588" s="43">
        <v>18</v>
      </c>
      <c r="L588" s="43">
        <v>1167</v>
      </c>
      <c r="M588" s="47">
        <v>1.5410958904109588E-2</v>
      </c>
      <c r="N588" s="47">
        <v>45.2</v>
      </c>
      <c r="O588" s="46" t="s">
        <v>910</v>
      </c>
      <c r="P588" s="43">
        <v>369</v>
      </c>
      <c r="Q588" s="43">
        <v>10</v>
      </c>
      <c r="R588" s="45" t="s">
        <v>4281</v>
      </c>
      <c r="S588" s="46" t="s">
        <v>3748</v>
      </c>
    </row>
    <row r="589" spans="1:19" ht="42">
      <c r="A589" s="43">
        <v>585</v>
      </c>
      <c r="B589" s="43">
        <v>671</v>
      </c>
      <c r="C589" s="43">
        <v>990</v>
      </c>
      <c r="D589" s="44">
        <v>46017</v>
      </c>
      <c r="E589" s="45" t="s">
        <v>1953</v>
      </c>
      <c r="F589" s="46" t="s">
        <v>371</v>
      </c>
      <c r="G589" s="46" t="s">
        <v>1038</v>
      </c>
      <c r="H589" s="46" t="s">
        <v>1005</v>
      </c>
      <c r="I589" s="46" t="s">
        <v>512</v>
      </c>
      <c r="J589" s="46" t="s">
        <v>977</v>
      </c>
      <c r="K589" s="43">
        <v>12</v>
      </c>
      <c r="L589" s="43">
        <v>242</v>
      </c>
      <c r="M589" s="47">
        <v>4.9382716049382713E-2</v>
      </c>
      <c r="N589" s="47">
        <v>45.1</v>
      </c>
      <c r="O589" s="46" t="s">
        <v>910</v>
      </c>
      <c r="P589" s="43">
        <v>589</v>
      </c>
      <c r="Q589" s="43">
        <v>20</v>
      </c>
      <c r="R589" s="45" t="s">
        <v>4278</v>
      </c>
      <c r="S589" s="46" t="s">
        <v>1954</v>
      </c>
    </row>
    <row r="590" spans="1:19" ht="42">
      <c r="A590" s="43">
        <v>586</v>
      </c>
      <c r="B590" s="43">
        <v>630</v>
      </c>
      <c r="C590" s="43">
        <v>1094</v>
      </c>
      <c r="D590" s="44">
        <v>45915</v>
      </c>
      <c r="E590" s="45" t="s">
        <v>2143</v>
      </c>
      <c r="F590" s="46" t="s">
        <v>360</v>
      </c>
      <c r="G590" s="46" t="s">
        <v>1038</v>
      </c>
      <c r="H590" s="46" t="s">
        <v>1005</v>
      </c>
      <c r="I590" s="46" t="s">
        <v>530</v>
      </c>
      <c r="J590" s="46" t="s">
        <v>968</v>
      </c>
      <c r="K590" s="43">
        <v>13</v>
      </c>
      <c r="L590" s="43">
        <v>344</v>
      </c>
      <c r="M590" s="47">
        <v>3.7681159420289857E-2</v>
      </c>
      <c r="N590" s="47">
        <v>44.9</v>
      </c>
      <c r="O590" s="46" t="s">
        <v>910</v>
      </c>
      <c r="P590" s="43">
        <v>313</v>
      </c>
      <c r="Q590" s="43">
        <v>10</v>
      </c>
      <c r="R590" s="45" t="s">
        <v>4281</v>
      </c>
      <c r="S590" s="46" t="s">
        <v>2144</v>
      </c>
    </row>
    <row r="591" spans="1:19" ht="42">
      <c r="A591" s="43">
        <v>587</v>
      </c>
      <c r="B591" s="43">
        <v>631</v>
      </c>
      <c r="C591" s="43">
        <v>1093</v>
      </c>
      <c r="D591" s="44">
        <v>45915</v>
      </c>
      <c r="E591" s="45" t="s">
        <v>2146</v>
      </c>
      <c r="F591" s="46" t="s">
        <v>360</v>
      </c>
      <c r="G591" s="46" t="s">
        <v>1038</v>
      </c>
      <c r="H591" s="46" t="s">
        <v>1005</v>
      </c>
      <c r="I591" s="46" t="s">
        <v>512</v>
      </c>
      <c r="J591" s="46" t="s">
        <v>968</v>
      </c>
      <c r="K591" s="43">
        <v>13</v>
      </c>
      <c r="L591" s="43">
        <v>344</v>
      </c>
      <c r="M591" s="47">
        <v>3.7681159420289857E-2</v>
      </c>
      <c r="N591" s="47">
        <v>44.9</v>
      </c>
      <c r="O591" s="46" t="s">
        <v>910</v>
      </c>
      <c r="P591" s="43">
        <v>337</v>
      </c>
      <c r="Q591" s="43">
        <v>10</v>
      </c>
      <c r="R591" s="45" t="s">
        <v>4281</v>
      </c>
      <c r="S591" s="46" t="s">
        <v>2147</v>
      </c>
    </row>
    <row r="592" spans="1:19" ht="21">
      <c r="A592" s="43">
        <v>588</v>
      </c>
      <c r="B592" s="43">
        <v>929</v>
      </c>
      <c r="C592" s="43">
        <v>1492</v>
      </c>
      <c r="D592" s="44">
        <v>46259</v>
      </c>
      <c r="E592" s="45" t="s">
        <v>1003</v>
      </c>
      <c r="F592" s="46" t="s">
        <v>37</v>
      </c>
      <c r="G592" s="46" t="s">
        <v>1038</v>
      </c>
      <c r="H592" s="46" t="s">
        <v>1005</v>
      </c>
      <c r="I592" s="46" t="s">
        <v>526</v>
      </c>
      <c r="J592" s="46" t="s">
        <v>968</v>
      </c>
      <c r="K592" s="43">
        <v>5</v>
      </c>
      <c r="L592" s="43">
        <v>0</v>
      </c>
      <c r="M592" s="47">
        <v>5</v>
      </c>
      <c r="N592" s="47">
        <v>44.8</v>
      </c>
      <c r="O592" s="46" t="s">
        <v>910</v>
      </c>
      <c r="P592" s="43">
        <v>767</v>
      </c>
      <c r="Q592" s="43">
        <v>50</v>
      </c>
      <c r="R592" s="45" t="s">
        <v>4268</v>
      </c>
      <c r="S592" s="46" t="s">
        <v>1004</v>
      </c>
    </row>
    <row r="593" spans="1:19" ht="42">
      <c r="A593" s="43">
        <v>589</v>
      </c>
      <c r="B593" s="43">
        <v>460</v>
      </c>
      <c r="C593" s="43">
        <v>128</v>
      </c>
      <c r="D593" s="44">
        <v>44655</v>
      </c>
      <c r="E593" s="45" t="s">
        <v>4068</v>
      </c>
      <c r="F593" s="46" t="s">
        <v>37</v>
      </c>
      <c r="G593" s="46" t="s">
        <v>878</v>
      </c>
      <c r="H593" s="46" t="s">
        <v>965</v>
      </c>
      <c r="I593" s="46" t="s">
        <v>512</v>
      </c>
      <c r="J593" s="46" t="s">
        <v>977</v>
      </c>
      <c r="K593" s="43">
        <v>19</v>
      </c>
      <c r="L593" s="43">
        <v>1604</v>
      </c>
      <c r="M593" s="47">
        <v>1.1838006230529595E-2</v>
      </c>
      <c r="N593" s="47">
        <v>44.3</v>
      </c>
      <c r="O593" s="46" t="s">
        <v>910</v>
      </c>
      <c r="P593" s="43">
        <v>308</v>
      </c>
      <c r="Q593" s="43">
        <v>20</v>
      </c>
      <c r="R593" s="45" t="s">
        <v>4272</v>
      </c>
      <c r="S593" s="46" t="s">
        <v>4069</v>
      </c>
    </row>
    <row r="594" spans="1:19" ht="42">
      <c r="A594" s="43">
        <v>590</v>
      </c>
      <c r="B594" s="43">
        <v>519</v>
      </c>
      <c r="C594" s="43">
        <v>322</v>
      </c>
      <c r="D594" s="44">
        <v>45214</v>
      </c>
      <c r="E594" s="45" t="s">
        <v>3552</v>
      </c>
      <c r="F594" s="46" t="s">
        <v>37</v>
      </c>
      <c r="G594" s="46" t="s">
        <v>878</v>
      </c>
      <c r="H594" s="46" t="s">
        <v>1317</v>
      </c>
      <c r="I594" s="46" t="s">
        <v>512</v>
      </c>
      <c r="J594" s="46" t="s">
        <v>977</v>
      </c>
      <c r="K594" s="43">
        <v>17</v>
      </c>
      <c r="L594" s="43">
        <v>1045</v>
      </c>
      <c r="M594" s="47">
        <v>1.6252390057361378E-2</v>
      </c>
      <c r="N594" s="47">
        <v>44.3</v>
      </c>
      <c r="O594" s="46" t="s">
        <v>910</v>
      </c>
      <c r="P594" s="43">
        <v>473</v>
      </c>
      <c r="Q594" s="43">
        <v>20</v>
      </c>
      <c r="R594" s="45" t="s">
        <v>4275</v>
      </c>
      <c r="S594" s="46" t="s">
        <v>3553</v>
      </c>
    </row>
    <row r="595" spans="1:19" ht="31.5">
      <c r="A595" s="43">
        <v>591</v>
      </c>
      <c r="B595" s="43">
        <v>461</v>
      </c>
      <c r="C595" s="43">
        <v>30</v>
      </c>
      <c r="D595" s="44">
        <v>44642</v>
      </c>
      <c r="E595" s="45" t="s">
        <v>4090</v>
      </c>
      <c r="F595" s="46" t="s">
        <v>37</v>
      </c>
      <c r="G595" s="46" t="s">
        <v>885</v>
      </c>
      <c r="H595" s="46" t="s">
        <v>965</v>
      </c>
      <c r="I595" s="46" t="s">
        <v>515</v>
      </c>
      <c r="J595" s="46" t="s">
        <v>968</v>
      </c>
      <c r="K595" s="43">
        <v>19</v>
      </c>
      <c r="L595" s="43">
        <v>1617</v>
      </c>
      <c r="M595" s="47">
        <v>1.1742892459826947E-2</v>
      </c>
      <c r="N595" s="47">
        <v>44.2</v>
      </c>
      <c r="O595" s="46" t="s">
        <v>910</v>
      </c>
      <c r="P595" s="43">
        <v>838</v>
      </c>
      <c r="Q595" s="43">
        <v>30</v>
      </c>
      <c r="R595" s="45" t="s">
        <v>4283</v>
      </c>
      <c r="S595" s="46" t="s">
        <v>4091</v>
      </c>
    </row>
    <row r="596" spans="1:19" ht="42">
      <c r="A596" s="43">
        <v>592</v>
      </c>
      <c r="B596" s="43">
        <v>569</v>
      </c>
      <c r="C596" s="43">
        <v>624</v>
      </c>
      <c r="D596" s="44">
        <v>45574</v>
      </c>
      <c r="E596" s="45" t="s">
        <v>2883</v>
      </c>
      <c r="F596" s="46" t="s">
        <v>37</v>
      </c>
      <c r="G596" s="46" t="s">
        <v>902</v>
      </c>
      <c r="H596" s="46" t="s">
        <v>965</v>
      </c>
      <c r="I596" s="46" t="s">
        <v>515</v>
      </c>
      <c r="J596" s="46" t="s">
        <v>968</v>
      </c>
      <c r="K596" s="43">
        <v>15</v>
      </c>
      <c r="L596" s="43">
        <v>685</v>
      </c>
      <c r="M596" s="47">
        <v>2.1865889212827987E-2</v>
      </c>
      <c r="N596" s="47">
        <v>44</v>
      </c>
      <c r="O596" s="46" t="s">
        <v>910</v>
      </c>
      <c r="P596" s="43">
        <v>745</v>
      </c>
      <c r="Q596" s="43">
        <v>20</v>
      </c>
      <c r="R596" s="45" t="s">
        <v>4278</v>
      </c>
      <c r="S596" s="46" t="s">
        <v>2884</v>
      </c>
    </row>
    <row r="597" spans="1:19" ht="42">
      <c r="A597" s="43">
        <v>593</v>
      </c>
      <c r="B597" s="43">
        <v>632</v>
      </c>
      <c r="C597" s="43">
        <v>955</v>
      </c>
      <c r="D597" s="44">
        <v>45867</v>
      </c>
      <c r="E597" s="45" t="s">
        <v>2246</v>
      </c>
      <c r="F597" s="46" t="s">
        <v>371</v>
      </c>
      <c r="G597" s="46" t="s">
        <v>885</v>
      </c>
      <c r="H597" s="46" t="s">
        <v>1317</v>
      </c>
      <c r="I597" s="46" t="s">
        <v>526</v>
      </c>
      <c r="J597" s="46" t="s">
        <v>968</v>
      </c>
      <c r="K597" s="43">
        <v>13</v>
      </c>
      <c r="L597" s="43">
        <v>392</v>
      </c>
      <c r="M597" s="47">
        <v>3.3078880407124679E-2</v>
      </c>
      <c r="N597" s="47">
        <v>43.8</v>
      </c>
      <c r="O597" s="46" t="s">
        <v>910</v>
      </c>
      <c r="P597" s="43">
        <v>287</v>
      </c>
      <c r="Q597" s="43">
        <v>10</v>
      </c>
      <c r="R597" s="45" t="s">
        <v>4281</v>
      </c>
      <c r="S597" s="46" t="s">
        <v>2247</v>
      </c>
    </row>
    <row r="598" spans="1:19" ht="31.5">
      <c r="A598" s="43">
        <v>594</v>
      </c>
      <c r="B598" s="43">
        <v>520</v>
      </c>
      <c r="C598" s="43">
        <v>294</v>
      </c>
      <c r="D598" s="44">
        <v>45178</v>
      </c>
      <c r="E598" s="45" t="s">
        <v>3615</v>
      </c>
      <c r="F598" s="46" t="s">
        <v>37</v>
      </c>
      <c r="G598" s="46" t="s">
        <v>885</v>
      </c>
      <c r="H598" s="46" t="s">
        <v>965</v>
      </c>
      <c r="I598" s="46" t="s">
        <v>519</v>
      </c>
      <c r="J598" s="46" t="s">
        <v>968</v>
      </c>
      <c r="K598" s="43">
        <v>17</v>
      </c>
      <c r="L598" s="43">
        <v>1081</v>
      </c>
      <c r="M598" s="47">
        <v>1.5711645101663587E-2</v>
      </c>
      <c r="N598" s="47">
        <v>43.7</v>
      </c>
      <c r="O598" s="46" t="s">
        <v>910</v>
      </c>
      <c r="P598" s="43">
        <v>810</v>
      </c>
      <c r="Q598" s="43">
        <v>30</v>
      </c>
      <c r="R598" s="45" t="s">
        <v>4283</v>
      </c>
      <c r="S598" s="46" t="s">
        <v>3616</v>
      </c>
    </row>
    <row r="599" spans="1:19" ht="42">
      <c r="A599" s="43">
        <v>595</v>
      </c>
      <c r="B599" s="43">
        <v>570</v>
      </c>
      <c r="C599" s="43">
        <v>598</v>
      </c>
      <c r="D599" s="44">
        <v>45557</v>
      </c>
      <c r="E599" s="45" t="s">
        <v>2979</v>
      </c>
      <c r="F599" s="46" t="s">
        <v>37</v>
      </c>
      <c r="G599" s="46" t="s">
        <v>1038</v>
      </c>
      <c r="H599" s="46" t="s">
        <v>1134</v>
      </c>
      <c r="I599" s="46" t="s">
        <v>515</v>
      </c>
      <c r="J599" s="46" t="s">
        <v>977</v>
      </c>
      <c r="K599" s="43">
        <v>15</v>
      </c>
      <c r="L599" s="43">
        <v>702</v>
      </c>
      <c r="M599" s="47">
        <v>2.1337126600284494E-2</v>
      </c>
      <c r="N599" s="47">
        <v>43.7</v>
      </c>
      <c r="O599" s="46" t="s">
        <v>910</v>
      </c>
      <c r="P599" s="43">
        <v>433</v>
      </c>
      <c r="Q599" s="43">
        <v>10</v>
      </c>
      <c r="R599" s="45" t="s">
        <v>4281</v>
      </c>
      <c r="S599" s="46" t="s">
        <v>2980</v>
      </c>
    </row>
    <row r="600" spans="1:19" ht="42">
      <c r="A600" s="43">
        <v>596</v>
      </c>
      <c r="B600" s="43">
        <v>596</v>
      </c>
      <c r="C600" s="43">
        <v>888</v>
      </c>
      <c r="D600" s="44">
        <v>45697</v>
      </c>
      <c r="E600" s="45" t="s">
        <v>2545</v>
      </c>
      <c r="F600" s="46" t="s">
        <v>371</v>
      </c>
      <c r="G600" s="46" t="s">
        <v>892</v>
      </c>
      <c r="H600" s="46" t="s">
        <v>965</v>
      </c>
      <c r="I600" s="46" t="s">
        <v>519</v>
      </c>
      <c r="J600" s="46" t="s">
        <v>977</v>
      </c>
      <c r="K600" s="43">
        <v>14</v>
      </c>
      <c r="L600" s="43">
        <v>562</v>
      </c>
      <c r="M600" s="47">
        <v>2.4866785079928951E-2</v>
      </c>
      <c r="N600" s="47">
        <v>43.6</v>
      </c>
      <c r="O600" s="46" t="s">
        <v>910</v>
      </c>
      <c r="P600" s="43">
        <v>740</v>
      </c>
      <c r="Q600" s="43">
        <v>20</v>
      </c>
      <c r="R600" s="45" t="s">
        <v>4278</v>
      </c>
      <c r="S600" s="46" t="s">
        <v>2546</v>
      </c>
    </row>
    <row r="601" spans="1:19" ht="42">
      <c r="A601" s="43">
        <v>597</v>
      </c>
      <c r="B601" s="43">
        <v>633</v>
      </c>
      <c r="C601" s="43">
        <v>1069</v>
      </c>
      <c r="D601" s="44">
        <v>45858</v>
      </c>
      <c r="E601" s="45" t="s">
        <v>2277</v>
      </c>
      <c r="F601" s="46" t="s">
        <v>382</v>
      </c>
      <c r="G601" s="46" t="s">
        <v>1038</v>
      </c>
      <c r="H601" s="46" t="s">
        <v>1038</v>
      </c>
      <c r="I601" s="46" t="s">
        <v>512</v>
      </c>
      <c r="J601" s="46" t="s">
        <v>977</v>
      </c>
      <c r="K601" s="43">
        <v>13</v>
      </c>
      <c r="L601" s="43">
        <v>401</v>
      </c>
      <c r="M601" s="47">
        <v>3.2338308457711441E-2</v>
      </c>
      <c r="N601" s="47">
        <v>43.6</v>
      </c>
      <c r="O601" s="46" t="s">
        <v>910</v>
      </c>
      <c r="P601" s="43">
        <v>1266</v>
      </c>
      <c r="Q601" s="43">
        <v>20</v>
      </c>
      <c r="R601" s="45" t="s">
        <v>4278</v>
      </c>
      <c r="S601" s="46" t="s">
        <v>2278</v>
      </c>
    </row>
    <row r="602" spans="1:19" ht="42">
      <c r="A602" s="43">
        <v>598</v>
      </c>
      <c r="B602" s="43">
        <v>672</v>
      </c>
      <c r="C602" s="43">
        <v>1128</v>
      </c>
      <c r="D602" s="44">
        <v>45975</v>
      </c>
      <c r="E602" s="45" t="s">
        <v>2077</v>
      </c>
      <c r="F602" s="46" t="s">
        <v>360</v>
      </c>
      <c r="G602" s="46" t="s">
        <v>878</v>
      </c>
      <c r="H602" s="46" t="s">
        <v>965</v>
      </c>
      <c r="I602" s="46" t="s">
        <v>512</v>
      </c>
      <c r="J602" s="46" t="s">
        <v>968</v>
      </c>
      <c r="K602" s="43">
        <v>12</v>
      </c>
      <c r="L602" s="43">
        <v>284</v>
      </c>
      <c r="M602" s="47">
        <v>4.2105263157894736E-2</v>
      </c>
      <c r="N602" s="47">
        <v>43.2</v>
      </c>
      <c r="O602" s="46" t="s">
        <v>910</v>
      </c>
      <c r="P602" s="43">
        <v>156</v>
      </c>
      <c r="Q602" s="43">
        <v>20</v>
      </c>
      <c r="R602" s="45" t="s">
        <v>4275</v>
      </c>
      <c r="S602" s="46" t="s">
        <v>2078</v>
      </c>
    </row>
    <row r="603" spans="1:19" ht="42">
      <c r="A603" s="43">
        <v>599</v>
      </c>
      <c r="B603" s="43">
        <v>545</v>
      </c>
      <c r="C603" s="43">
        <v>396</v>
      </c>
      <c r="D603" s="44">
        <v>45310</v>
      </c>
      <c r="E603" s="45" t="s">
        <v>3397</v>
      </c>
      <c r="F603" s="46" t="s">
        <v>37</v>
      </c>
      <c r="G603" s="46" t="s">
        <v>878</v>
      </c>
      <c r="H603" s="46" t="s">
        <v>965</v>
      </c>
      <c r="I603" s="46" t="s">
        <v>526</v>
      </c>
      <c r="J603" s="46" t="s">
        <v>977</v>
      </c>
      <c r="K603" s="43">
        <v>16</v>
      </c>
      <c r="L603" s="43">
        <v>949</v>
      </c>
      <c r="M603" s="47">
        <v>1.6842105263157894E-2</v>
      </c>
      <c r="N603" s="47">
        <v>43.1</v>
      </c>
      <c r="O603" s="46" t="s">
        <v>910</v>
      </c>
      <c r="P603" s="43">
        <v>212</v>
      </c>
      <c r="Q603" s="43">
        <v>10</v>
      </c>
      <c r="R603" s="45" t="s">
        <v>4281</v>
      </c>
      <c r="S603" s="46" t="s">
        <v>3398</v>
      </c>
    </row>
    <row r="604" spans="1:19" ht="31.5">
      <c r="A604" s="43">
        <v>600</v>
      </c>
      <c r="B604" s="43">
        <v>571</v>
      </c>
      <c r="C604" s="43">
        <v>562</v>
      </c>
      <c r="D604" s="44">
        <v>45495</v>
      </c>
      <c r="E604" s="45" t="s">
        <v>3069</v>
      </c>
      <c r="F604" s="46" t="s">
        <v>37</v>
      </c>
      <c r="G604" s="46" t="s">
        <v>1038</v>
      </c>
      <c r="H604" s="46" t="s">
        <v>1005</v>
      </c>
      <c r="I604" s="46" t="s">
        <v>522</v>
      </c>
      <c r="J604" s="46" t="s">
        <v>968</v>
      </c>
      <c r="K604" s="43">
        <v>15</v>
      </c>
      <c r="L604" s="43">
        <v>764</v>
      </c>
      <c r="M604" s="47">
        <v>1.9607843137254902E-2</v>
      </c>
      <c r="N604" s="47">
        <v>43.1</v>
      </c>
      <c r="O604" s="46" t="s">
        <v>910</v>
      </c>
      <c r="P604" s="43">
        <v>682</v>
      </c>
      <c r="Q604" s="43">
        <v>30</v>
      </c>
      <c r="R604" s="45" t="s">
        <v>4283</v>
      </c>
      <c r="S604" s="46" t="s">
        <v>3070</v>
      </c>
    </row>
    <row r="605" spans="1:19" ht="42">
      <c r="A605" s="43">
        <v>601</v>
      </c>
      <c r="B605" s="43">
        <v>597</v>
      </c>
      <c r="C605" s="43">
        <v>870</v>
      </c>
      <c r="D605" s="44">
        <v>45669</v>
      </c>
      <c r="E605" s="45" t="s">
        <v>2603</v>
      </c>
      <c r="F605" s="46" t="s">
        <v>371</v>
      </c>
      <c r="G605" s="46" t="s">
        <v>902</v>
      </c>
      <c r="H605" s="46" t="s">
        <v>965</v>
      </c>
      <c r="I605" s="46" t="s">
        <v>512</v>
      </c>
      <c r="J605" s="46" t="s">
        <v>968</v>
      </c>
      <c r="K605" s="43">
        <v>14</v>
      </c>
      <c r="L605" s="43">
        <v>590</v>
      </c>
      <c r="M605" s="47">
        <v>2.3688663282571912E-2</v>
      </c>
      <c r="N605" s="47">
        <v>43.1</v>
      </c>
      <c r="O605" s="46" t="s">
        <v>910</v>
      </c>
      <c r="P605" s="43">
        <v>757</v>
      </c>
      <c r="Q605" s="43">
        <v>20</v>
      </c>
      <c r="R605" s="45" t="s">
        <v>4278</v>
      </c>
      <c r="S605" s="46" t="s">
        <v>2604</v>
      </c>
    </row>
    <row r="606" spans="1:19" ht="31.5">
      <c r="A606" s="43">
        <v>602</v>
      </c>
      <c r="B606" s="43">
        <v>957</v>
      </c>
      <c r="C606" s="43">
        <v>1501</v>
      </c>
      <c r="D606" s="44">
        <v>46259</v>
      </c>
      <c r="E606" s="45" t="s">
        <v>963</v>
      </c>
      <c r="F606" s="46" t="s">
        <v>37</v>
      </c>
      <c r="G606" s="46" t="s">
        <v>934</v>
      </c>
      <c r="H606" s="46" t="s">
        <v>965</v>
      </c>
      <c r="I606" s="46" t="s">
        <v>512</v>
      </c>
      <c r="J606" s="46" t="s">
        <v>968</v>
      </c>
      <c r="K606" s="43">
        <v>4</v>
      </c>
      <c r="L606" s="43">
        <v>0</v>
      </c>
      <c r="M606" s="47">
        <v>4</v>
      </c>
      <c r="N606" s="47">
        <v>43.1</v>
      </c>
      <c r="O606" s="46" t="s">
        <v>910</v>
      </c>
      <c r="P606" s="43">
        <v>655</v>
      </c>
      <c r="Q606" s="43">
        <v>40</v>
      </c>
      <c r="R606" s="45" t="s">
        <v>4297</v>
      </c>
      <c r="S606" s="46" t="s">
        <v>964</v>
      </c>
    </row>
    <row r="607" spans="1:19" ht="42">
      <c r="A607" s="43">
        <v>603</v>
      </c>
      <c r="B607" s="43">
        <v>598</v>
      </c>
      <c r="C607" s="43">
        <v>699</v>
      </c>
      <c r="D607" s="44">
        <v>45656</v>
      </c>
      <c r="E607" s="45" t="s">
        <v>2682</v>
      </c>
      <c r="F607" s="46" t="s">
        <v>37</v>
      </c>
      <c r="G607" s="46" t="s">
        <v>1038</v>
      </c>
      <c r="H607" s="46" t="s">
        <v>1038</v>
      </c>
      <c r="I607" s="46" t="s">
        <v>515</v>
      </c>
      <c r="J607" s="46" t="s">
        <v>977</v>
      </c>
      <c r="K607" s="43">
        <v>14</v>
      </c>
      <c r="L607" s="43">
        <v>603</v>
      </c>
      <c r="M607" s="47">
        <v>2.3178807947019868E-2</v>
      </c>
      <c r="N607" s="47">
        <v>43</v>
      </c>
      <c r="O607" s="46" t="s">
        <v>910</v>
      </c>
      <c r="P607" s="43">
        <v>634</v>
      </c>
      <c r="Q607" s="43">
        <v>20</v>
      </c>
      <c r="R607" s="45" t="s">
        <v>4278</v>
      </c>
      <c r="S607" s="46" t="s">
        <v>2683</v>
      </c>
    </row>
    <row r="608" spans="1:19" ht="31.5">
      <c r="A608" s="43">
        <v>604</v>
      </c>
      <c r="B608" s="43">
        <v>497</v>
      </c>
      <c r="C608" s="43">
        <v>144</v>
      </c>
      <c r="D608" s="44">
        <v>44760</v>
      </c>
      <c r="E608" s="45" t="s">
        <v>3940</v>
      </c>
      <c r="F608" s="46" t="s">
        <v>37</v>
      </c>
      <c r="G608" s="46" t="s">
        <v>918</v>
      </c>
      <c r="H608" s="46" t="s">
        <v>965</v>
      </c>
      <c r="I608" s="46" t="s">
        <v>515</v>
      </c>
      <c r="J608" s="46" t="s">
        <v>977</v>
      </c>
      <c r="K608" s="43">
        <v>18</v>
      </c>
      <c r="L608" s="43">
        <v>1499</v>
      </c>
      <c r="M608" s="47">
        <v>1.2E-2</v>
      </c>
      <c r="N608" s="47">
        <v>42.8</v>
      </c>
      <c r="O608" s="46" t="s">
        <v>910</v>
      </c>
      <c r="P608" s="43">
        <v>625</v>
      </c>
      <c r="Q608" s="43">
        <v>30</v>
      </c>
      <c r="R608" s="45" t="s">
        <v>4283</v>
      </c>
      <c r="S608" s="46" t="s">
        <v>3941</v>
      </c>
    </row>
    <row r="609" spans="1:19" ht="31.5">
      <c r="A609" s="43">
        <v>605</v>
      </c>
      <c r="B609" s="43">
        <v>546</v>
      </c>
      <c r="C609" s="43">
        <v>353</v>
      </c>
      <c r="D609" s="44">
        <v>45287</v>
      </c>
      <c r="E609" s="45" t="s">
        <v>3489</v>
      </c>
      <c r="F609" s="46" t="s">
        <v>37</v>
      </c>
      <c r="G609" s="46" t="s">
        <v>1038</v>
      </c>
      <c r="H609" s="46" t="s">
        <v>1005</v>
      </c>
      <c r="I609" s="46" t="s">
        <v>515</v>
      </c>
      <c r="J609" s="46" t="s">
        <v>977</v>
      </c>
      <c r="K609" s="43">
        <v>16</v>
      </c>
      <c r="L609" s="43">
        <v>972</v>
      </c>
      <c r="M609" s="47">
        <v>1.644398766700925E-2</v>
      </c>
      <c r="N609" s="47">
        <v>42.8</v>
      </c>
      <c r="O609" s="46" t="s">
        <v>910</v>
      </c>
      <c r="P609" s="43">
        <v>2560</v>
      </c>
      <c r="Q609" s="43">
        <v>30</v>
      </c>
      <c r="R609" s="45" t="s">
        <v>4283</v>
      </c>
      <c r="S609" s="46" t="s">
        <v>3490</v>
      </c>
    </row>
    <row r="610" spans="1:19" ht="42">
      <c r="A610" s="43">
        <v>606</v>
      </c>
      <c r="B610" s="43">
        <v>547</v>
      </c>
      <c r="C610" s="43">
        <v>355</v>
      </c>
      <c r="D610" s="44">
        <v>45285</v>
      </c>
      <c r="E610" s="45" t="s">
        <v>3492</v>
      </c>
      <c r="F610" s="46" t="s">
        <v>37</v>
      </c>
      <c r="G610" s="46" t="s">
        <v>878</v>
      </c>
      <c r="H610" s="46" t="s">
        <v>965</v>
      </c>
      <c r="I610" s="46" t="s">
        <v>515</v>
      </c>
      <c r="J610" s="46" t="s">
        <v>977</v>
      </c>
      <c r="K610" s="43">
        <v>16</v>
      </c>
      <c r="L610" s="43">
        <v>974</v>
      </c>
      <c r="M610" s="47">
        <v>1.641025641025641E-2</v>
      </c>
      <c r="N610" s="47">
        <v>42.8</v>
      </c>
      <c r="O610" s="46" t="s">
        <v>910</v>
      </c>
      <c r="P610" s="43">
        <v>525</v>
      </c>
      <c r="Q610" s="43">
        <v>20</v>
      </c>
      <c r="R610" s="45" t="s">
        <v>4278</v>
      </c>
      <c r="S610" s="46" t="s">
        <v>3493</v>
      </c>
    </row>
    <row r="611" spans="1:19" ht="42">
      <c r="A611" s="43">
        <v>607</v>
      </c>
      <c r="B611" s="43">
        <v>766</v>
      </c>
      <c r="C611" s="43">
        <v>1233</v>
      </c>
      <c r="D611" s="44">
        <v>46138</v>
      </c>
      <c r="E611" s="45" t="s">
        <v>1692</v>
      </c>
      <c r="F611" s="46" t="s">
        <v>37</v>
      </c>
      <c r="G611" s="46" t="s">
        <v>878</v>
      </c>
      <c r="H611" s="46" t="s">
        <v>1317</v>
      </c>
      <c r="I611" s="46" t="s">
        <v>526</v>
      </c>
      <c r="J611" s="46" t="s">
        <v>968</v>
      </c>
      <c r="K611" s="43">
        <v>10</v>
      </c>
      <c r="L611" s="43">
        <v>121</v>
      </c>
      <c r="M611" s="47">
        <v>8.1967213114754092E-2</v>
      </c>
      <c r="N611" s="47">
        <v>42.8</v>
      </c>
      <c r="O611" s="46" t="s">
        <v>910</v>
      </c>
      <c r="P611" s="43">
        <v>323</v>
      </c>
      <c r="Q611" s="43">
        <v>20</v>
      </c>
      <c r="R611" s="45" t="s">
        <v>4272</v>
      </c>
      <c r="S611" s="46" t="s">
        <v>1693</v>
      </c>
    </row>
    <row r="612" spans="1:19" ht="31.5">
      <c r="A612" s="43">
        <v>608</v>
      </c>
      <c r="B612" s="43">
        <v>521</v>
      </c>
      <c r="C612" s="43">
        <v>410</v>
      </c>
      <c r="D612" s="44">
        <v>45075</v>
      </c>
      <c r="E612" s="45" t="s">
        <v>3807</v>
      </c>
      <c r="F612" s="46" t="s">
        <v>37</v>
      </c>
      <c r="G612" s="46" t="s">
        <v>878</v>
      </c>
      <c r="H612" s="46" t="s">
        <v>965</v>
      </c>
      <c r="I612" s="46" t="s">
        <v>515</v>
      </c>
      <c r="J612" s="46" t="s">
        <v>977</v>
      </c>
      <c r="K612" s="43">
        <v>17</v>
      </c>
      <c r="L612" s="43">
        <v>1184</v>
      </c>
      <c r="M612" s="47">
        <v>1.4345991561181435E-2</v>
      </c>
      <c r="N612" s="47">
        <v>42.7</v>
      </c>
      <c r="O612" s="46" t="s">
        <v>910</v>
      </c>
      <c r="P612" s="43">
        <v>889</v>
      </c>
      <c r="Q612" s="43">
        <v>30</v>
      </c>
      <c r="R612" s="45" t="s">
        <v>4283</v>
      </c>
      <c r="S612" s="46" t="s">
        <v>3808</v>
      </c>
    </row>
    <row r="613" spans="1:19" ht="42">
      <c r="A613" s="43">
        <v>609</v>
      </c>
      <c r="B613" s="43">
        <v>572</v>
      </c>
      <c r="C613" s="43">
        <v>538</v>
      </c>
      <c r="D613" s="44">
        <v>45458</v>
      </c>
      <c r="E613" s="45" t="s">
        <v>3111</v>
      </c>
      <c r="F613" s="46" t="s">
        <v>37</v>
      </c>
      <c r="G613" s="46" t="s">
        <v>1038</v>
      </c>
      <c r="H613" s="46" t="s">
        <v>1005</v>
      </c>
      <c r="I613" s="46" t="s">
        <v>512</v>
      </c>
      <c r="J613" s="46" t="s">
        <v>968</v>
      </c>
      <c r="K613" s="43">
        <v>15</v>
      </c>
      <c r="L613" s="43">
        <v>801</v>
      </c>
      <c r="M613" s="47">
        <v>1.8703241895261846E-2</v>
      </c>
      <c r="N613" s="47">
        <v>42.5</v>
      </c>
      <c r="O613" s="46" t="s">
        <v>910</v>
      </c>
      <c r="P613" s="43">
        <v>542</v>
      </c>
      <c r="Q613" s="43">
        <v>20</v>
      </c>
      <c r="R613" s="45" t="s">
        <v>4278</v>
      </c>
      <c r="S613" s="46" t="s">
        <v>3112</v>
      </c>
    </row>
    <row r="614" spans="1:19" ht="42">
      <c r="A614" s="43">
        <v>610</v>
      </c>
      <c r="B614" s="43">
        <v>712</v>
      </c>
      <c r="C614" s="43">
        <v>824</v>
      </c>
      <c r="D614" s="44">
        <v>46044</v>
      </c>
      <c r="E614" s="45" t="s">
        <v>1878</v>
      </c>
      <c r="F614" s="46" t="s">
        <v>37</v>
      </c>
      <c r="G614" s="46" t="s">
        <v>891</v>
      </c>
      <c r="H614" s="46" t="s">
        <v>1317</v>
      </c>
      <c r="I614" s="46" t="s">
        <v>512</v>
      </c>
      <c r="J614" s="46" t="s">
        <v>977</v>
      </c>
      <c r="K614" s="43">
        <v>11</v>
      </c>
      <c r="L614" s="43">
        <v>215</v>
      </c>
      <c r="M614" s="47">
        <v>5.0925925925925923E-2</v>
      </c>
      <c r="N614" s="47">
        <v>42.5</v>
      </c>
      <c r="O614" s="46" t="s">
        <v>910</v>
      </c>
      <c r="P614" s="43">
        <v>582</v>
      </c>
      <c r="Q614" s="43">
        <v>20</v>
      </c>
      <c r="R614" s="45" t="s">
        <v>4278</v>
      </c>
      <c r="S614" s="46" t="s">
        <v>1879</v>
      </c>
    </row>
    <row r="615" spans="1:19" ht="42">
      <c r="A615" s="43">
        <v>611</v>
      </c>
      <c r="B615" s="43">
        <v>498</v>
      </c>
      <c r="C615" s="43">
        <v>10</v>
      </c>
      <c r="D615" s="44">
        <v>44655</v>
      </c>
      <c r="E615" s="45" t="s">
        <v>4065</v>
      </c>
      <c r="F615" s="46" t="s">
        <v>37</v>
      </c>
      <c r="G615" s="46" t="s">
        <v>885</v>
      </c>
      <c r="H615" s="46" t="s">
        <v>965</v>
      </c>
      <c r="I615" s="46" t="s">
        <v>512</v>
      </c>
      <c r="J615" s="46" t="s">
        <v>968</v>
      </c>
      <c r="K615" s="43">
        <v>18</v>
      </c>
      <c r="L615" s="43">
        <v>1604</v>
      </c>
      <c r="M615" s="47">
        <v>1.1214953271028037E-2</v>
      </c>
      <c r="N615" s="47">
        <v>42.3</v>
      </c>
      <c r="O615" s="46" t="s">
        <v>910</v>
      </c>
      <c r="P615" s="43">
        <v>504</v>
      </c>
      <c r="Q615" s="43">
        <v>20</v>
      </c>
      <c r="R615" s="45" t="s">
        <v>4278</v>
      </c>
      <c r="S615" s="46" t="s">
        <v>4066</v>
      </c>
    </row>
    <row r="616" spans="1:19" ht="42">
      <c r="A616" s="43">
        <v>612</v>
      </c>
      <c r="B616" s="43">
        <v>634</v>
      </c>
      <c r="C616" s="43">
        <v>904</v>
      </c>
      <c r="D616" s="44">
        <v>45777</v>
      </c>
      <c r="E616" s="45" t="s">
        <v>2461</v>
      </c>
      <c r="F616" s="46" t="s">
        <v>371</v>
      </c>
      <c r="G616" s="46" t="s">
        <v>1038</v>
      </c>
      <c r="H616" s="46" t="s">
        <v>1038</v>
      </c>
      <c r="I616" s="46" t="s">
        <v>512</v>
      </c>
      <c r="J616" s="46" t="s">
        <v>977</v>
      </c>
      <c r="K616" s="43">
        <v>13</v>
      </c>
      <c r="L616" s="43">
        <v>482</v>
      </c>
      <c r="M616" s="47">
        <v>2.6915113871635612E-2</v>
      </c>
      <c r="N616" s="47">
        <v>42.2</v>
      </c>
      <c r="O616" s="46" t="s">
        <v>910</v>
      </c>
      <c r="P616" s="43">
        <v>472</v>
      </c>
      <c r="Q616" s="43">
        <v>10</v>
      </c>
      <c r="R616" s="45" t="s">
        <v>4281</v>
      </c>
      <c r="S616" s="46" t="s">
        <v>2462</v>
      </c>
    </row>
    <row r="617" spans="1:19" ht="42">
      <c r="A617" s="43">
        <v>613</v>
      </c>
      <c r="B617" s="43">
        <v>713</v>
      </c>
      <c r="C617" s="43">
        <v>1157</v>
      </c>
      <c r="D617" s="44">
        <v>46037</v>
      </c>
      <c r="E617" s="45" t="s">
        <v>1899</v>
      </c>
      <c r="F617" s="46" t="s">
        <v>360</v>
      </c>
      <c r="G617" s="46" t="s">
        <v>882</v>
      </c>
      <c r="H617" s="46" t="s">
        <v>965</v>
      </c>
      <c r="I617" s="46" t="s">
        <v>512</v>
      </c>
      <c r="J617" s="46" t="s">
        <v>977</v>
      </c>
      <c r="K617" s="43">
        <v>11</v>
      </c>
      <c r="L617" s="43">
        <v>222</v>
      </c>
      <c r="M617" s="47">
        <v>4.9327354260089683E-2</v>
      </c>
      <c r="N617" s="47">
        <v>42.2</v>
      </c>
      <c r="O617" s="46" t="s">
        <v>910</v>
      </c>
      <c r="P617" s="43">
        <v>350</v>
      </c>
      <c r="Q617" s="43">
        <v>10</v>
      </c>
      <c r="R617" s="45" t="s">
        <v>4281</v>
      </c>
      <c r="S617" s="46" t="s">
        <v>1900</v>
      </c>
    </row>
    <row r="618" spans="1:19" ht="42">
      <c r="A618" s="43">
        <v>614</v>
      </c>
      <c r="B618" s="43">
        <v>797</v>
      </c>
      <c r="C618" s="43">
        <v>1297</v>
      </c>
      <c r="D618" s="44">
        <v>46176</v>
      </c>
      <c r="E618" s="45" t="s">
        <v>1547</v>
      </c>
      <c r="F618" s="46" t="s">
        <v>360</v>
      </c>
      <c r="G618" s="46" t="s">
        <v>878</v>
      </c>
      <c r="H618" s="46" t="s">
        <v>965</v>
      </c>
      <c r="I618" s="46" t="s">
        <v>526</v>
      </c>
      <c r="J618" s="46" t="s">
        <v>977</v>
      </c>
      <c r="K618" s="43">
        <v>9</v>
      </c>
      <c r="L618" s="43">
        <v>83</v>
      </c>
      <c r="M618" s="47">
        <v>0.10714285714285714</v>
      </c>
      <c r="N618" s="47">
        <v>42</v>
      </c>
      <c r="O618" s="46" t="s">
        <v>910</v>
      </c>
      <c r="P618" s="43">
        <v>314</v>
      </c>
      <c r="Q618" s="43">
        <v>20</v>
      </c>
      <c r="R618" s="45" t="s">
        <v>4275</v>
      </c>
      <c r="S618" s="46" t="s">
        <v>1548</v>
      </c>
    </row>
    <row r="619" spans="1:19" ht="42">
      <c r="A619" s="43">
        <v>615</v>
      </c>
      <c r="B619" s="43">
        <v>635</v>
      </c>
      <c r="C619" s="43">
        <v>899</v>
      </c>
      <c r="D619" s="44">
        <v>45759</v>
      </c>
      <c r="E619" s="45" t="s">
        <v>2494</v>
      </c>
      <c r="F619" s="46" t="s">
        <v>371</v>
      </c>
      <c r="G619" s="46" t="s">
        <v>878</v>
      </c>
      <c r="H619" s="46" t="s">
        <v>965</v>
      </c>
      <c r="I619" s="46" t="s">
        <v>512</v>
      </c>
      <c r="J619" s="46" t="s">
        <v>968</v>
      </c>
      <c r="K619" s="43">
        <v>13</v>
      </c>
      <c r="L619" s="43">
        <v>500</v>
      </c>
      <c r="M619" s="47">
        <v>2.5948103792415168E-2</v>
      </c>
      <c r="N619" s="47">
        <v>41.9</v>
      </c>
      <c r="O619" s="46" t="s">
        <v>910</v>
      </c>
      <c r="P619" s="43">
        <v>7</v>
      </c>
      <c r="Q619" s="43">
        <v>10</v>
      </c>
      <c r="R619" s="45" t="s">
        <v>4281</v>
      </c>
      <c r="S619" s="46" t="s">
        <v>2495</v>
      </c>
    </row>
    <row r="620" spans="1:19" ht="42">
      <c r="A620" s="43">
        <v>616</v>
      </c>
      <c r="B620" s="43">
        <v>548</v>
      </c>
      <c r="C620" s="43">
        <v>315</v>
      </c>
      <c r="D620" s="44">
        <v>45204</v>
      </c>
      <c r="E620" s="45" t="s">
        <v>3559</v>
      </c>
      <c r="F620" s="46" t="s">
        <v>37</v>
      </c>
      <c r="G620" s="46" t="s">
        <v>878</v>
      </c>
      <c r="H620" s="46" t="s">
        <v>1317</v>
      </c>
      <c r="I620" s="46" t="s">
        <v>522</v>
      </c>
      <c r="J620" s="46" t="s">
        <v>977</v>
      </c>
      <c r="K620" s="43">
        <v>16</v>
      </c>
      <c r="L620" s="43">
        <v>1055</v>
      </c>
      <c r="M620" s="47">
        <v>1.5151515151515152E-2</v>
      </c>
      <c r="N620" s="47">
        <v>41.7</v>
      </c>
      <c r="O620" s="46" t="s">
        <v>910</v>
      </c>
      <c r="P620" s="43">
        <v>422</v>
      </c>
      <c r="Q620" s="43">
        <v>10</v>
      </c>
      <c r="R620" s="45" t="s">
        <v>4281</v>
      </c>
      <c r="S620" s="46" t="s">
        <v>3560</v>
      </c>
    </row>
    <row r="621" spans="1:19" ht="42">
      <c r="A621" s="43">
        <v>617</v>
      </c>
      <c r="B621" s="43">
        <v>599</v>
      </c>
      <c r="C621" s="43">
        <v>621</v>
      </c>
      <c r="D621" s="44">
        <v>45565</v>
      </c>
      <c r="E621" s="45" t="s">
        <v>2901</v>
      </c>
      <c r="F621" s="46" t="s">
        <v>37</v>
      </c>
      <c r="G621" s="46" t="s">
        <v>1038</v>
      </c>
      <c r="H621" s="46" t="s">
        <v>1005</v>
      </c>
      <c r="I621" s="46" t="s">
        <v>530</v>
      </c>
      <c r="J621" s="46" t="s">
        <v>968</v>
      </c>
      <c r="K621" s="43">
        <v>14</v>
      </c>
      <c r="L621" s="43">
        <v>694</v>
      </c>
      <c r="M621" s="47">
        <v>2.0143884892086329E-2</v>
      </c>
      <c r="N621" s="47">
        <v>41.5</v>
      </c>
      <c r="O621" s="46" t="s">
        <v>910</v>
      </c>
      <c r="P621" s="43">
        <v>263</v>
      </c>
      <c r="Q621" s="43">
        <v>20</v>
      </c>
      <c r="R621" s="45" t="s">
        <v>4275</v>
      </c>
      <c r="S621" s="46" t="s">
        <v>2902</v>
      </c>
    </row>
    <row r="622" spans="1:19" ht="42">
      <c r="A622" s="43">
        <v>618</v>
      </c>
      <c r="B622" s="43">
        <v>600</v>
      </c>
      <c r="C622" s="43">
        <v>611</v>
      </c>
      <c r="D622" s="44">
        <v>45561</v>
      </c>
      <c r="E622" s="45" t="s">
        <v>2946</v>
      </c>
      <c r="F622" s="46" t="s">
        <v>37</v>
      </c>
      <c r="G622" s="46" t="s">
        <v>882</v>
      </c>
      <c r="H622" s="46" t="s">
        <v>965</v>
      </c>
      <c r="I622" s="46" t="s">
        <v>512</v>
      </c>
      <c r="J622" s="46" t="s">
        <v>977</v>
      </c>
      <c r="K622" s="43">
        <v>14</v>
      </c>
      <c r="L622" s="43">
        <v>698</v>
      </c>
      <c r="M622" s="47">
        <v>2.0028612303290415E-2</v>
      </c>
      <c r="N622" s="47">
        <v>41.5</v>
      </c>
      <c r="O622" s="46" t="s">
        <v>910</v>
      </c>
      <c r="P622" s="43">
        <v>55</v>
      </c>
      <c r="Q622" s="43">
        <v>20</v>
      </c>
      <c r="R622" s="45" t="s">
        <v>4275</v>
      </c>
      <c r="S622" s="46" t="s">
        <v>2947</v>
      </c>
    </row>
    <row r="623" spans="1:19" ht="42">
      <c r="A623" s="43">
        <v>619</v>
      </c>
      <c r="B623" s="43">
        <v>573</v>
      </c>
      <c r="C623" s="43">
        <v>472</v>
      </c>
      <c r="D623" s="44">
        <v>45374</v>
      </c>
      <c r="E623" s="45" t="s">
        <v>3269</v>
      </c>
      <c r="F623" s="46" t="s">
        <v>37</v>
      </c>
      <c r="G623" s="46" t="s">
        <v>928</v>
      </c>
      <c r="H623" s="46" t="s">
        <v>1317</v>
      </c>
      <c r="I623" s="46" t="s">
        <v>515</v>
      </c>
      <c r="J623" s="46" t="s">
        <v>977</v>
      </c>
      <c r="K623" s="43">
        <v>15</v>
      </c>
      <c r="L623" s="43">
        <v>885</v>
      </c>
      <c r="M623" s="47">
        <v>1.6930022573363433E-2</v>
      </c>
      <c r="N623" s="47">
        <v>41.4</v>
      </c>
      <c r="O623" s="46" t="s">
        <v>910</v>
      </c>
      <c r="P623" s="43">
        <v>599</v>
      </c>
      <c r="Q623" s="43">
        <v>20</v>
      </c>
      <c r="R623" s="45" t="s">
        <v>4278</v>
      </c>
      <c r="S623" s="46" t="s">
        <v>3270</v>
      </c>
    </row>
    <row r="624" spans="1:19" ht="31.5">
      <c r="A624" s="43">
        <v>620</v>
      </c>
      <c r="B624" s="43">
        <v>714</v>
      </c>
      <c r="C624" s="43">
        <v>1152</v>
      </c>
      <c r="D624" s="44">
        <v>46014</v>
      </c>
      <c r="E624" s="45" t="s">
        <v>1965</v>
      </c>
      <c r="F624" s="46" t="s">
        <v>360</v>
      </c>
      <c r="G624" s="46" t="s">
        <v>889</v>
      </c>
      <c r="H624" s="46" t="s">
        <v>965</v>
      </c>
      <c r="I624" s="46" t="s">
        <v>530</v>
      </c>
      <c r="J624" s="46" t="s">
        <v>968</v>
      </c>
      <c r="K624" s="43">
        <v>11</v>
      </c>
      <c r="L624" s="43">
        <v>245</v>
      </c>
      <c r="M624" s="47">
        <v>4.4715447154471545E-2</v>
      </c>
      <c r="N624" s="47">
        <v>41.4</v>
      </c>
      <c r="O624" s="46" t="s">
        <v>910</v>
      </c>
      <c r="P624" s="43">
        <v>570</v>
      </c>
      <c r="Q624" s="43">
        <v>30</v>
      </c>
      <c r="R624" s="45" t="s">
        <v>4283</v>
      </c>
      <c r="S624" s="46" t="s">
        <v>1966</v>
      </c>
    </row>
    <row r="625" spans="1:19" ht="42">
      <c r="A625" s="43">
        <v>621</v>
      </c>
      <c r="B625" s="43">
        <v>549</v>
      </c>
      <c r="C625" s="43">
        <v>284</v>
      </c>
      <c r="D625" s="44">
        <v>45167</v>
      </c>
      <c r="E625" s="45" t="s">
        <v>3636</v>
      </c>
      <c r="F625" s="46" t="s">
        <v>37</v>
      </c>
      <c r="G625" s="46" t="s">
        <v>1038</v>
      </c>
      <c r="H625" s="46" t="s">
        <v>1038</v>
      </c>
      <c r="I625" s="46" t="s">
        <v>512</v>
      </c>
      <c r="J625" s="46" t="s">
        <v>968</v>
      </c>
      <c r="K625" s="43">
        <v>16</v>
      </c>
      <c r="L625" s="43">
        <v>1092</v>
      </c>
      <c r="M625" s="47">
        <v>1.463860933211345E-2</v>
      </c>
      <c r="N625" s="47">
        <v>41.3</v>
      </c>
      <c r="O625" s="46" t="s">
        <v>910</v>
      </c>
      <c r="P625" s="43">
        <v>495</v>
      </c>
      <c r="Q625" s="43">
        <v>10</v>
      </c>
      <c r="R625" s="45" t="s">
        <v>4281</v>
      </c>
      <c r="S625" s="46" t="s">
        <v>3637</v>
      </c>
    </row>
    <row r="626" spans="1:19" ht="42">
      <c r="A626" s="43">
        <v>622</v>
      </c>
      <c r="B626" s="43">
        <v>636</v>
      </c>
      <c r="C626" s="43">
        <v>735</v>
      </c>
      <c r="D626" s="44">
        <v>45738</v>
      </c>
      <c r="E626" s="45" t="s">
        <v>2518</v>
      </c>
      <c r="F626" s="46" t="s">
        <v>37</v>
      </c>
      <c r="G626" s="46" t="s">
        <v>1038</v>
      </c>
      <c r="H626" s="46" t="s">
        <v>1134</v>
      </c>
      <c r="I626" s="46" t="s">
        <v>522</v>
      </c>
      <c r="J626" s="46" t="s">
        <v>977</v>
      </c>
      <c r="K626" s="43">
        <v>13</v>
      </c>
      <c r="L626" s="43">
        <v>521</v>
      </c>
      <c r="M626" s="47">
        <v>2.4904214559386972E-2</v>
      </c>
      <c r="N626" s="47">
        <v>41.3</v>
      </c>
      <c r="O626" s="46" t="s">
        <v>910</v>
      </c>
      <c r="P626" s="43">
        <v>415</v>
      </c>
      <c r="Q626" s="43">
        <v>10</v>
      </c>
      <c r="R626" s="45" t="s">
        <v>4281</v>
      </c>
      <c r="S626" s="46" t="s">
        <v>2519</v>
      </c>
    </row>
    <row r="627" spans="1:19" ht="42">
      <c r="A627" s="43">
        <v>623</v>
      </c>
      <c r="B627" s="43">
        <v>601</v>
      </c>
      <c r="C627" s="43">
        <v>591</v>
      </c>
      <c r="D627" s="44">
        <v>45540</v>
      </c>
      <c r="E627" s="45" t="s">
        <v>3000</v>
      </c>
      <c r="F627" s="46" t="s">
        <v>37</v>
      </c>
      <c r="G627" s="46" t="s">
        <v>1038</v>
      </c>
      <c r="H627" s="46" t="s">
        <v>1038</v>
      </c>
      <c r="I627" s="46" t="s">
        <v>519</v>
      </c>
      <c r="J627" s="46" t="s">
        <v>977</v>
      </c>
      <c r="K627" s="43">
        <v>14</v>
      </c>
      <c r="L627" s="43">
        <v>719</v>
      </c>
      <c r="M627" s="47">
        <v>1.9444444444444445E-2</v>
      </c>
      <c r="N627" s="47">
        <v>41.2</v>
      </c>
      <c r="O627" s="46" t="s">
        <v>910</v>
      </c>
      <c r="P627" s="43">
        <v>760</v>
      </c>
      <c r="Q627" s="43">
        <v>20</v>
      </c>
      <c r="R627" s="45" t="s">
        <v>4278</v>
      </c>
      <c r="S627" s="46" t="s">
        <v>3001</v>
      </c>
    </row>
    <row r="628" spans="1:19" ht="42">
      <c r="A628" s="43">
        <v>624</v>
      </c>
      <c r="B628" s="43">
        <v>715</v>
      </c>
      <c r="C628" s="43">
        <v>1145</v>
      </c>
      <c r="D628" s="44">
        <v>46007</v>
      </c>
      <c r="E628" s="45" t="s">
        <v>2023</v>
      </c>
      <c r="F628" s="46" t="s">
        <v>360</v>
      </c>
      <c r="G628" s="46" t="s">
        <v>891</v>
      </c>
      <c r="H628" s="46" t="s">
        <v>965</v>
      </c>
      <c r="I628" s="46" t="s">
        <v>530</v>
      </c>
      <c r="J628" s="46" t="s">
        <v>977</v>
      </c>
      <c r="K628" s="43">
        <v>11</v>
      </c>
      <c r="L628" s="43">
        <v>252</v>
      </c>
      <c r="M628" s="47">
        <v>4.3478260869565216E-2</v>
      </c>
      <c r="N628" s="47">
        <v>41.1</v>
      </c>
      <c r="O628" s="46" t="s">
        <v>910</v>
      </c>
      <c r="P628" s="43">
        <v>369</v>
      </c>
      <c r="Q628" s="43">
        <v>10</v>
      </c>
      <c r="R628" s="45" t="s">
        <v>4281</v>
      </c>
      <c r="S628" s="46" t="s">
        <v>2024</v>
      </c>
    </row>
    <row r="629" spans="1:19" ht="31.5">
      <c r="A629" s="43">
        <v>625</v>
      </c>
      <c r="B629" s="43">
        <v>983</v>
      </c>
      <c r="C629" s="43">
        <v>1497</v>
      </c>
      <c r="D629" s="44">
        <v>46259</v>
      </c>
      <c r="E629" s="45" t="s">
        <v>984</v>
      </c>
      <c r="F629" s="46" t="s">
        <v>37</v>
      </c>
      <c r="G629" s="46" t="s">
        <v>892</v>
      </c>
      <c r="H629" s="46" t="s">
        <v>965</v>
      </c>
      <c r="I629" s="46" t="s">
        <v>512</v>
      </c>
      <c r="J629" s="46" t="s">
        <v>977</v>
      </c>
      <c r="K629" s="43">
        <v>3</v>
      </c>
      <c r="L629" s="43">
        <v>0</v>
      </c>
      <c r="M629" s="47">
        <v>3</v>
      </c>
      <c r="N629" s="47">
        <v>41.1</v>
      </c>
      <c r="O629" s="46" t="s">
        <v>910</v>
      </c>
      <c r="P629" s="43">
        <v>1013</v>
      </c>
      <c r="Q629" s="43">
        <v>30</v>
      </c>
      <c r="R629" s="45" t="s">
        <v>4285</v>
      </c>
      <c r="S629" s="46" t="s">
        <v>985</v>
      </c>
    </row>
    <row r="630" spans="1:19" ht="42">
      <c r="A630" s="43">
        <v>626</v>
      </c>
      <c r="B630" s="43">
        <v>673</v>
      </c>
      <c r="C630" s="43">
        <v>964</v>
      </c>
      <c r="D630" s="44">
        <v>45893</v>
      </c>
      <c r="E630" s="45" t="s">
        <v>2201</v>
      </c>
      <c r="F630" s="46" t="s">
        <v>371</v>
      </c>
      <c r="G630" s="46" t="s">
        <v>1038</v>
      </c>
      <c r="H630" s="46" t="s">
        <v>1005</v>
      </c>
      <c r="I630" s="46" t="s">
        <v>515</v>
      </c>
      <c r="J630" s="46" t="s">
        <v>968</v>
      </c>
      <c r="K630" s="43">
        <v>12</v>
      </c>
      <c r="L630" s="43">
        <v>366</v>
      </c>
      <c r="M630" s="47">
        <v>3.2697547683923703E-2</v>
      </c>
      <c r="N630" s="47">
        <v>41</v>
      </c>
      <c r="O630" s="46" t="s">
        <v>910</v>
      </c>
      <c r="P630" s="43">
        <v>154</v>
      </c>
      <c r="Q630" s="43">
        <v>20</v>
      </c>
      <c r="R630" s="45" t="s">
        <v>4275</v>
      </c>
      <c r="S630" s="46" t="s">
        <v>2202</v>
      </c>
    </row>
    <row r="631" spans="1:19" ht="42">
      <c r="A631" s="43">
        <v>627</v>
      </c>
      <c r="B631" s="43">
        <v>637</v>
      </c>
      <c r="C631" s="43">
        <v>1047</v>
      </c>
      <c r="D631" s="44">
        <v>45713</v>
      </c>
      <c r="E631" s="45" t="s">
        <v>2524</v>
      </c>
      <c r="F631" s="46" t="s">
        <v>382</v>
      </c>
      <c r="G631" s="46" t="s">
        <v>1038</v>
      </c>
      <c r="H631" s="46" t="s">
        <v>1005</v>
      </c>
      <c r="I631" s="46" t="s">
        <v>512</v>
      </c>
      <c r="J631" s="46" t="s">
        <v>968</v>
      </c>
      <c r="K631" s="43">
        <v>13</v>
      </c>
      <c r="L631" s="43">
        <v>546</v>
      </c>
      <c r="M631" s="47">
        <v>2.376599634369287E-2</v>
      </c>
      <c r="N631" s="47">
        <v>40.9</v>
      </c>
      <c r="O631" s="46" t="s">
        <v>910</v>
      </c>
      <c r="P631" s="43">
        <v>653</v>
      </c>
      <c r="Q631" s="43">
        <v>20</v>
      </c>
      <c r="R631" s="45" t="s">
        <v>4278</v>
      </c>
      <c r="S631" s="46" t="s">
        <v>2525</v>
      </c>
    </row>
    <row r="632" spans="1:19" ht="42">
      <c r="A632" s="43">
        <v>628</v>
      </c>
      <c r="B632" s="43">
        <v>638</v>
      </c>
      <c r="C632" s="43">
        <v>891</v>
      </c>
      <c r="D632" s="44">
        <v>45712</v>
      </c>
      <c r="E632" s="45" t="s">
        <v>2530</v>
      </c>
      <c r="F632" s="46" t="s">
        <v>371</v>
      </c>
      <c r="G632" s="46" t="s">
        <v>1038</v>
      </c>
      <c r="H632" s="46" t="s">
        <v>1038</v>
      </c>
      <c r="I632" s="46" t="s">
        <v>530</v>
      </c>
      <c r="J632" s="46" t="s">
        <v>968</v>
      </c>
      <c r="K632" s="43">
        <v>13</v>
      </c>
      <c r="L632" s="43">
        <v>547</v>
      </c>
      <c r="M632" s="47">
        <v>2.3722627737226276E-2</v>
      </c>
      <c r="N632" s="47">
        <v>40.9</v>
      </c>
      <c r="O632" s="46" t="s">
        <v>910</v>
      </c>
      <c r="P632" s="43">
        <v>1274</v>
      </c>
      <c r="Q632" s="43">
        <v>20</v>
      </c>
      <c r="R632" s="45" t="s">
        <v>4278</v>
      </c>
      <c r="S632" s="46" t="s">
        <v>2531</v>
      </c>
    </row>
    <row r="633" spans="1:19" ht="42">
      <c r="A633" s="43">
        <v>629</v>
      </c>
      <c r="B633" s="43">
        <v>550</v>
      </c>
      <c r="C633" s="43">
        <v>196</v>
      </c>
      <c r="D633" s="44">
        <v>45089</v>
      </c>
      <c r="E633" s="45" t="s">
        <v>3765</v>
      </c>
      <c r="F633" s="46" t="s">
        <v>37</v>
      </c>
      <c r="G633" s="46" t="s">
        <v>1038</v>
      </c>
      <c r="H633" s="46" t="s">
        <v>1038</v>
      </c>
      <c r="I633" s="46" t="s">
        <v>533</v>
      </c>
      <c r="J633" s="46" t="s">
        <v>968</v>
      </c>
      <c r="K633" s="43">
        <v>16</v>
      </c>
      <c r="L633" s="43">
        <v>1170</v>
      </c>
      <c r="M633" s="47">
        <v>1.3663535439795047E-2</v>
      </c>
      <c r="N633" s="47">
        <v>40.799999999999997</v>
      </c>
      <c r="O633" s="46" t="s">
        <v>910</v>
      </c>
      <c r="P633" s="43">
        <v>227</v>
      </c>
      <c r="Q633" s="43">
        <v>10</v>
      </c>
      <c r="R633" s="45" t="s">
        <v>4281</v>
      </c>
      <c r="S633" s="46" t="s">
        <v>3766</v>
      </c>
    </row>
    <row r="634" spans="1:19" ht="42">
      <c r="A634" s="43">
        <v>630</v>
      </c>
      <c r="B634" s="43">
        <v>574</v>
      </c>
      <c r="C634" s="43">
        <v>426</v>
      </c>
      <c r="D634" s="44">
        <v>45332</v>
      </c>
      <c r="E634" s="45" t="s">
        <v>3345</v>
      </c>
      <c r="F634" s="46" t="s">
        <v>37</v>
      </c>
      <c r="G634" s="46" t="s">
        <v>885</v>
      </c>
      <c r="H634" s="46" t="s">
        <v>965</v>
      </c>
      <c r="I634" s="46" t="s">
        <v>512</v>
      </c>
      <c r="J634" s="46" t="s">
        <v>968</v>
      </c>
      <c r="K634" s="43">
        <v>15</v>
      </c>
      <c r="L634" s="43">
        <v>927</v>
      </c>
      <c r="M634" s="47">
        <v>1.6163793103448277E-2</v>
      </c>
      <c r="N634" s="47">
        <v>40.799999999999997</v>
      </c>
      <c r="O634" s="46" t="s">
        <v>910</v>
      </c>
      <c r="P634" s="43">
        <v>399</v>
      </c>
      <c r="Q634" s="43">
        <v>10</v>
      </c>
      <c r="R634" s="45" t="s">
        <v>4281</v>
      </c>
      <c r="S634" s="46" t="s">
        <v>3346</v>
      </c>
    </row>
    <row r="635" spans="1:19" ht="42">
      <c r="A635" s="43">
        <v>631</v>
      </c>
      <c r="B635" s="43">
        <v>674</v>
      </c>
      <c r="C635" s="43">
        <v>975</v>
      </c>
      <c r="D635" s="44">
        <v>45884</v>
      </c>
      <c r="E635" s="45" t="s">
        <v>2213</v>
      </c>
      <c r="F635" s="46" t="s">
        <v>371</v>
      </c>
      <c r="G635" s="46" t="s">
        <v>885</v>
      </c>
      <c r="H635" s="46" t="s">
        <v>965</v>
      </c>
      <c r="I635" s="46" t="s">
        <v>530</v>
      </c>
      <c r="J635" s="46" t="s">
        <v>977</v>
      </c>
      <c r="K635" s="43">
        <v>12</v>
      </c>
      <c r="L635" s="43">
        <v>375</v>
      </c>
      <c r="M635" s="47">
        <v>3.1914893617021274E-2</v>
      </c>
      <c r="N635" s="47">
        <v>40.799999999999997</v>
      </c>
      <c r="O635" s="46" t="s">
        <v>910</v>
      </c>
      <c r="P635" s="43">
        <v>383</v>
      </c>
      <c r="Q635" s="43">
        <v>20</v>
      </c>
      <c r="R635" s="45" t="s">
        <v>4275</v>
      </c>
      <c r="S635" s="46" t="s">
        <v>2214</v>
      </c>
    </row>
    <row r="636" spans="1:19" ht="42">
      <c r="A636" s="43">
        <v>632</v>
      </c>
      <c r="B636" s="43">
        <v>551</v>
      </c>
      <c r="C636" s="43">
        <v>157</v>
      </c>
      <c r="D636" s="44">
        <v>45070</v>
      </c>
      <c r="E636" s="45" t="s">
        <v>3828</v>
      </c>
      <c r="F636" s="46" t="s">
        <v>37</v>
      </c>
      <c r="G636" s="46" t="s">
        <v>1038</v>
      </c>
      <c r="H636" s="46" t="s">
        <v>1038</v>
      </c>
      <c r="I636" s="46" t="s">
        <v>536</v>
      </c>
      <c r="J636" s="46" t="s">
        <v>968</v>
      </c>
      <c r="K636" s="43">
        <v>16</v>
      </c>
      <c r="L636" s="43">
        <v>1189</v>
      </c>
      <c r="M636" s="47">
        <v>1.3445378151260505E-2</v>
      </c>
      <c r="N636" s="47">
        <v>40.5</v>
      </c>
      <c r="O636" s="46" t="s">
        <v>910</v>
      </c>
      <c r="P636" s="43">
        <v>297</v>
      </c>
      <c r="Q636" s="43">
        <v>20</v>
      </c>
      <c r="R636" s="45" t="s">
        <v>4275</v>
      </c>
      <c r="S636" s="46" t="s">
        <v>3829</v>
      </c>
    </row>
    <row r="637" spans="1:19" ht="42">
      <c r="A637" s="43">
        <v>633</v>
      </c>
      <c r="B637" s="43">
        <v>575</v>
      </c>
      <c r="C637" s="43">
        <v>397</v>
      </c>
      <c r="D637" s="44">
        <v>45310</v>
      </c>
      <c r="E637" s="45" t="s">
        <v>3394</v>
      </c>
      <c r="F637" s="46" t="s">
        <v>37</v>
      </c>
      <c r="G637" s="46" t="s">
        <v>878</v>
      </c>
      <c r="H637" s="46" t="s">
        <v>965</v>
      </c>
      <c r="I637" s="46" t="s">
        <v>526</v>
      </c>
      <c r="J637" s="46" t="s">
        <v>968</v>
      </c>
      <c r="K637" s="43">
        <v>15</v>
      </c>
      <c r="L637" s="43">
        <v>949</v>
      </c>
      <c r="M637" s="47">
        <v>1.5789473684210527E-2</v>
      </c>
      <c r="N637" s="47">
        <v>40.5</v>
      </c>
      <c r="O637" s="46" t="s">
        <v>910</v>
      </c>
      <c r="P637" s="43">
        <v>201</v>
      </c>
      <c r="Q637" s="43">
        <v>10</v>
      </c>
      <c r="R637" s="45" t="s">
        <v>4281</v>
      </c>
      <c r="S637" s="46" t="s">
        <v>3395</v>
      </c>
    </row>
    <row r="638" spans="1:19" ht="42">
      <c r="A638" s="43">
        <v>634</v>
      </c>
      <c r="B638" s="43">
        <v>675</v>
      </c>
      <c r="C638" s="43">
        <v>778</v>
      </c>
      <c r="D638" s="44">
        <v>45872</v>
      </c>
      <c r="E638" s="45" t="s">
        <v>2228</v>
      </c>
      <c r="F638" s="46" t="s">
        <v>37</v>
      </c>
      <c r="G638" s="46" t="s">
        <v>885</v>
      </c>
      <c r="H638" s="46" t="s">
        <v>965</v>
      </c>
      <c r="I638" s="46" t="s">
        <v>530</v>
      </c>
      <c r="J638" s="46" t="s">
        <v>968</v>
      </c>
      <c r="K638" s="43">
        <v>12</v>
      </c>
      <c r="L638" s="43">
        <v>387</v>
      </c>
      <c r="M638" s="47">
        <v>3.0927835051546393E-2</v>
      </c>
      <c r="N638" s="47">
        <v>40.5</v>
      </c>
      <c r="O638" s="46" t="s">
        <v>910</v>
      </c>
      <c r="P638" s="43">
        <v>32</v>
      </c>
      <c r="Q638" s="43">
        <v>10</v>
      </c>
      <c r="R638" s="45" t="s">
        <v>4281</v>
      </c>
      <c r="S638" s="46" t="s">
        <v>2229</v>
      </c>
    </row>
    <row r="639" spans="1:19" ht="42">
      <c r="A639" s="43">
        <v>635</v>
      </c>
      <c r="B639" s="43">
        <v>716</v>
      </c>
      <c r="C639" s="43">
        <v>1143</v>
      </c>
      <c r="D639" s="44">
        <v>46000</v>
      </c>
      <c r="E639" s="45" t="s">
        <v>2029</v>
      </c>
      <c r="F639" s="46" t="s">
        <v>360</v>
      </c>
      <c r="G639" s="46" t="s">
        <v>1038</v>
      </c>
      <c r="H639" s="46" t="s">
        <v>1134</v>
      </c>
      <c r="I639" s="46" t="s">
        <v>512</v>
      </c>
      <c r="J639" s="46" t="s">
        <v>977</v>
      </c>
      <c r="K639" s="43">
        <v>11</v>
      </c>
      <c r="L639" s="43">
        <v>259</v>
      </c>
      <c r="M639" s="47">
        <v>4.230769230769231E-2</v>
      </c>
      <c r="N639" s="47">
        <v>40.5</v>
      </c>
      <c r="O639" s="46" t="s">
        <v>910</v>
      </c>
      <c r="P639" s="43">
        <v>301</v>
      </c>
      <c r="Q639" s="43">
        <v>20</v>
      </c>
      <c r="R639" s="45" t="s">
        <v>4275</v>
      </c>
      <c r="S639" s="46" t="s">
        <v>2030</v>
      </c>
    </row>
    <row r="640" spans="1:19" ht="42">
      <c r="A640" s="43">
        <v>636</v>
      </c>
      <c r="B640" s="43">
        <v>676</v>
      </c>
      <c r="C640" s="43">
        <v>951</v>
      </c>
      <c r="D640" s="44">
        <v>45864</v>
      </c>
      <c r="E640" s="45" t="s">
        <v>2259</v>
      </c>
      <c r="F640" s="46" t="s">
        <v>371</v>
      </c>
      <c r="G640" s="46" t="s">
        <v>882</v>
      </c>
      <c r="H640" s="46" t="s">
        <v>965</v>
      </c>
      <c r="I640" s="46" t="s">
        <v>530</v>
      </c>
      <c r="J640" s="46" t="s">
        <v>977</v>
      </c>
      <c r="K640" s="43">
        <v>12</v>
      </c>
      <c r="L640" s="43">
        <v>395</v>
      </c>
      <c r="M640" s="47">
        <v>3.0303030303030304E-2</v>
      </c>
      <c r="N640" s="47">
        <v>40.4</v>
      </c>
      <c r="O640" s="46" t="s">
        <v>910</v>
      </c>
      <c r="P640" s="43">
        <v>75</v>
      </c>
      <c r="Q640" s="43">
        <v>10</v>
      </c>
      <c r="R640" s="45" t="s">
        <v>4281</v>
      </c>
      <c r="S640" s="46" t="s">
        <v>2260</v>
      </c>
    </row>
    <row r="641" spans="1:19" ht="42">
      <c r="A641" s="43">
        <v>637</v>
      </c>
      <c r="B641" s="43">
        <v>576</v>
      </c>
      <c r="C641" s="43">
        <v>383</v>
      </c>
      <c r="D641" s="44">
        <v>45306</v>
      </c>
      <c r="E641" s="45" t="s">
        <v>3417</v>
      </c>
      <c r="F641" s="46" t="s">
        <v>37</v>
      </c>
      <c r="G641" s="46" t="s">
        <v>882</v>
      </c>
      <c r="H641" s="46" t="s">
        <v>965</v>
      </c>
      <c r="I641" s="46" t="s">
        <v>533</v>
      </c>
      <c r="J641" s="46" t="s">
        <v>977</v>
      </c>
      <c r="K641" s="43">
        <v>15</v>
      </c>
      <c r="L641" s="43">
        <v>953</v>
      </c>
      <c r="M641" s="47">
        <v>1.5723270440251572E-2</v>
      </c>
      <c r="N641" s="47">
        <v>40.299999999999997</v>
      </c>
      <c r="O641" s="46" t="s">
        <v>910</v>
      </c>
      <c r="P641" s="43">
        <v>842</v>
      </c>
      <c r="Q641" s="43">
        <v>20</v>
      </c>
      <c r="R641" s="45" t="s">
        <v>4278</v>
      </c>
      <c r="S641" s="46" t="s">
        <v>3418</v>
      </c>
    </row>
    <row r="642" spans="1:19" ht="42">
      <c r="A642" s="43">
        <v>638</v>
      </c>
      <c r="B642" s="43">
        <v>602</v>
      </c>
      <c r="C642" s="43">
        <v>563</v>
      </c>
      <c r="D642" s="44">
        <v>45495</v>
      </c>
      <c r="E642" s="45" t="s">
        <v>3066</v>
      </c>
      <c r="F642" s="46" t="s">
        <v>37</v>
      </c>
      <c r="G642" s="46" t="s">
        <v>1038</v>
      </c>
      <c r="H642" s="46" t="s">
        <v>1038</v>
      </c>
      <c r="I642" s="46" t="s">
        <v>526</v>
      </c>
      <c r="J642" s="46" t="s">
        <v>968</v>
      </c>
      <c r="K642" s="43">
        <v>14</v>
      </c>
      <c r="L642" s="43">
        <v>764</v>
      </c>
      <c r="M642" s="47">
        <v>1.8300653594771243E-2</v>
      </c>
      <c r="N642" s="47">
        <v>40.299999999999997</v>
      </c>
      <c r="O642" s="46" t="s">
        <v>910</v>
      </c>
      <c r="P642" s="43">
        <v>485</v>
      </c>
      <c r="Q642" s="43">
        <v>20</v>
      </c>
      <c r="R642" s="45" t="s">
        <v>4275</v>
      </c>
      <c r="S642" s="46" t="s">
        <v>3067</v>
      </c>
    </row>
    <row r="643" spans="1:19" ht="31.5">
      <c r="A643" s="43">
        <v>639</v>
      </c>
      <c r="B643" s="43">
        <v>767</v>
      </c>
      <c r="C643" s="43">
        <v>1176</v>
      </c>
      <c r="D643" s="44">
        <v>46073</v>
      </c>
      <c r="E643" s="45" t="s">
        <v>1782</v>
      </c>
      <c r="F643" s="46" t="s">
        <v>37</v>
      </c>
      <c r="G643" s="46" t="s">
        <v>1038</v>
      </c>
      <c r="H643" s="46" t="s">
        <v>1134</v>
      </c>
      <c r="I643" s="46" t="s">
        <v>515</v>
      </c>
      <c r="J643" s="46" t="s">
        <v>977</v>
      </c>
      <c r="K643" s="43">
        <v>10</v>
      </c>
      <c r="L643" s="43">
        <v>186</v>
      </c>
      <c r="M643" s="47">
        <v>5.3475935828877004E-2</v>
      </c>
      <c r="N643" s="47">
        <v>40.299999999999997</v>
      </c>
      <c r="O643" s="46" t="s">
        <v>910</v>
      </c>
      <c r="P643" s="43">
        <v>467</v>
      </c>
      <c r="Q643" s="43">
        <v>30</v>
      </c>
      <c r="R643" s="45" t="s">
        <v>4279</v>
      </c>
      <c r="S643" s="46" t="s">
        <v>1783</v>
      </c>
    </row>
    <row r="644" spans="1:19" ht="42">
      <c r="A644" s="43">
        <v>640</v>
      </c>
      <c r="B644" s="43">
        <v>577</v>
      </c>
      <c r="C644" s="43">
        <v>418</v>
      </c>
      <c r="D644" s="44">
        <v>45297</v>
      </c>
      <c r="E644" s="45" t="s">
        <v>3483</v>
      </c>
      <c r="F644" s="46" t="s">
        <v>37</v>
      </c>
      <c r="G644" s="46" t="s">
        <v>878</v>
      </c>
      <c r="H644" s="46" t="s">
        <v>965</v>
      </c>
      <c r="I644" s="46" t="s">
        <v>522</v>
      </c>
      <c r="J644" s="46" t="s">
        <v>968</v>
      </c>
      <c r="K644" s="43">
        <v>15</v>
      </c>
      <c r="L644" s="43">
        <v>962</v>
      </c>
      <c r="M644" s="47">
        <v>1.5576323987538941E-2</v>
      </c>
      <c r="N644" s="47">
        <v>40.200000000000003</v>
      </c>
      <c r="O644" s="46" t="s">
        <v>910</v>
      </c>
      <c r="P644" s="43">
        <v>187</v>
      </c>
      <c r="Q644" s="43">
        <v>10</v>
      </c>
      <c r="R644" s="45" t="s">
        <v>4281</v>
      </c>
      <c r="S644" s="46" t="s">
        <v>3484</v>
      </c>
    </row>
    <row r="645" spans="1:19" ht="42">
      <c r="A645" s="43">
        <v>641</v>
      </c>
      <c r="B645" s="43">
        <v>639</v>
      </c>
      <c r="C645" s="43">
        <v>1042</v>
      </c>
      <c r="D645" s="44">
        <v>45678</v>
      </c>
      <c r="E645" s="45" t="s">
        <v>2563</v>
      </c>
      <c r="F645" s="46" t="s">
        <v>382</v>
      </c>
      <c r="G645" s="46" t="s">
        <v>899</v>
      </c>
      <c r="H645" s="46" t="s">
        <v>965</v>
      </c>
      <c r="I645" s="46" t="s">
        <v>512</v>
      </c>
      <c r="J645" s="46" t="s">
        <v>977</v>
      </c>
      <c r="K645" s="43">
        <v>13</v>
      </c>
      <c r="L645" s="43">
        <v>581</v>
      </c>
      <c r="M645" s="47">
        <v>2.2336769759450172E-2</v>
      </c>
      <c r="N645" s="47">
        <v>40.200000000000003</v>
      </c>
      <c r="O645" s="46" t="s">
        <v>910</v>
      </c>
      <c r="P645" s="43">
        <v>699</v>
      </c>
      <c r="Q645" s="43">
        <v>20</v>
      </c>
      <c r="R645" s="45" t="s">
        <v>4278</v>
      </c>
      <c r="S645" s="46" t="s">
        <v>2564</v>
      </c>
    </row>
    <row r="646" spans="1:19" ht="42">
      <c r="A646" s="43">
        <v>642</v>
      </c>
      <c r="B646" s="43">
        <v>677</v>
      </c>
      <c r="C646" s="43">
        <v>942</v>
      </c>
      <c r="D646" s="44">
        <v>45855</v>
      </c>
      <c r="E646" s="45" t="s">
        <v>2293</v>
      </c>
      <c r="F646" s="46" t="s">
        <v>371</v>
      </c>
      <c r="G646" s="46" t="s">
        <v>1038</v>
      </c>
      <c r="H646" s="46" t="s">
        <v>1005</v>
      </c>
      <c r="I646" s="46" t="s">
        <v>512</v>
      </c>
      <c r="J646" s="46" t="s">
        <v>968</v>
      </c>
      <c r="K646" s="43">
        <v>12</v>
      </c>
      <c r="L646" s="43">
        <v>404</v>
      </c>
      <c r="M646" s="47">
        <v>2.9629629629629631E-2</v>
      </c>
      <c r="N646" s="47">
        <v>40.200000000000003</v>
      </c>
      <c r="O646" s="46" t="s">
        <v>910</v>
      </c>
      <c r="P646" s="43">
        <v>113</v>
      </c>
      <c r="Q646" s="43">
        <v>10</v>
      </c>
      <c r="R646" s="45" t="s">
        <v>4281</v>
      </c>
      <c r="S646" s="46" t="s">
        <v>2294</v>
      </c>
    </row>
    <row r="647" spans="1:19" ht="42">
      <c r="A647" s="43">
        <v>643</v>
      </c>
      <c r="B647" s="43">
        <v>640</v>
      </c>
      <c r="C647" s="43">
        <v>720</v>
      </c>
      <c r="D647" s="44">
        <v>45668</v>
      </c>
      <c r="E647" s="45" t="s">
        <v>2609</v>
      </c>
      <c r="F647" s="46" t="s">
        <v>37</v>
      </c>
      <c r="G647" s="46" t="s">
        <v>1038</v>
      </c>
      <c r="H647" s="46" t="s">
        <v>1038</v>
      </c>
      <c r="I647" s="46" t="s">
        <v>515</v>
      </c>
      <c r="J647" s="46" t="s">
        <v>977</v>
      </c>
      <c r="K647" s="43">
        <v>13</v>
      </c>
      <c r="L647" s="43">
        <v>591</v>
      </c>
      <c r="M647" s="47">
        <v>2.1959459459459461E-2</v>
      </c>
      <c r="N647" s="47">
        <v>40</v>
      </c>
      <c r="O647" s="46" t="s">
        <v>910</v>
      </c>
      <c r="P647" s="43">
        <v>995</v>
      </c>
      <c r="Q647" s="43">
        <v>20</v>
      </c>
      <c r="R647" s="45" t="s">
        <v>4278</v>
      </c>
      <c r="S647" s="46" t="s">
        <v>2610</v>
      </c>
    </row>
    <row r="648" spans="1:19" ht="42">
      <c r="A648" s="43">
        <v>644</v>
      </c>
      <c r="B648" s="43">
        <v>641</v>
      </c>
      <c r="C648" s="43">
        <v>719</v>
      </c>
      <c r="D648" s="44">
        <v>45666</v>
      </c>
      <c r="E648" s="45" t="s">
        <v>2612</v>
      </c>
      <c r="F648" s="46" t="s">
        <v>37</v>
      </c>
      <c r="G648" s="46" t="s">
        <v>900</v>
      </c>
      <c r="H648" s="46" t="s">
        <v>965</v>
      </c>
      <c r="I648" s="46" t="s">
        <v>519</v>
      </c>
      <c r="J648" s="46" t="s">
        <v>968</v>
      </c>
      <c r="K648" s="43">
        <v>13</v>
      </c>
      <c r="L648" s="43">
        <v>593</v>
      </c>
      <c r="M648" s="47">
        <v>2.1885521885521887E-2</v>
      </c>
      <c r="N648" s="47">
        <v>39.9</v>
      </c>
      <c r="O648" s="46" t="s">
        <v>910</v>
      </c>
      <c r="P648" s="43">
        <v>705</v>
      </c>
      <c r="Q648" s="43">
        <v>20</v>
      </c>
      <c r="R648" s="45" t="s">
        <v>4278</v>
      </c>
      <c r="S648" s="46" t="s">
        <v>2613</v>
      </c>
    </row>
    <row r="649" spans="1:19" ht="42">
      <c r="A649" s="43">
        <v>645</v>
      </c>
      <c r="B649" s="43">
        <v>642</v>
      </c>
      <c r="C649" s="43">
        <v>868</v>
      </c>
      <c r="D649" s="44">
        <v>45665</v>
      </c>
      <c r="E649" s="45" t="s">
        <v>2618</v>
      </c>
      <c r="F649" s="46" t="s">
        <v>371</v>
      </c>
      <c r="G649" s="46" t="s">
        <v>1038</v>
      </c>
      <c r="H649" s="46" t="s">
        <v>1038</v>
      </c>
      <c r="I649" s="46" t="s">
        <v>519</v>
      </c>
      <c r="J649" s="46" t="s">
        <v>968</v>
      </c>
      <c r="K649" s="43">
        <v>13</v>
      </c>
      <c r="L649" s="43">
        <v>594</v>
      </c>
      <c r="M649" s="47">
        <v>2.1848739495798318E-2</v>
      </c>
      <c r="N649" s="47">
        <v>39.799999999999997</v>
      </c>
      <c r="O649" s="46" t="s">
        <v>910</v>
      </c>
      <c r="P649" s="43">
        <v>185</v>
      </c>
      <c r="Q649" s="43">
        <v>10</v>
      </c>
      <c r="R649" s="45" t="s">
        <v>4281</v>
      </c>
      <c r="S649" s="46" t="s">
        <v>2619</v>
      </c>
    </row>
    <row r="650" spans="1:19" ht="42">
      <c r="A650" s="43">
        <v>646</v>
      </c>
      <c r="B650" s="43">
        <v>678</v>
      </c>
      <c r="C650" s="43">
        <v>757</v>
      </c>
      <c r="D650" s="44">
        <v>45831</v>
      </c>
      <c r="E650" s="45" t="s">
        <v>2361</v>
      </c>
      <c r="F650" s="46" t="s">
        <v>37</v>
      </c>
      <c r="G650" s="46" t="s">
        <v>882</v>
      </c>
      <c r="H650" s="46" t="s">
        <v>965</v>
      </c>
      <c r="I650" s="46" t="s">
        <v>522</v>
      </c>
      <c r="J650" s="46" t="s">
        <v>977</v>
      </c>
      <c r="K650" s="43">
        <v>12</v>
      </c>
      <c r="L650" s="43">
        <v>428</v>
      </c>
      <c r="M650" s="47">
        <v>2.7972027972027972E-2</v>
      </c>
      <c r="N650" s="47">
        <v>39.799999999999997</v>
      </c>
      <c r="O650" s="46" t="s">
        <v>910</v>
      </c>
      <c r="P650" s="43">
        <v>755</v>
      </c>
      <c r="Q650" s="43">
        <v>20</v>
      </c>
      <c r="R650" s="45" t="s">
        <v>4278</v>
      </c>
      <c r="S650" s="46" t="s">
        <v>2362</v>
      </c>
    </row>
    <row r="651" spans="1:19" ht="42">
      <c r="A651" s="43">
        <v>647</v>
      </c>
      <c r="B651" s="43">
        <v>717</v>
      </c>
      <c r="C651" s="43">
        <v>1130</v>
      </c>
      <c r="D651" s="44">
        <v>45979</v>
      </c>
      <c r="E651" s="45" t="s">
        <v>2071</v>
      </c>
      <c r="F651" s="46" t="s">
        <v>360</v>
      </c>
      <c r="G651" s="46" t="s">
        <v>882</v>
      </c>
      <c r="H651" s="46" t="s">
        <v>965</v>
      </c>
      <c r="I651" s="46" t="s">
        <v>526</v>
      </c>
      <c r="J651" s="46" t="s">
        <v>977</v>
      </c>
      <c r="K651" s="43">
        <v>11</v>
      </c>
      <c r="L651" s="43">
        <v>280</v>
      </c>
      <c r="M651" s="47">
        <v>3.9145907473309607E-2</v>
      </c>
      <c r="N651" s="47">
        <v>39.799999999999997</v>
      </c>
      <c r="O651" s="46" t="s">
        <v>910</v>
      </c>
      <c r="P651" s="43">
        <v>249</v>
      </c>
      <c r="Q651" s="43">
        <v>10</v>
      </c>
      <c r="R651" s="45" t="s">
        <v>4281</v>
      </c>
      <c r="S651" s="46" t="s">
        <v>2072</v>
      </c>
    </row>
    <row r="652" spans="1:19" ht="42">
      <c r="A652" s="43">
        <v>648</v>
      </c>
      <c r="B652" s="43">
        <v>578</v>
      </c>
      <c r="C652" s="43">
        <v>337</v>
      </c>
      <c r="D652" s="44">
        <v>45250</v>
      </c>
      <c r="E652" s="45" t="s">
        <v>3525</v>
      </c>
      <c r="F652" s="46" t="s">
        <v>37</v>
      </c>
      <c r="G652" s="46" t="s">
        <v>1038</v>
      </c>
      <c r="H652" s="46" t="s">
        <v>1134</v>
      </c>
      <c r="I652" s="46" t="s">
        <v>522</v>
      </c>
      <c r="J652" s="46" t="s">
        <v>968</v>
      </c>
      <c r="K652" s="43">
        <v>15</v>
      </c>
      <c r="L652" s="43">
        <v>1009</v>
      </c>
      <c r="M652" s="47">
        <v>1.4851485148514851E-2</v>
      </c>
      <c r="N652" s="47">
        <v>39.700000000000003</v>
      </c>
      <c r="O652" s="46" t="s">
        <v>910</v>
      </c>
      <c r="P652" s="43">
        <v>559</v>
      </c>
      <c r="Q652" s="43">
        <v>20</v>
      </c>
      <c r="R652" s="45" t="s">
        <v>4278</v>
      </c>
      <c r="S652" s="46" t="s">
        <v>3526</v>
      </c>
    </row>
    <row r="653" spans="1:19" ht="42">
      <c r="A653" s="43">
        <v>649</v>
      </c>
      <c r="B653" s="43">
        <v>643</v>
      </c>
      <c r="C653" s="43">
        <v>705</v>
      </c>
      <c r="D653" s="44">
        <v>45660</v>
      </c>
      <c r="E653" s="45" t="s">
        <v>2657</v>
      </c>
      <c r="F653" s="46" t="s">
        <v>37</v>
      </c>
      <c r="G653" s="46" t="s">
        <v>1038</v>
      </c>
      <c r="H653" s="46" t="s">
        <v>1038</v>
      </c>
      <c r="I653" s="46" t="s">
        <v>512</v>
      </c>
      <c r="J653" s="46" t="s">
        <v>977</v>
      </c>
      <c r="K653" s="43">
        <v>13</v>
      </c>
      <c r="L653" s="43">
        <v>599</v>
      </c>
      <c r="M653" s="47">
        <v>2.1666666666666667E-2</v>
      </c>
      <c r="N653" s="47">
        <v>39.700000000000003</v>
      </c>
      <c r="O653" s="46" t="s">
        <v>910</v>
      </c>
      <c r="P653" s="43">
        <v>7</v>
      </c>
      <c r="Q653" s="43">
        <v>20</v>
      </c>
      <c r="R653" s="45" t="s">
        <v>4275</v>
      </c>
      <c r="S653" s="46" t="s">
        <v>2658</v>
      </c>
    </row>
    <row r="654" spans="1:19" ht="42">
      <c r="A654" s="43">
        <v>650</v>
      </c>
      <c r="B654" s="43">
        <v>839</v>
      </c>
      <c r="C654" s="43">
        <v>1304</v>
      </c>
      <c r="D654" s="44">
        <v>46183</v>
      </c>
      <c r="E654" s="45" t="s">
        <v>1532</v>
      </c>
      <c r="F654" s="46" t="s">
        <v>360</v>
      </c>
      <c r="G654" s="46" t="s">
        <v>1038</v>
      </c>
      <c r="H654" s="46" t="s">
        <v>1005</v>
      </c>
      <c r="I654" s="46" t="s">
        <v>526</v>
      </c>
      <c r="J654" s="46" t="s">
        <v>977</v>
      </c>
      <c r="K654" s="43">
        <v>8</v>
      </c>
      <c r="L654" s="43">
        <v>76</v>
      </c>
      <c r="M654" s="47">
        <v>0.1038961038961039</v>
      </c>
      <c r="N654" s="47">
        <v>39.700000000000003</v>
      </c>
      <c r="O654" s="46" t="s">
        <v>910</v>
      </c>
      <c r="P654" s="43">
        <v>332</v>
      </c>
      <c r="Q654" s="43">
        <v>10</v>
      </c>
      <c r="R654" s="45" t="s">
        <v>4281</v>
      </c>
      <c r="S654" s="46" t="s">
        <v>1533</v>
      </c>
    </row>
    <row r="655" spans="1:19" ht="42">
      <c r="A655" s="43">
        <v>651</v>
      </c>
      <c r="B655" s="43">
        <v>522</v>
      </c>
      <c r="C655" s="43">
        <v>839</v>
      </c>
      <c r="D655" s="44">
        <v>44530</v>
      </c>
      <c r="E655" s="45" t="s">
        <v>4129</v>
      </c>
      <c r="F655" s="46" t="s">
        <v>392</v>
      </c>
      <c r="G655" s="46" t="s">
        <v>1038</v>
      </c>
      <c r="H655" s="46" t="s">
        <v>1005</v>
      </c>
      <c r="I655" s="46" t="s">
        <v>515</v>
      </c>
      <c r="J655" s="46" t="s">
        <v>977</v>
      </c>
      <c r="K655" s="43">
        <v>17</v>
      </c>
      <c r="L655" s="43">
        <v>1729</v>
      </c>
      <c r="M655" s="47">
        <v>9.8265895953757228E-3</v>
      </c>
      <c r="N655" s="47">
        <v>39.6</v>
      </c>
      <c r="O655" s="46" t="s">
        <v>910</v>
      </c>
      <c r="P655" s="43">
        <v>225</v>
      </c>
      <c r="Q655" s="43">
        <v>20</v>
      </c>
      <c r="R655" s="45" t="s">
        <v>4275</v>
      </c>
      <c r="S655" s="46" t="s">
        <v>4130</v>
      </c>
    </row>
    <row r="656" spans="1:19" ht="42">
      <c r="A656" s="43">
        <v>652</v>
      </c>
      <c r="B656" s="43">
        <v>644</v>
      </c>
      <c r="C656" s="43">
        <v>690</v>
      </c>
      <c r="D656" s="44">
        <v>45654</v>
      </c>
      <c r="E656" s="45" t="s">
        <v>2703</v>
      </c>
      <c r="F656" s="46" t="s">
        <v>37</v>
      </c>
      <c r="G656" s="46" t="s">
        <v>896</v>
      </c>
      <c r="H656" s="46" t="s">
        <v>965</v>
      </c>
      <c r="I656" s="46" t="s">
        <v>512</v>
      </c>
      <c r="J656" s="46" t="s">
        <v>977</v>
      </c>
      <c r="K656" s="43">
        <v>13</v>
      </c>
      <c r="L656" s="43">
        <v>605</v>
      </c>
      <c r="M656" s="47">
        <v>2.1452145214521452E-2</v>
      </c>
      <c r="N656" s="47">
        <v>39.6</v>
      </c>
      <c r="O656" s="46" t="s">
        <v>910</v>
      </c>
      <c r="P656" s="43">
        <v>7</v>
      </c>
      <c r="Q656" s="43">
        <v>20</v>
      </c>
      <c r="R656" s="45" t="s">
        <v>4275</v>
      </c>
      <c r="S656" s="46" t="s">
        <v>2704</v>
      </c>
    </row>
    <row r="657" spans="1:19" ht="42">
      <c r="A657" s="43">
        <v>653</v>
      </c>
      <c r="B657" s="43">
        <v>679</v>
      </c>
      <c r="C657" s="43">
        <v>914</v>
      </c>
      <c r="D657" s="44">
        <v>45818</v>
      </c>
      <c r="E657" s="45" t="s">
        <v>2409</v>
      </c>
      <c r="F657" s="46" t="s">
        <v>371</v>
      </c>
      <c r="G657" s="46" t="s">
        <v>1038</v>
      </c>
      <c r="H657" s="46" t="s">
        <v>1005</v>
      </c>
      <c r="I657" s="46" t="s">
        <v>512</v>
      </c>
      <c r="J657" s="46" t="s">
        <v>968</v>
      </c>
      <c r="K657" s="43">
        <v>12</v>
      </c>
      <c r="L657" s="43">
        <v>441</v>
      </c>
      <c r="M657" s="47">
        <v>2.7149321266968326E-2</v>
      </c>
      <c r="N657" s="47">
        <v>39.6</v>
      </c>
      <c r="O657" s="46" t="s">
        <v>910</v>
      </c>
      <c r="P657" s="43">
        <v>1793</v>
      </c>
      <c r="Q657" s="43">
        <v>20</v>
      </c>
      <c r="R657" s="45" t="s">
        <v>4278</v>
      </c>
      <c r="S657" s="46" t="s">
        <v>2410</v>
      </c>
    </row>
    <row r="658" spans="1:19" ht="42">
      <c r="A658" s="43">
        <v>654</v>
      </c>
      <c r="B658" s="43">
        <v>552</v>
      </c>
      <c r="C658" s="43">
        <v>106</v>
      </c>
      <c r="D658" s="44">
        <v>44936</v>
      </c>
      <c r="E658" s="45" t="s">
        <v>3889</v>
      </c>
      <c r="F658" s="46" t="s">
        <v>37</v>
      </c>
      <c r="G658" s="46" t="s">
        <v>1038</v>
      </c>
      <c r="H658" s="46" t="s">
        <v>1038</v>
      </c>
      <c r="I658" s="46" t="s">
        <v>533</v>
      </c>
      <c r="J658" s="46" t="s">
        <v>968</v>
      </c>
      <c r="K658" s="43">
        <v>16</v>
      </c>
      <c r="L658" s="43">
        <v>1323</v>
      </c>
      <c r="M658" s="47">
        <v>1.2084592145015106E-2</v>
      </c>
      <c r="N658" s="47">
        <v>39.5</v>
      </c>
      <c r="O658" s="46" t="s">
        <v>910</v>
      </c>
      <c r="P658" s="43">
        <v>328</v>
      </c>
      <c r="Q658" s="43">
        <v>20</v>
      </c>
      <c r="R658" s="45" t="s">
        <v>4275</v>
      </c>
      <c r="S658" s="46" t="s">
        <v>3890</v>
      </c>
    </row>
    <row r="659" spans="1:19" ht="42">
      <c r="A659" s="43">
        <v>655</v>
      </c>
      <c r="B659" s="43">
        <v>768</v>
      </c>
      <c r="C659" s="43">
        <v>1098</v>
      </c>
      <c r="D659" s="44">
        <v>46045</v>
      </c>
      <c r="E659" s="45" t="s">
        <v>1869</v>
      </c>
      <c r="F659" s="46" t="s">
        <v>382</v>
      </c>
      <c r="G659" s="46" t="s">
        <v>884</v>
      </c>
      <c r="H659" s="46" t="s">
        <v>965</v>
      </c>
      <c r="I659" s="46" t="s">
        <v>512</v>
      </c>
      <c r="J659" s="46" t="s">
        <v>977</v>
      </c>
      <c r="K659" s="43">
        <v>10</v>
      </c>
      <c r="L659" s="43">
        <v>214</v>
      </c>
      <c r="M659" s="47">
        <v>4.6511627906976744E-2</v>
      </c>
      <c r="N659" s="47">
        <v>39.299999999999997</v>
      </c>
      <c r="O659" s="46" t="s">
        <v>910</v>
      </c>
      <c r="P659" s="43">
        <v>217</v>
      </c>
      <c r="Q659" s="43">
        <v>10</v>
      </c>
      <c r="R659" s="45" t="s">
        <v>4281</v>
      </c>
      <c r="S659" s="46" t="s">
        <v>1870</v>
      </c>
    </row>
    <row r="660" spans="1:19" ht="31.5">
      <c r="A660" s="43">
        <v>656</v>
      </c>
      <c r="B660" s="43">
        <v>579</v>
      </c>
      <c r="C660" s="43">
        <v>308</v>
      </c>
      <c r="D660" s="44">
        <v>45187</v>
      </c>
      <c r="E660" s="45" t="s">
        <v>3581</v>
      </c>
      <c r="F660" s="46" t="s">
        <v>37</v>
      </c>
      <c r="G660" s="46" t="s">
        <v>1038</v>
      </c>
      <c r="H660" s="46" t="s">
        <v>1005</v>
      </c>
      <c r="I660" s="46" t="s">
        <v>515</v>
      </c>
      <c r="J660" s="46" t="s">
        <v>968</v>
      </c>
      <c r="K660" s="43">
        <v>15</v>
      </c>
      <c r="L660" s="43">
        <v>1072</v>
      </c>
      <c r="M660" s="47">
        <v>1.3979496738117428E-2</v>
      </c>
      <c r="N660" s="47">
        <v>39.200000000000003</v>
      </c>
      <c r="O660" s="46" t="s">
        <v>910</v>
      </c>
      <c r="P660" s="43">
        <v>742</v>
      </c>
      <c r="Q660" s="43">
        <v>30</v>
      </c>
      <c r="R660" s="45" t="s">
        <v>4283</v>
      </c>
      <c r="S660" s="46" t="s">
        <v>3582</v>
      </c>
    </row>
    <row r="661" spans="1:19" ht="42">
      <c r="A661" s="43">
        <v>657</v>
      </c>
      <c r="B661" s="43">
        <v>645</v>
      </c>
      <c r="C661" s="43">
        <v>647</v>
      </c>
      <c r="D661" s="44">
        <v>45600</v>
      </c>
      <c r="E661" s="45" t="s">
        <v>2822</v>
      </c>
      <c r="F661" s="46" t="s">
        <v>37</v>
      </c>
      <c r="G661" s="46" t="s">
        <v>893</v>
      </c>
      <c r="H661" s="46" t="s">
        <v>1317</v>
      </c>
      <c r="I661" s="46" t="s">
        <v>515</v>
      </c>
      <c r="J661" s="46" t="s">
        <v>977</v>
      </c>
      <c r="K661" s="43">
        <v>13</v>
      </c>
      <c r="L661" s="43">
        <v>659</v>
      </c>
      <c r="M661" s="47">
        <v>1.9696969696969695E-2</v>
      </c>
      <c r="N661" s="47">
        <v>39</v>
      </c>
      <c r="O661" s="46" t="s">
        <v>910</v>
      </c>
      <c r="P661" s="43">
        <v>7</v>
      </c>
      <c r="Q661" s="43">
        <v>20</v>
      </c>
      <c r="R661" s="45" t="s">
        <v>4275</v>
      </c>
      <c r="S661" s="46" t="s">
        <v>2823</v>
      </c>
    </row>
    <row r="662" spans="1:19" ht="42">
      <c r="A662" s="43">
        <v>658</v>
      </c>
      <c r="B662" s="43">
        <v>646</v>
      </c>
      <c r="C662" s="43">
        <v>638</v>
      </c>
      <c r="D662" s="44">
        <v>45590</v>
      </c>
      <c r="E662" s="45" t="s">
        <v>2847</v>
      </c>
      <c r="F662" s="46" t="s">
        <v>37</v>
      </c>
      <c r="G662" s="46" t="s">
        <v>882</v>
      </c>
      <c r="H662" s="46" t="s">
        <v>965</v>
      </c>
      <c r="I662" s="46" t="s">
        <v>515</v>
      </c>
      <c r="J662" s="46" t="s">
        <v>977</v>
      </c>
      <c r="K662" s="43">
        <v>13</v>
      </c>
      <c r="L662" s="43">
        <v>669</v>
      </c>
      <c r="M662" s="47">
        <v>1.9402985074626865E-2</v>
      </c>
      <c r="N662" s="47">
        <v>38.799999999999997</v>
      </c>
      <c r="O662" s="46" t="s">
        <v>910</v>
      </c>
      <c r="P662" s="43">
        <v>268</v>
      </c>
      <c r="Q662" s="43">
        <v>20</v>
      </c>
      <c r="R662" s="45" t="s">
        <v>4275</v>
      </c>
      <c r="S662" s="46" t="s">
        <v>2848</v>
      </c>
    </row>
    <row r="663" spans="1:19" ht="42">
      <c r="A663" s="43">
        <v>659</v>
      </c>
      <c r="B663" s="43">
        <v>603</v>
      </c>
      <c r="C663" s="43">
        <v>511</v>
      </c>
      <c r="D663" s="44">
        <v>45371</v>
      </c>
      <c r="E663" s="45" t="s">
        <v>3275</v>
      </c>
      <c r="F663" s="46" t="s">
        <v>37</v>
      </c>
      <c r="G663" s="46" t="s">
        <v>1038</v>
      </c>
      <c r="H663" s="46" t="s">
        <v>1038</v>
      </c>
      <c r="I663" s="46" t="s">
        <v>512</v>
      </c>
      <c r="J663" s="46" t="s">
        <v>968</v>
      </c>
      <c r="K663" s="43">
        <v>14</v>
      </c>
      <c r="L663" s="43">
        <v>888</v>
      </c>
      <c r="M663" s="47">
        <v>1.5748031496062992E-2</v>
      </c>
      <c r="N663" s="47">
        <v>38.5</v>
      </c>
      <c r="O663" s="46" t="s">
        <v>910</v>
      </c>
      <c r="P663" s="43">
        <v>142</v>
      </c>
      <c r="Q663" s="43">
        <v>10</v>
      </c>
      <c r="R663" s="45" t="s">
        <v>4281</v>
      </c>
      <c r="S663" s="46" t="s">
        <v>3276</v>
      </c>
    </row>
    <row r="664" spans="1:19" ht="42">
      <c r="A664" s="43">
        <v>660</v>
      </c>
      <c r="B664" s="43">
        <v>680</v>
      </c>
      <c r="C664" s="43">
        <v>742</v>
      </c>
      <c r="D664" s="44">
        <v>45766</v>
      </c>
      <c r="E664" s="45" t="s">
        <v>2473</v>
      </c>
      <c r="F664" s="46" t="s">
        <v>37</v>
      </c>
      <c r="G664" s="46" t="s">
        <v>882</v>
      </c>
      <c r="H664" s="46" t="s">
        <v>965</v>
      </c>
      <c r="I664" s="46" t="s">
        <v>526</v>
      </c>
      <c r="J664" s="46" t="s">
        <v>968</v>
      </c>
      <c r="K664" s="43">
        <v>12</v>
      </c>
      <c r="L664" s="43">
        <v>493</v>
      </c>
      <c r="M664" s="47">
        <v>2.4291497975708502E-2</v>
      </c>
      <c r="N664" s="47">
        <v>38.5</v>
      </c>
      <c r="O664" s="46" t="s">
        <v>910</v>
      </c>
      <c r="P664" s="43">
        <v>665</v>
      </c>
      <c r="Q664" s="43">
        <v>20</v>
      </c>
      <c r="R664" s="45" t="s">
        <v>4278</v>
      </c>
      <c r="S664" s="46" t="s">
        <v>2474</v>
      </c>
    </row>
    <row r="665" spans="1:19" ht="42">
      <c r="A665" s="43">
        <v>661</v>
      </c>
      <c r="B665" s="43">
        <v>553</v>
      </c>
      <c r="C665" s="43">
        <v>140</v>
      </c>
      <c r="D665" s="44">
        <v>44717</v>
      </c>
      <c r="E665" s="45" t="s">
        <v>3991</v>
      </c>
      <c r="F665" s="46" t="s">
        <v>37</v>
      </c>
      <c r="G665" s="46" t="s">
        <v>905</v>
      </c>
      <c r="H665" s="46" t="s">
        <v>1317</v>
      </c>
      <c r="I665" s="46" t="s">
        <v>533</v>
      </c>
      <c r="J665" s="46" t="s">
        <v>977</v>
      </c>
      <c r="K665" s="43">
        <v>16</v>
      </c>
      <c r="L665" s="43">
        <v>1542</v>
      </c>
      <c r="M665" s="47">
        <v>1.0369410239792612E-2</v>
      </c>
      <c r="N665" s="47">
        <v>38.4</v>
      </c>
      <c r="O665" s="46" t="s">
        <v>910</v>
      </c>
      <c r="P665" s="43">
        <v>3224</v>
      </c>
      <c r="Q665" s="43">
        <v>20</v>
      </c>
      <c r="R665" s="45" t="s">
        <v>4278</v>
      </c>
      <c r="S665" s="46" t="s">
        <v>3992</v>
      </c>
    </row>
    <row r="666" spans="1:19" ht="42">
      <c r="A666" s="43">
        <v>662</v>
      </c>
      <c r="B666" s="43">
        <v>580</v>
      </c>
      <c r="C666" s="43">
        <v>215</v>
      </c>
      <c r="D666" s="44">
        <v>45103</v>
      </c>
      <c r="E666" s="45" t="s">
        <v>3732</v>
      </c>
      <c r="F666" s="46" t="s">
        <v>37</v>
      </c>
      <c r="G666" s="46" t="s">
        <v>884</v>
      </c>
      <c r="H666" s="46" t="s">
        <v>965</v>
      </c>
      <c r="I666" s="46" t="s">
        <v>526</v>
      </c>
      <c r="J666" s="46" t="s">
        <v>977</v>
      </c>
      <c r="K666" s="43">
        <v>15</v>
      </c>
      <c r="L666" s="43">
        <v>1156</v>
      </c>
      <c r="M666" s="47">
        <v>1.2964563526361279E-2</v>
      </c>
      <c r="N666" s="47">
        <v>38.299999999999997</v>
      </c>
      <c r="O666" s="46" t="s">
        <v>910</v>
      </c>
      <c r="P666" s="43">
        <v>630</v>
      </c>
      <c r="Q666" s="43">
        <v>20</v>
      </c>
      <c r="R666" s="45" t="s">
        <v>4278</v>
      </c>
      <c r="S666" s="46" t="s">
        <v>3733</v>
      </c>
    </row>
    <row r="667" spans="1:19" ht="42">
      <c r="A667" s="43">
        <v>663</v>
      </c>
      <c r="B667" s="43">
        <v>647</v>
      </c>
      <c r="C667" s="43">
        <v>618</v>
      </c>
      <c r="D667" s="44">
        <v>45563</v>
      </c>
      <c r="E667" s="45" t="s">
        <v>2910</v>
      </c>
      <c r="F667" s="46" t="s">
        <v>37</v>
      </c>
      <c r="G667" s="46" t="s">
        <v>882</v>
      </c>
      <c r="H667" s="46" t="s">
        <v>965</v>
      </c>
      <c r="I667" s="46" t="s">
        <v>512</v>
      </c>
      <c r="J667" s="46" t="s">
        <v>977</v>
      </c>
      <c r="K667" s="43">
        <v>13</v>
      </c>
      <c r="L667" s="43">
        <v>696</v>
      </c>
      <c r="M667" s="47">
        <v>1.8651362984218076E-2</v>
      </c>
      <c r="N667" s="47">
        <v>38.299999999999997</v>
      </c>
      <c r="O667" s="46" t="s">
        <v>910</v>
      </c>
      <c r="P667" s="43">
        <v>88</v>
      </c>
      <c r="Q667" s="43">
        <v>20</v>
      </c>
      <c r="R667" s="45" t="s">
        <v>4275</v>
      </c>
      <c r="S667" s="46" t="s">
        <v>2911</v>
      </c>
    </row>
    <row r="668" spans="1:19" ht="42">
      <c r="A668" s="43">
        <v>664</v>
      </c>
      <c r="B668" s="43">
        <v>581</v>
      </c>
      <c r="C668" s="43">
        <v>189</v>
      </c>
      <c r="D668" s="44">
        <v>45083</v>
      </c>
      <c r="E668" s="45" t="s">
        <v>3786</v>
      </c>
      <c r="F668" s="46" t="s">
        <v>37</v>
      </c>
      <c r="G668" s="46" t="s">
        <v>893</v>
      </c>
      <c r="H668" s="46" t="s">
        <v>965</v>
      </c>
      <c r="I668" s="46" t="s">
        <v>526</v>
      </c>
      <c r="J668" s="46" t="s">
        <v>977</v>
      </c>
      <c r="K668" s="43">
        <v>15</v>
      </c>
      <c r="L668" s="43">
        <v>1176</v>
      </c>
      <c r="M668" s="47">
        <v>1.2744265080713678E-2</v>
      </c>
      <c r="N668" s="47">
        <v>38.200000000000003</v>
      </c>
      <c r="O668" s="46" t="s">
        <v>910</v>
      </c>
      <c r="P668" s="43">
        <v>237</v>
      </c>
      <c r="Q668" s="43">
        <v>10</v>
      </c>
      <c r="R668" s="45" t="s">
        <v>4281</v>
      </c>
      <c r="S668" s="46" t="s">
        <v>3787</v>
      </c>
    </row>
    <row r="669" spans="1:19" ht="42">
      <c r="A669" s="43">
        <v>665</v>
      </c>
      <c r="B669" s="43">
        <v>604</v>
      </c>
      <c r="C669" s="43">
        <v>453</v>
      </c>
      <c r="D669" s="44">
        <v>45354</v>
      </c>
      <c r="E669" s="45" t="s">
        <v>3299</v>
      </c>
      <c r="F669" s="46" t="s">
        <v>37</v>
      </c>
      <c r="G669" s="46" t="s">
        <v>1038</v>
      </c>
      <c r="H669" s="46" t="s">
        <v>1038</v>
      </c>
      <c r="I669" s="46" t="s">
        <v>530</v>
      </c>
      <c r="J669" s="46" t="s">
        <v>968</v>
      </c>
      <c r="K669" s="43">
        <v>14</v>
      </c>
      <c r="L669" s="43">
        <v>905</v>
      </c>
      <c r="M669" s="47">
        <v>1.5452538631346579E-2</v>
      </c>
      <c r="N669" s="47">
        <v>38.200000000000003</v>
      </c>
      <c r="O669" s="46" t="s">
        <v>910</v>
      </c>
      <c r="P669" s="43">
        <v>526</v>
      </c>
      <c r="Q669" s="43">
        <v>20</v>
      </c>
      <c r="R669" s="45" t="s">
        <v>4278</v>
      </c>
      <c r="S669" s="46" t="s">
        <v>3300</v>
      </c>
    </row>
    <row r="670" spans="1:19" ht="31.5">
      <c r="A670" s="43">
        <v>666</v>
      </c>
      <c r="B670" s="43">
        <v>582</v>
      </c>
      <c r="C670" s="43">
        <v>156</v>
      </c>
      <c r="D670" s="44">
        <v>45070</v>
      </c>
      <c r="E670" s="45" t="s">
        <v>3831</v>
      </c>
      <c r="F670" s="46" t="s">
        <v>37</v>
      </c>
      <c r="G670" s="46" t="s">
        <v>1038</v>
      </c>
      <c r="H670" s="46" t="s">
        <v>1038</v>
      </c>
      <c r="I670" s="46" t="s">
        <v>536</v>
      </c>
      <c r="J670" s="46" t="s">
        <v>977</v>
      </c>
      <c r="K670" s="43">
        <v>15</v>
      </c>
      <c r="L670" s="43">
        <v>1189</v>
      </c>
      <c r="M670" s="47">
        <v>1.2605042016806723E-2</v>
      </c>
      <c r="N670" s="47">
        <v>38.1</v>
      </c>
      <c r="O670" s="46" t="s">
        <v>910</v>
      </c>
      <c r="P670" s="43">
        <v>601</v>
      </c>
      <c r="Q670" s="43">
        <v>30</v>
      </c>
      <c r="R670" s="45" t="s">
        <v>4283</v>
      </c>
      <c r="S670" s="46" t="s">
        <v>3832</v>
      </c>
    </row>
    <row r="671" spans="1:19" ht="42">
      <c r="A671" s="43">
        <v>667</v>
      </c>
      <c r="B671" s="43">
        <v>605</v>
      </c>
      <c r="C671" s="43">
        <v>446</v>
      </c>
      <c r="D671" s="44">
        <v>45344</v>
      </c>
      <c r="E671" s="45" t="s">
        <v>3315</v>
      </c>
      <c r="F671" s="46" t="s">
        <v>37</v>
      </c>
      <c r="G671" s="46" t="s">
        <v>878</v>
      </c>
      <c r="H671" s="46" t="s">
        <v>1317</v>
      </c>
      <c r="I671" s="46" t="s">
        <v>530</v>
      </c>
      <c r="J671" s="46" t="s">
        <v>977</v>
      </c>
      <c r="K671" s="43">
        <v>14</v>
      </c>
      <c r="L671" s="43">
        <v>915</v>
      </c>
      <c r="M671" s="47">
        <v>1.5283842794759825E-2</v>
      </c>
      <c r="N671" s="47">
        <v>38.1</v>
      </c>
      <c r="O671" s="46" t="s">
        <v>910</v>
      </c>
      <c r="P671" s="43">
        <v>447</v>
      </c>
      <c r="Q671" s="43">
        <v>20</v>
      </c>
      <c r="R671" s="45" t="s">
        <v>4275</v>
      </c>
      <c r="S671" s="46" t="s">
        <v>3316</v>
      </c>
    </row>
    <row r="672" spans="1:19" ht="42">
      <c r="A672" s="43">
        <v>668</v>
      </c>
      <c r="B672" s="43">
        <v>606</v>
      </c>
      <c r="C672" s="43">
        <v>436</v>
      </c>
      <c r="D672" s="44">
        <v>45339</v>
      </c>
      <c r="E672" s="45" t="s">
        <v>3333</v>
      </c>
      <c r="F672" s="46" t="s">
        <v>37</v>
      </c>
      <c r="G672" s="46" t="s">
        <v>909</v>
      </c>
      <c r="H672" s="46" t="s">
        <v>965</v>
      </c>
      <c r="I672" s="46" t="s">
        <v>530</v>
      </c>
      <c r="J672" s="46" t="s">
        <v>977</v>
      </c>
      <c r="K672" s="43">
        <v>14</v>
      </c>
      <c r="L672" s="43">
        <v>920</v>
      </c>
      <c r="M672" s="47">
        <v>1.5200868621064061E-2</v>
      </c>
      <c r="N672" s="47">
        <v>38</v>
      </c>
      <c r="O672" s="46" t="s">
        <v>910</v>
      </c>
      <c r="P672" s="43">
        <v>631</v>
      </c>
      <c r="Q672" s="43">
        <v>20</v>
      </c>
      <c r="R672" s="45" t="s">
        <v>4278</v>
      </c>
      <c r="S672" s="46" t="s">
        <v>3334</v>
      </c>
    </row>
    <row r="673" spans="1:19" ht="42">
      <c r="A673" s="43">
        <v>669</v>
      </c>
      <c r="B673" s="43">
        <v>607</v>
      </c>
      <c r="C673" s="43">
        <v>428</v>
      </c>
      <c r="D673" s="44">
        <v>45332</v>
      </c>
      <c r="E673" s="45" t="s">
        <v>3342</v>
      </c>
      <c r="F673" s="46" t="s">
        <v>37</v>
      </c>
      <c r="G673" s="46" t="s">
        <v>1038</v>
      </c>
      <c r="H673" s="46" t="s">
        <v>1005</v>
      </c>
      <c r="I673" s="46" t="s">
        <v>530</v>
      </c>
      <c r="J673" s="46" t="s">
        <v>968</v>
      </c>
      <c r="K673" s="43">
        <v>14</v>
      </c>
      <c r="L673" s="43">
        <v>927</v>
      </c>
      <c r="M673" s="47">
        <v>1.5086206896551725E-2</v>
      </c>
      <c r="N673" s="47">
        <v>37.9</v>
      </c>
      <c r="O673" s="46" t="s">
        <v>910</v>
      </c>
      <c r="P673" s="43">
        <v>234</v>
      </c>
      <c r="Q673" s="43">
        <v>10</v>
      </c>
      <c r="R673" s="45" t="s">
        <v>4281</v>
      </c>
      <c r="S673" s="46" t="s">
        <v>3343</v>
      </c>
    </row>
    <row r="674" spans="1:19" ht="42">
      <c r="A674" s="43">
        <v>670</v>
      </c>
      <c r="B674" s="43">
        <v>840</v>
      </c>
      <c r="C674" s="43">
        <v>1248</v>
      </c>
      <c r="D674" s="44">
        <v>46147</v>
      </c>
      <c r="E674" s="45" t="s">
        <v>1665</v>
      </c>
      <c r="F674" s="46" t="s">
        <v>37</v>
      </c>
      <c r="G674" s="46" t="s">
        <v>878</v>
      </c>
      <c r="H674" s="46" t="s">
        <v>965</v>
      </c>
      <c r="I674" s="46" t="s">
        <v>519</v>
      </c>
      <c r="J674" s="46" t="s">
        <v>968</v>
      </c>
      <c r="K674" s="43">
        <v>8</v>
      </c>
      <c r="L674" s="43">
        <v>112</v>
      </c>
      <c r="M674" s="47">
        <v>7.0796460176991149E-2</v>
      </c>
      <c r="N674" s="47">
        <v>37.9</v>
      </c>
      <c r="O674" s="46" t="s">
        <v>910</v>
      </c>
      <c r="P674" s="43">
        <v>308</v>
      </c>
      <c r="Q674" s="43">
        <v>20</v>
      </c>
      <c r="R674" s="45" t="s">
        <v>4272</v>
      </c>
      <c r="S674" s="46" t="s">
        <v>1666</v>
      </c>
    </row>
    <row r="675" spans="1:19" ht="42">
      <c r="A675" s="43">
        <v>671</v>
      </c>
      <c r="B675" s="43">
        <v>554</v>
      </c>
      <c r="C675" s="43">
        <v>131</v>
      </c>
      <c r="D675" s="44">
        <v>44577</v>
      </c>
      <c r="E675" s="45" t="s">
        <v>4108</v>
      </c>
      <c r="F675" s="46" t="s">
        <v>37</v>
      </c>
      <c r="G675" s="46" t="s">
        <v>896</v>
      </c>
      <c r="H675" s="46" t="s">
        <v>965</v>
      </c>
      <c r="I675" s="46" t="s">
        <v>515</v>
      </c>
      <c r="J675" s="46" t="s">
        <v>977</v>
      </c>
      <c r="K675" s="43">
        <v>16</v>
      </c>
      <c r="L675" s="43">
        <v>1682</v>
      </c>
      <c r="M675" s="47">
        <v>9.5068330362448016E-3</v>
      </c>
      <c r="N675" s="47">
        <v>37.700000000000003</v>
      </c>
      <c r="O675" s="46" t="s">
        <v>910</v>
      </c>
      <c r="P675" s="43">
        <v>337</v>
      </c>
      <c r="Q675" s="43">
        <v>10</v>
      </c>
      <c r="R675" s="45" t="s">
        <v>4281</v>
      </c>
      <c r="S675" s="46" t="s">
        <v>4109</v>
      </c>
    </row>
    <row r="676" spans="1:19" ht="42">
      <c r="A676" s="43">
        <v>672</v>
      </c>
      <c r="B676" s="43">
        <v>608</v>
      </c>
      <c r="C676" s="43">
        <v>391</v>
      </c>
      <c r="D676" s="44">
        <v>45308</v>
      </c>
      <c r="E676" s="45" t="s">
        <v>3403</v>
      </c>
      <c r="F676" s="46" t="s">
        <v>37</v>
      </c>
      <c r="G676" s="46" t="s">
        <v>884</v>
      </c>
      <c r="H676" s="46" t="s">
        <v>965</v>
      </c>
      <c r="I676" s="46" t="s">
        <v>512</v>
      </c>
      <c r="J676" s="46" t="s">
        <v>977</v>
      </c>
      <c r="K676" s="43">
        <v>14</v>
      </c>
      <c r="L676" s="43">
        <v>951</v>
      </c>
      <c r="M676" s="47">
        <v>1.4705882352941176E-2</v>
      </c>
      <c r="N676" s="47">
        <v>37.700000000000003</v>
      </c>
      <c r="O676" s="46" t="s">
        <v>910</v>
      </c>
      <c r="P676" s="43">
        <v>576</v>
      </c>
      <c r="Q676" s="43">
        <v>20</v>
      </c>
      <c r="R676" s="45" t="s">
        <v>4278</v>
      </c>
      <c r="S676" s="46" t="s">
        <v>3404</v>
      </c>
    </row>
    <row r="677" spans="1:19" ht="42">
      <c r="A677" s="43">
        <v>673</v>
      </c>
      <c r="B677" s="43">
        <v>609</v>
      </c>
      <c r="C677" s="43">
        <v>379</v>
      </c>
      <c r="D677" s="44">
        <v>45303</v>
      </c>
      <c r="E677" s="45" t="s">
        <v>3429</v>
      </c>
      <c r="F677" s="46" t="s">
        <v>37</v>
      </c>
      <c r="G677" s="46" t="s">
        <v>900</v>
      </c>
      <c r="H677" s="46" t="s">
        <v>965</v>
      </c>
      <c r="I677" s="46" t="s">
        <v>533</v>
      </c>
      <c r="J677" s="46" t="s">
        <v>977</v>
      </c>
      <c r="K677" s="43">
        <v>14</v>
      </c>
      <c r="L677" s="43">
        <v>956</v>
      </c>
      <c r="M677" s="47">
        <v>1.4629049111807733E-2</v>
      </c>
      <c r="N677" s="47">
        <v>37.6</v>
      </c>
      <c r="O677" s="46" t="s">
        <v>910</v>
      </c>
      <c r="P677" s="43">
        <v>821</v>
      </c>
      <c r="Q677" s="43">
        <v>20</v>
      </c>
      <c r="R677" s="45" t="s">
        <v>4278</v>
      </c>
      <c r="S677" s="46" t="s">
        <v>3430</v>
      </c>
    </row>
    <row r="678" spans="1:19" ht="42">
      <c r="A678" s="43">
        <v>674</v>
      </c>
      <c r="B678" s="43">
        <v>769</v>
      </c>
      <c r="C678" s="43">
        <v>988</v>
      </c>
      <c r="D678" s="44">
        <v>46011</v>
      </c>
      <c r="E678" s="45" t="s">
        <v>2001</v>
      </c>
      <c r="F678" s="46" t="s">
        <v>371</v>
      </c>
      <c r="G678" s="46" t="s">
        <v>1038</v>
      </c>
      <c r="H678" s="46" t="s">
        <v>1134</v>
      </c>
      <c r="I678" s="46" t="s">
        <v>512</v>
      </c>
      <c r="J678" s="46" t="s">
        <v>977</v>
      </c>
      <c r="K678" s="43">
        <v>10</v>
      </c>
      <c r="L678" s="43">
        <v>248</v>
      </c>
      <c r="M678" s="47">
        <v>4.0160642570281124E-2</v>
      </c>
      <c r="N678" s="47">
        <v>37.6</v>
      </c>
      <c r="O678" s="46" t="s">
        <v>910</v>
      </c>
      <c r="P678" s="43">
        <v>733</v>
      </c>
      <c r="Q678" s="43">
        <v>20</v>
      </c>
      <c r="R678" s="45" t="s">
        <v>4278</v>
      </c>
      <c r="S678" s="46" t="s">
        <v>2002</v>
      </c>
    </row>
    <row r="679" spans="1:19" ht="42">
      <c r="A679" s="43">
        <v>675</v>
      </c>
      <c r="B679" s="43">
        <v>718</v>
      </c>
      <c r="C679" s="43">
        <v>777</v>
      </c>
      <c r="D679" s="44">
        <v>45872</v>
      </c>
      <c r="E679" s="45" t="s">
        <v>2231</v>
      </c>
      <c r="F679" s="46" t="s">
        <v>37</v>
      </c>
      <c r="G679" s="46" t="s">
        <v>884</v>
      </c>
      <c r="H679" s="46" t="s">
        <v>965</v>
      </c>
      <c r="I679" s="46" t="s">
        <v>519</v>
      </c>
      <c r="J679" s="46" t="s">
        <v>977</v>
      </c>
      <c r="K679" s="43">
        <v>11</v>
      </c>
      <c r="L679" s="43">
        <v>387</v>
      </c>
      <c r="M679" s="47">
        <v>2.8350515463917526E-2</v>
      </c>
      <c r="N679" s="47">
        <v>37.1</v>
      </c>
      <c r="O679" s="46" t="s">
        <v>910</v>
      </c>
      <c r="P679" s="43">
        <v>278</v>
      </c>
      <c r="Q679" s="43">
        <v>10</v>
      </c>
      <c r="R679" s="45" t="s">
        <v>4281</v>
      </c>
      <c r="S679" s="46" t="s">
        <v>2232</v>
      </c>
    </row>
    <row r="680" spans="1:19" ht="42">
      <c r="A680" s="43">
        <v>676</v>
      </c>
      <c r="B680" s="43">
        <v>648</v>
      </c>
      <c r="C680" s="43">
        <v>548</v>
      </c>
      <c r="D680" s="44">
        <v>45465</v>
      </c>
      <c r="E680" s="45" t="s">
        <v>3099</v>
      </c>
      <c r="F680" s="46" t="s">
        <v>37</v>
      </c>
      <c r="G680" s="46" t="s">
        <v>1038</v>
      </c>
      <c r="H680" s="46" t="s">
        <v>1134</v>
      </c>
      <c r="I680" s="46" t="s">
        <v>526</v>
      </c>
      <c r="J680" s="46" t="s">
        <v>968</v>
      </c>
      <c r="K680" s="43">
        <v>13</v>
      </c>
      <c r="L680" s="43">
        <v>794</v>
      </c>
      <c r="M680" s="47">
        <v>1.6352201257861635E-2</v>
      </c>
      <c r="N680" s="47">
        <v>36.799999999999997</v>
      </c>
      <c r="O680" s="46" t="s">
        <v>910</v>
      </c>
      <c r="P680" s="43">
        <v>649</v>
      </c>
      <c r="Q680" s="43">
        <v>20</v>
      </c>
      <c r="R680" s="45" t="s">
        <v>4278</v>
      </c>
      <c r="S680" s="46" t="s">
        <v>3100</v>
      </c>
    </row>
    <row r="681" spans="1:19" ht="42">
      <c r="A681" s="43">
        <v>677</v>
      </c>
      <c r="B681" s="43">
        <v>649</v>
      </c>
      <c r="C681" s="43">
        <v>534</v>
      </c>
      <c r="D681" s="44">
        <v>45458</v>
      </c>
      <c r="E681" s="45" t="s">
        <v>3117</v>
      </c>
      <c r="F681" s="46" t="s">
        <v>37</v>
      </c>
      <c r="G681" s="46" t="s">
        <v>889</v>
      </c>
      <c r="H681" s="46" t="s">
        <v>965</v>
      </c>
      <c r="I681" s="46" t="s">
        <v>515</v>
      </c>
      <c r="J681" s="46" t="s">
        <v>968</v>
      </c>
      <c r="K681" s="43">
        <v>13</v>
      </c>
      <c r="L681" s="43">
        <v>801</v>
      </c>
      <c r="M681" s="47">
        <v>1.6209476309226933E-2</v>
      </c>
      <c r="N681" s="47">
        <v>36.700000000000003</v>
      </c>
      <c r="O681" s="46" t="s">
        <v>910</v>
      </c>
      <c r="P681" s="43">
        <v>630</v>
      </c>
      <c r="Q681" s="43">
        <v>20</v>
      </c>
      <c r="R681" s="45" t="s">
        <v>4278</v>
      </c>
      <c r="S681" s="46" t="s">
        <v>3118</v>
      </c>
    </row>
    <row r="682" spans="1:19" ht="31.5">
      <c r="A682" s="43">
        <v>678</v>
      </c>
      <c r="B682" s="43">
        <v>681</v>
      </c>
      <c r="C682" s="43">
        <v>727</v>
      </c>
      <c r="D682" s="44">
        <v>45676</v>
      </c>
      <c r="E682" s="45" t="s">
        <v>2579</v>
      </c>
      <c r="F682" s="46" t="s">
        <v>37</v>
      </c>
      <c r="G682" s="46" t="s">
        <v>913</v>
      </c>
      <c r="H682" s="46" t="s">
        <v>1317</v>
      </c>
      <c r="I682" s="46" t="s">
        <v>526</v>
      </c>
      <c r="J682" s="46" t="s">
        <v>977</v>
      </c>
      <c r="K682" s="43">
        <v>12</v>
      </c>
      <c r="L682" s="43">
        <v>583</v>
      </c>
      <c r="M682" s="47">
        <v>2.0547945205479451E-2</v>
      </c>
      <c r="N682" s="47">
        <v>36.700000000000003</v>
      </c>
      <c r="O682" s="46" t="s">
        <v>910</v>
      </c>
      <c r="P682" s="43">
        <v>583</v>
      </c>
      <c r="Q682" s="43">
        <v>30</v>
      </c>
      <c r="R682" s="45" t="s">
        <v>4283</v>
      </c>
      <c r="S682" s="46" t="s">
        <v>2580</v>
      </c>
    </row>
    <row r="683" spans="1:19" ht="42">
      <c r="A683" s="43">
        <v>679</v>
      </c>
      <c r="B683" s="43">
        <v>719</v>
      </c>
      <c r="C683" s="43">
        <v>936</v>
      </c>
      <c r="D683" s="44">
        <v>45849</v>
      </c>
      <c r="E683" s="45" t="s">
        <v>2309</v>
      </c>
      <c r="F683" s="46" t="s">
        <v>371</v>
      </c>
      <c r="G683" s="46" t="s">
        <v>1038</v>
      </c>
      <c r="H683" s="46" t="s">
        <v>1134</v>
      </c>
      <c r="I683" s="46" t="s">
        <v>522</v>
      </c>
      <c r="J683" s="46" t="s">
        <v>977</v>
      </c>
      <c r="K683" s="43">
        <v>11</v>
      </c>
      <c r="L683" s="43">
        <v>410</v>
      </c>
      <c r="M683" s="47">
        <v>2.6763990267639901E-2</v>
      </c>
      <c r="N683" s="47">
        <v>36.6</v>
      </c>
      <c r="O683" s="46" t="s">
        <v>910</v>
      </c>
      <c r="P683" s="43">
        <v>541</v>
      </c>
      <c r="Q683" s="43">
        <v>20</v>
      </c>
      <c r="R683" s="45" t="s">
        <v>4278</v>
      </c>
      <c r="S683" s="46" t="s">
        <v>2310</v>
      </c>
    </row>
    <row r="684" spans="1:19" ht="31.5">
      <c r="A684" s="43">
        <v>680</v>
      </c>
      <c r="B684" s="43">
        <v>583</v>
      </c>
      <c r="C684" s="43">
        <v>70</v>
      </c>
      <c r="D684" s="44">
        <v>44760</v>
      </c>
      <c r="E684" s="45" t="s">
        <v>3937</v>
      </c>
      <c r="F684" s="46" t="s">
        <v>37</v>
      </c>
      <c r="G684" s="46" t="s">
        <v>918</v>
      </c>
      <c r="H684" s="46" t="s">
        <v>965</v>
      </c>
      <c r="I684" s="46" t="s">
        <v>515</v>
      </c>
      <c r="J684" s="46" t="s">
        <v>968</v>
      </c>
      <c r="K684" s="43">
        <v>15</v>
      </c>
      <c r="L684" s="43">
        <v>1499</v>
      </c>
      <c r="M684" s="47">
        <v>0.01</v>
      </c>
      <c r="N684" s="47">
        <v>36.4</v>
      </c>
      <c r="O684" s="46" t="s">
        <v>910</v>
      </c>
      <c r="P684" s="43">
        <v>516</v>
      </c>
      <c r="Q684" s="43">
        <v>40</v>
      </c>
      <c r="R684" s="45" t="s">
        <v>4273</v>
      </c>
      <c r="S684" s="46" t="s">
        <v>3938</v>
      </c>
    </row>
    <row r="685" spans="1:19" ht="42">
      <c r="A685" s="43">
        <v>681</v>
      </c>
      <c r="B685" s="43">
        <v>682</v>
      </c>
      <c r="C685" s="43">
        <v>694</v>
      </c>
      <c r="D685" s="44">
        <v>45655</v>
      </c>
      <c r="E685" s="45" t="s">
        <v>2691</v>
      </c>
      <c r="F685" s="46" t="s">
        <v>37</v>
      </c>
      <c r="G685" s="46" t="s">
        <v>884</v>
      </c>
      <c r="H685" s="46" t="s">
        <v>965</v>
      </c>
      <c r="I685" s="46" t="s">
        <v>519</v>
      </c>
      <c r="J685" s="46" t="s">
        <v>977</v>
      </c>
      <c r="K685" s="43">
        <v>12</v>
      </c>
      <c r="L685" s="43">
        <v>604</v>
      </c>
      <c r="M685" s="47">
        <v>1.9834710743801654E-2</v>
      </c>
      <c r="N685" s="47">
        <v>36.4</v>
      </c>
      <c r="O685" s="46" t="s">
        <v>910</v>
      </c>
      <c r="P685" s="43">
        <v>348</v>
      </c>
      <c r="Q685" s="43">
        <v>20</v>
      </c>
      <c r="R685" s="45" t="s">
        <v>4275</v>
      </c>
      <c r="S685" s="46" t="s">
        <v>2692</v>
      </c>
    </row>
    <row r="686" spans="1:19" ht="42">
      <c r="A686" s="43">
        <v>682</v>
      </c>
      <c r="B686" s="43">
        <v>610</v>
      </c>
      <c r="C686" s="43">
        <v>253</v>
      </c>
      <c r="D686" s="44">
        <v>45150</v>
      </c>
      <c r="E686" s="45" t="s">
        <v>3669</v>
      </c>
      <c r="F686" s="46" t="s">
        <v>37</v>
      </c>
      <c r="G686" s="46" t="s">
        <v>905</v>
      </c>
      <c r="H686" s="46" t="s">
        <v>1317</v>
      </c>
      <c r="I686" s="46" t="s">
        <v>526</v>
      </c>
      <c r="J686" s="46" t="s">
        <v>968</v>
      </c>
      <c r="K686" s="43">
        <v>14</v>
      </c>
      <c r="L686" s="43">
        <v>1109</v>
      </c>
      <c r="M686" s="47">
        <v>1.2612612612612612E-2</v>
      </c>
      <c r="N686" s="47">
        <v>36.299999999999997</v>
      </c>
      <c r="O686" s="46" t="s">
        <v>910</v>
      </c>
      <c r="P686" s="43">
        <v>960</v>
      </c>
      <c r="Q686" s="43">
        <v>20</v>
      </c>
      <c r="R686" s="45" t="s">
        <v>4278</v>
      </c>
      <c r="S686" s="46" t="s">
        <v>3670</v>
      </c>
    </row>
    <row r="687" spans="1:19" ht="42">
      <c r="A687" s="43">
        <v>683</v>
      </c>
      <c r="B687" s="43">
        <v>584</v>
      </c>
      <c r="C687" s="43">
        <v>197</v>
      </c>
      <c r="D687" s="44">
        <v>44724</v>
      </c>
      <c r="E687" s="45" t="s">
        <v>3982</v>
      </c>
      <c r="F687" s="46" t="s">
        <v>37</v>
      </c>
      <c r="G687" s="46" t="s">
        <v>1038</v>
      </c>
      <c r="H687" s="46" t="s">
        <v>1038</v>
      </c>
      <c r="I687" s="46" t="s">
        <v>533</v>
      </c>
      <c r="J687" s="46" t="s">
        <v>968</v>
      </c>
      <c r="K687" s="43">
        <v>15</v>
      </c>
      <c r="L687" s="43">
        <v>1535</v>
      </c>
      <c r="M687" s="47">
        <v>9.765625E-3</v>
      </c>
      <c r="N687" s="47">
        <v>36.1</v>
      </c>
      <c r="O687" s="46" t="s">
        <v>910</v>
      </c>
      <c r="P687" s="43">
        <v>246</v>
      </c>
      <c r="Q687" s="43">
        <v>10</v>
      </c>
      <c r="R687" s="45" t="s">
        <v>4281</v>
      </c>
      <c r="S687" s="46" t="s">
        <v>3983</v>
      </c>
    </row>
    <row r="688" spans="1:19" ht="31.5">
      <c r="A688" s="43">
        <v>684</v>
      </c>
      <c r="B688" s="43">
        <v>650</v>
      </c>
      <c r="C688" s="43">
        <v>658</v>
      </c>
      <c r="D688" s="44">
        <v>45431</v>
      </c>
      <c r="E688" s="45" t="s">
        <v>3159</v>
      </c>
      <c r="F688" s="46" t="s">
        <v>37</v>
      </c>
      <c r="G688" s="46" t="s">
        <v>1038</v>
      </c>
      <c r="H688" s="46" t="s">
        <v>1484</v>
      </c>
      <c r="I688" s="46" t="s">
        <v>512</v>
      </c>
      <c r="J688" s="46" t="s">
        <v>968</v>
      </c>
      <c r="K688" s="43">
        <v>13</v>
      </c>
      <c r="L688" s="43">
        <v>828</v>
      </c>
      <c r="M688" s="47">
        <v>1.5681544028950542E-2</v>
      </c>
      <c r="N688" s="47">
        <v>36.1</v>
      </c>
      <c r="O688" s="46" t="s">
        <v>910</v>
      </c>
      <c r="P688" s="43">
        <v>2917</v>
      </c>
      <c r="Q688" s="43">
        <v>30</v>
      </c>
      <c r="R688" s="45" t="s">
        <v>4283</v>
      </c>
      <c r="S688" s="46" t="s">
        <v>3160</v>
      </c>
    </row>
    <row r="689" spans="1:19" ht="42">
      <c r="A689" s="43">
        <v>685</v>
      </c>
      <c r="B689" s="43">
        <v>683</v>
      </c>
      <c r="C689" s="43">
        <v>676</v>
      </c>
      <c r="D689" s="44">
        <v>45641</v>
      </c>
      <c r="E689" s="45" t="s">
        <v>2746</v>
      </c>
      <c r="F689" s="46" t="s">
        <v>37</v>
      </c>
      <c r="G689" s="46" t="s">
        <v>1038</v>
      </c>
      <c r="H689" s="46" t="s">
        <v>1038</v>
      </c>
      <c r="I689" s="46" t="s">
        <v>515</v>
      </c>
      <c r="J689" s="46" t="s">
        <v>977</v>
      </c>
      <c r="K689" s="43">
        <v>12</v>
      </c>
      <c r="L689" s="43">
        <v>618</v>
      </c>
      <c r="M689" s="47">
        <v>1.9386106623586429E-2</v>
      </c>
      <c r="N689" s="47">
        <v>36.1</v>
      </c>
      <c r="O689" s="46" t="s">
        <v>910</v>
      </c>
      <c r="P689" s="43">
        <v>1070</v>
      </c>
      <c r="Q689" s="43">
        <v>20</v>
      </c>
      <c r="R689" s="45" t="s">
        <v>4278</v>
      </c>
      <c r="S689" s="46" t="s">
        <v>2747</v>
      </c>
    </row>
    <row r="690" spans="1:19" ht="42">
      <c r="A690" s="43">
        <v>686</v>
      </c>
      <c r="B690" s="43">
        <v>720</v>
      </c>
      <c r="C690" s="43">
        <v>1056</v>
      </c>
      <c r="D690" s="44">
        <v>45827</v>
      </c>
      <c r="E690" s="45" t="s">
        <v>2377</v>
      </c>
      <c r="F690" s="46" t="s">
        <v>382</v>
      </c>
      <c r="G690" s="46" t="s">
        <v>906</v>
      </c>
      <c r="H690" s="46" t="s">
        <v>965</v>
      </c>
      <c r="I690" s="46" t="s">
        <v>515</v>
      </c>
      <c r="J690" s="46" t="s">
        <v>977</v>
      </c>
      <c r="K690" s="43">
        <v>11</v>
      </c>
      <c r="L690" s="43">
        <v>432</v>
      </c>
      <c r="M690" s="47">
        <v>2.5404157043879907E-2</v>
      </c>
      <c r="N690" s="47">
        <v>36.1</v>
      </c>
      <c r="O690" s="46" t="s">
        <v>910</v>
      </c>
      <c r="P690" s="43">
        <v>364</v>
      </c>
      <c r="Q690" s="43">
        <v>20</v>
      </c>
      <c r="R690" s="45" t="s">
        <v>4275</v>
      </c>
      <c r="S690" s="46" t="s">
        <v>2378</v>
      </c>
    </row>
    <row r="691" spans="1:19" ht="42">
      <c r="A691" s="43">
        <v>687</v>
      </c>
      <c r="B691" s="43">
        <v>585</v>
      </c>
      <c r="C691" s="43">
        <v>72</v>
      </c>
      <c r="D691" s="44">
        <v>44723</v>
      </c>
      <c r="E691" s="45" t="s">
        <v>3985</v>
      </c>
      <c r="F691" s="46" t="s">
        <v>37</v>
      </c>
      <c r="G691" s="46" t="s">
        <v>878</v>
      </c>
      <c r="H691" s="46" t="s">
        <v>965</v>
      </c>
      <c r="I691" s="46" t="s">
        <v>512</v>
      </c>
      <c r="J691" s="46" t="s">
        <v>977</v>
      </c>
      <c r="K691" s="43">
        <v>15</v>
      </c>
      <c r="L691" s="43">
        <v>1536</v>
      </c>
      <c r="M691" s="47">
        <v>9.7592713077423558E-3</v>
      </c>
      <c r="N691" s="47">
        <v>36</v>
      </c>
      <c r="O691" s="46" t="s">
        <v>910</v>
      </c>
      <c r="P691" s="43">
        <v>436</v>
      </c>
      <c r="Q691" s="43">
        <v>20</v>
      </c>
      <c r="R691" s="45" t="s">
        <v>4272</v>
      </c>
      <c r="S691" s="46" t="s">
        <v>3986</v>
      </c>
    </row>
    <row r="692" spans="1:19" ht="42">
      <c r="A692" s="43">
        <v>688</v>
      </c>
      <c r="B692" s="43">
        <v>611</v>
      </c>
      <c r="C692" s="43">
        <v>228</v>
      </c>
      <c r="D692" s="44">
        <v>45132</v>
      </c>
      <c r="E692" s="45" t="s">
        <v>3711</v>
      </c>
      <c r="F692" s="46" t="s">
        <v>37</v>
      </c>
      <c r="G692" s="46" t="s">
        <v>878</v>
      </c>
      <c r="H692" s="46" t="s">
        <v>965</v>
      </c>
      <c r="I692" s="46" t="s">
        <v>522</v>
      </c>
      <c r="J692" s="46" t="s">
        <v>977</v>
      </c>
      <c r="K692" s="43">
        <v>14</v>
      </c>
      <c r="L692" s="43">
        <v>1127</v>
      </c>
      <c r="M692" s="47">
        <v>1.2411347517730497E-2</v>
      </c>
      <c r="N692" s="47">
        <v>36</v>
      </c>
      <c r="O692" s="46" t="s">
        <v>910</v>
      </c>
      <c r="P692" s="43">
        <v>565</v>
      </c>
      <c r="Q692" s="43">
        <v>20</v>
      </c>
      <c r="R692" s="45" t="s">
        <v>4278</v>
      </c>
      <c r="S692" s="46" t="s">
        <v>3712</v>
      </c>
    </row>
    <row r="693" spans="1:19" ht="42">
      <c r="A693" s="43">
        <v>689</v>
      </c>
      <c r="B693" s="43">
        <v>612</v>
      </c>
      <c r="C693" s="43">
        <v>225</v>
      </c>
      <c r="D693" s="44">
        <v>45127</v>
      </c>
      <c r="E693" s="45" t="s">
        <v>3714</v>
      </c>
      <c r="F693" s="46" t="s">
        <v>37</v>
      </c>
      <c r="G693" s="46" t="s">
        <v>891</v>
      </c>
      <c r="H693" s="46" t="s">
        <v>965</v>
      </c>
      <c r="I693" s="46" t="s">
        <v>515</v>
      </c>
      <c r="J693" s="46" t="s">
        <v>968</v>
      </c>
      <c r="K693" s="43">
        <v>14</v>
      </c>
      <c r="L693" s="43">
        <v>1132</v>
      </c>
      <c r="M693" s="47">
        <v>1.2356575463371581E-2</v>
      </c>
      <c r="N693" s="47">
        <v>36</v>
      </c>
      <c r="O693" s="46" t="s">
        <v>910</v>
      </c>
      <c r="P693" s="43">
        <v>1538</v>
      </c>
      <c r="Q693" s="43">
        <v>20</v>
      </c>
      <c r="R693" s="45" t="s">
        <v>4278</v>
      </c>
      <c r="S693" s="46" t="s">
        <v>3715</v>
      </c>
    </row>
    <row r="694" spans="1:19" ht="42">
      <c r="A694" s="43">
        <v>690</v>
      </c>
      <c r="B694" s="43">
        <v>684</v>
      </c>
      <c r="C694" s="43">
        <v>665</v>
      </c>
      <c r="D694" s="44">
        <v>45622</v>
      </c>
      <c r="E694" s="45" t="s">
        <v>2773</v>
      </c>
      <c r="F694" s="46" t="s">
        <v>37</v>
      </c>
      <c r="G694" s="46" t="s">
        <v>924</v>
      </c>
      <c r="H694" s="46" t="s">
        <v>1317</v>
      </c>
      <c r="I694" s="46" t="s">
        <v>515</v>
      </c>
      <c r="J694" s="46" t="s">
        <v>968</v>
      </c>
      <c r="K694" s="43">
        <v>12</v>
      </c>
      <c r="L694" s="43">
        <v>637</v>
      </c>
      <c r="M694" s="47">
        <v>1.8808777429467086E-2</v>
      </c>
      <c r="N694" s="47">
        <v>35.799999999999997</v>
      </c>
      <c r="O694" s="46" t="s">
        <v>910</v>
      </c>
      <c r="P694" s="43">
        <v>714</v>
      </c>
      <c r="Q694" s="43">
        <v>20</v>
      </c>
      <c r="R694" s="45" t="s">
        <v>4278</v>
      </c>
      <c r="S694" s="46" t="s">
        <v>2774</v>
      </c>
    </row>
    <row r="695" spans="1:19" ht="42">
      <c r="A695" s="43">
        <v>691</v>
      </c>
      <c r="B695" s="43">
        <v>651</v>
      </c>
      <c r="C695" s="43">
        <v>476</v>
      </c>
      <c r="D695" s="44">
        <v>45374</v>
      </c>
      <c r="E695" s="45" t="s">
        <v>3263</v>
      </c>
      <c r="F695" s="46" t="s">
        <v>37</v>
      </c>
      <c r="G695" s="46" t="s">
        <v>1038</v>
      </c>
      <c r="H695" s="46" t="s">
        <v>1005</v>
      </c>
      <c r="I695" s="46" t="s">
        <v>526</v>
      </c>
      <c r="J695" s="46" t="s">
        <v>977</v>
      </c>
      <c r="K695" s="43">
        <v>13</v>
      </c>
      <c r="L695" s="43">
        <v>885</v>
      </c>
      <c r="M695" s="47">
        <v>1.4672686230248307E-2</v>
      </c>
      <c r="N695" s="47">
        <v>35.4</v>
      </c>
      <c r="O695" s="46" t="s">
        <v>910</v>
      </c>
      <c r="P695" s="43">
        <v>515</v>
      </c>
      <c r="Q695" s="43">
        <v>20</v>
      </c>
      <c r="R695" s="45" t="s">
        <v>4278</v>
      </c>
      <c r="S695" s="46" t="s">
        <v>3264</v>
      </c>
    </row>
    <row r="696" spans="1:19" ht="42">
      <c r="A696" s="43">
        <v>692</v>
      </c>
      <c r="B696" s="43">
        <v>721</v>
      </c>
      <c r="C696" s="43">
        <v>1054</v>
      </c>
      <c r="D696" s="44">
        <v>45782</v>
      </c>
      <c r="E696" s="45" t="s">
        <v>2452</v>
      </c>
      <c r="F696" s="46" t="s">
        <v>382</v>
      </c>
      <c r="G696" s="46" t="s">
        <v>878</v>
      </c>
      <c r="H696" s="46" t="s">
        <v>965</v>
      </c>
      <c r="I696" s="46" t="s">
        <v>515</v>
      </c>
      <c r="J696" s="46" t="s">
        <v>977</v>
      </c>
      <c r="K696" s="43">
        <v>11</v>
      </c>
      <c r="L696" s="43">
        <v>477</v>
      </c>
      <c r="M696" s="47">
        <v>2.3012552301255231E-2</v>
      </c>
      <c r="N696" s="47">
        <v>35.1</v>
      </c>
      <c r="O696" s="46" t="s">
        <v>910</v>
      </c>
      <c r="P696" s="43">
        <v>505</v>
      </c>
      <c r="Q696" s="43">
        <v>20</v>
      </c>
      <c r="R696" s="45" t="s">
        <v>4278</v>
      </c>
      <c r="S696" s="46" t="s">
        <v>2453</v>
      </c>
    </row>
    <row r="697" spans="1:19" ht="42">
      <c r="A697" s="43">
        <v>693</v>
      </c>
      <c r="B697" s="43">
        <v>685</v>
      </c>
      <c r="C697" s="43">
        <v>622</v>
      </c>
      <c r="D697" s="44">
        <v>45569</v>
      </c>
      <c r="E697" s="45" t="s">
        <v>2895</v>
      </c>
      <c r="F697" s="46" t="s">
        <v>37</v>
      </c>
      <c r="G697" s="46" t="s">
        <v>1038</v>
      </c>
      <c r="H697" s="46" t="s">
        <v>1038</v>
      </c>
      <c r="I697" s="46" t="s">
        <v>512</v>
      </c>
      <c r="J697" s="46" t="s">
        <v>968</v>
      </c>
      <c r="K697" s="43">
        <v>12</v>
      </c>
      <c r="L697" s="43">
        <v>690</v>
      </c>
      <c r="M697" s="47">
        <v>1.7366136034732273E-2</v>
      </c>
      <c r="N697" s="47">
        <v>34.9</v>
      </c>
      <c r="O697" s="46" t="s">
        <v>910</v>
      </c>
      <c r="P697" s="43">
        <v>157</v>
      </c>
      <c r="Q697" s="43">
        <v>10</v>
      </c>
      <c r="R697" s="45" t="s">
        <v>4281</v>
      </c>
      <c r="S697" s="46" t="s">
        <v>2896</v>
      </c>
    </row>
    <row r="698" spans="1:19" ht="42">
      <c r="A698" s="43">
        <v>694</v>
      </c>
      <c r="B698" s="43">
        <v>652</v>
      </c>
      <c r="C698" s="43">
        <v>390</v>
      </c>
      <c r="D698" s="44">
        <v>45308</v>
      </c>
      <c r="E698" s="45" t="s">
        <v>3406</v>
      </c>
      <c r="F698" s="46" t="s">
        <v>37</v>
      </c>
      <c r="G698" s="46" t="s">
        <v>884</v>
      </c>
      <c r="H698" s="46" t="s">
        <v>965</v>
      </c>
      <c r="I698" s="46" t="s">
        <v>526</v>
      </c>
      <c r="J698" s="46" t="s">
        <v>977</v>
      </c>
      <c r="K698" s="43">
        <v>13</v>
      </c>
      <c r="L698" s="43">
        <v>951</v>
      </c>
      <c r="M698" s="47">
        <v>1.365546218487395E-2</v>
      </c>
      <c r="N698" s="47">
        <v>34.799999999999997</v>
      </c>
      <c r="O698" s="46" t="s">
        <v>910</v>
      </c>
      <c r="P698" s="43">
        <v>162</v>
      </c>
      <c r="Q698" s="43">
        <v>10</v>
      </c>
      <c r="R698" s="45" t="s">
        <v>4281</v>
      </c>
      <c r="S698" s="46" t="s">
        <v>3407</v>
      </c>
    </row>
    <row r="699" spans="1:19" ht="42">
      <c r="A699" s="43">
        <v>695</v>
      </c>
      <c r="B699" s="43">
        <v>686</v>
      </c>
      <c r="C699" s="43">
        <v>628</v>
      </c>
      <c r="D699" s="44">
        <v>45565</v>
      </c>
      <c r="E699" s="45" t="s">
        <v>2898</v>
      </c>
      <c r="F699" s="46" t="s">
        <v>37</v>
      </c>
      <c r="G699" s="46" t="s">
        <v>1038</v>
      </c>
      <c r="H699" s="46" t="s">
        <v>1038</v>
      </c>
      <c r="I699" s="46" t="s">
        <v>515</v>
      </c>
      <c r="J699" s="46" t="s">
        <v>977</v>
      </c>
      <c r="K699" s="43">
        <v>12</v>
      </c>
      <c r="L699" s="43">
        <v>694</v>
      </c>
      <c r="M699" s="47">
        <v>1.7266187050359712E-2</v>
      </c>
      <c r="N699" s="47">
        <v>34.799999999999997</v>
      </c>
      <c r="O699" s="46" t="s">
        <v>910</v>
      </c>
      <c r="P699" s="43">
        <v>462</v>
      </c>
      <c r="Q699" s="43">
        <v>10</v>
      </c>
      <c r="R699" s="45" t="s">
        <v>4281</v>
      </c>
      <c r="S699" s="46" t="s">
        <v>2899</v>
      </c>
    </row>
    <row r="700" spans="1:19" ht="42">
      <c r="A700" s="43">
        <v>696</v>
      </c>
      <c r="B700" s="43">
        <v>687</v>
      </c>
      <c r="C700" s="43">
        <v>619</v>
      </c>
      <c r="D700" s="44">
        <v>45564</v>
      </c>
      <c r="E700" s="45" t="s">
        <v>2907</v>
      </c>
      <c r="F700" s="46" t="s">
        <v>37</v>
      </c>
      <c r="G700" s="46" t="s">
        <v>903</v>
      </c>
      <c r="H700" s="46" t="s">
        <v>965</v>
      </c>
      <c r="I700" s="46" t="s">
        <v>515</v>
      </c>
      <c r="J700" s="46" t="s">
        <v>968</v>
      </c>
      <c r="K700" s="43">
        <v>12</v>
      </c>
      <c r="L700" s="43">
        <v>695</v>
      </c>
      <c r="M700" s="47">
        <v>1.7241379310344827E-2</v>
      </c>
      <c r="N700" s="47">
        <v>34.799999999999997</v>
      </c>
      <c r="O700" s="46" t="s">
        <v>910</v>
      </c>
      <c r="P700" s="43">
        <v>376</v>
      </c>
      <c r="Q700" s="43">
        <v>10</v>
      </c>
      <c r="R700" s="45" t="s">
        <v>4281</v>
      </c>
      <c r="S700" s="46" t="s">
        <v>2908</v>
      </c>
    </row>
    <row r="701" spans="1:19" ht="42">
      <c r="A701" s="43">
        <v>697</v>
      </c>
      <c r="B701" s="43">
        <v>613</v>
      </c>
      <c r="C701" s="43">
        <v>97</v>
      </c>
      <c r="D701" s="44">
        <v>44892</v>
      </c>
      <c r="E701" s="45" t="s">
        <v>3910</v>
      </c>
      <c r="F701" s="46" t="s">
        <v>37</v>
      </c>
      <c r="G701" s="46" t="s">
        <v>1038</v>
      </c>
      <c r="H701" s="46" t="s">
        <v>1038</v>
      </c>
      <c r="I701" s="46" t="s">
        <v>515</v>
      </c>
      <c r="J701" s="46" t="s">
        <v>968</v>
      </c>
      <c r="K701" s="43">
        <v>14</v>
      </c>
      <c r="L701" s="43">
        <v>1367</v>
      </c>
      <c r="M701" s="47">
        <v>1.023391812865497E-2</v>
      </c>
      <c r="N701" s="47">
        <v>34.700000000000003</v>
      </c>
      <c r="O701" s="46" t="s">
        <v>910</v>
      </c>
      <c r="P701" s="43">
        <v>375</v>
      </c>
      <c r="Q701" s="43">
        <v>20</v>
      </c>
      <c r="R701" s="45" t="s">
        <v>4275</v>
      </c>
      <c r="S701" s="46" t="s">
        <v>3911</v>
      </c>
    </row>
    <row r="702" spans="1:19" ht="42">
      <c r="A702" s="43">
        <v>698</v>
      </c>
      <c r="B702" s="43">
        <v>722</v>
      </c>
      <c r="C702" s="43">
        <v>1052</v>
      </c>
      <c r="D702" s="44">
        <v>45765</v>
      </c>
      <c r="E702" s="45" t="s">
        <v>2476</v>
      </c>
      <c r="F702" s="46" t="s">
        <v>382</v>
      </c>
      <c r="G702" s="46" t="s">
        <v>1038</v>
      </c>
      <c r="H702" s="46" t="s">
        <v>1038</v>
      </c>
      <c r="I702" s="46" t="s">
        <v>515</v>
      </c>
      <c r="J702" s="46" t="s">
        <v>977</v>
      </c>
      <c r="K702" s="43">
        <v>11</v>
      </c>
      <c r="L702" s="43">
        <v>494</v>
      </c>
      <c r="M702" s="47">
        <v>2.2222222222222223E-2</v>
      </c>
      <c r="N702" s="47">
        <v>34.700000000000003</v>
      </c>
      <c r="O702" s="46" t="s">
        <v>910</v>
      </c>
      <c r="P702" s="43">
        <v>315</v>
      </c>
      <c r="Q702" s="43">
        <v>10</v>
      </c>
      <c r="R702" s="45" t="s">
        <v>4281</v>
      </c>
      <c r="S702" s="46" t="s">
        <v>2477</v>
      </c>
    </row>
    <row r="703" spans="1:19" ht="42">
      <c r="A703" s="43">
        <v>699</v>
      </c>
      <c r="B703" s="43">
        <v>770</v>
      </c>
      <c r="C703" s="43">
        <v>972</v>
      </c>
      <c r="D703" s="44">
        <v>45912</v>
      </c>
      <c r="E703" s="45" t="s">
        <v>2155</v>
      </c>
      <c r="F703" s="46" t="s">
        <v>371</v>
      </c>
      <c r="G703" s="46" t="s">
        <v>885</v>
      </c>
      <c r="H703" s="46" t="s">
        <v>965</v>
      </c>
      <c r="I703" s="46" t="s">
        <v>512</v>
      </c>
      <c r="J703" s="46" t="s">
        <v>977</v>
      </c>
      <c r="K703" s="43">
        <v>10</v>
      </c>
      <c r="L703" s="43">
        <v>347</v>
      </c>
      <c r="M703" s="47">
        <v>2.8735632183908046E-2</v>
      </c>
      <c r="N703" s="47">
        <v>34.700000000000003</v>
      </c>
      <c r="O703" s="46" t="s">
        <v>910</v>
      </c>
      <c r="P703" s="43">
        <v>589</v>
      </c>
      <c r="Q703" s="43">
        <v>20</v>
      </c>
      <c r="R703" s="45" t="s">
        <v>4278</v>
      </c>
      <c r="S703" s="46" t="s">
        <v>2156</v>
      </c>
    </row>
    <row r="704" spans="1:19" ht="42">
      <c r="A704" s="43">
        <v>700</v>
      </c>
      <c r="B704" s="43">
        <v>653</v>
      </c>
      <c r="C704" s="43">
        <v>368</v>
      </c>
      <c r="D704" s="44">
        <v>45302</v>
      </c>
      <c r="E704" s="45" t="s">
        <v>3462</v>
      </c>
      <c r="F704" s="46" t="s">
        <v>37</v>
      </c>
      <c r="G704" s="46" t="s">
        <v>900</v>
      </c>
      <c r="H704" s="46" t="s">
        <v>965</v>
      </c>
      <c r="I704" s="46" t="s">
        <v>519</v>
      </c>
      <c r="J704" s="46" t="s">
        <v>977</v>
      </c>
      <c r="K704" s="43">
        <v>13</v>
      </c>
      <c r="L704" s="43">
        <v>957</v>
      </c>
      <c r="M704" s="47">
        <v>1.3569937369519834E-2</v>
      </c>
      <c r="N704" s="47">
        <v>34.6</v>
      </c>
      <c r="O704" s="46" t="s">
        <v>910</v>
      </c>
      <c r="P704" s="43">
        <v>197</v>
      </c>
      <c r="Q704" s="43">
        <v>20</v>
      </c>
      <c r="R704" s="45" t="s">
        <v>4275</v>
      </c>
      <c r="S704" s="46" t="s">
        <v>3463</v>
      </c>
    </row>
    <row r="705" spans="1:19" ht="52.5">
      <c r="A705" s="43">
        <v>701</v>
      </c>
      <c r="B705" s="43">
        <v>654</v>
      </c>
      <c r="C705" s="43">
        <v>419</v>
      </c>
      <c r="D705" s="44">
        <v>45297</v>
      </c>
      <c r="E705" s="45" t="s">
        <v>3480</v>
      </c>
      <c r="F705" s="46" t="s">
        <v>37</v>
      </c>
      <c r="G705" s="46" t="s">
        <v>878</v>
      </c>
      <c r="H705" s="46" t="s">
        <v>965</v>
      </c>
      <c r="I705" s="46" t="s">
        <v>522</v>
      </c>
      <c r="J705" s="46" t="s">
        <v>977</v>
      </c>
      <c r="K705" s="43">
        <v>13</v>
      </c>
      <c r="L705" s="43">
        <v>962</v>
      </c>
      <c r="M705" s="47">
        <v>1.3499480789200415E-2</v>
      </c>
      <c r="N705" s="47">
        <v>34.6</v>
      </c>
      <c r="O705" s="46" t="s">
        <v>910</v>
      </c>
      <c r="P705" s="43">
        <v>213</v>
      </c>
      <c r="Q705" s="43">
        <v>0</v>
      </c>
      <c r="R705" s="45" t="s">
        <v>4294</v>
      </c>
      <c r="S705" s="46" t="s">
        <v>3481</v>
      </c>
    </row>
    <row r="706" spans="1:19" ht="42">
      <c r="A706" s="43">
        <v>702</v>
      </c>
      <c r="B706" s="43">
        <v>655</v>
      </c>
      <c r="C706" s="43">
        <v>354</v>
      </c>
      <c r="D706" s="44">
        <v>45287</v>
      </c>
      <c r="E706" s="45" t="s">
        <v>3486</v>
      </c>
      <c r="F706" s="46" t="s">
        <v>37</v>
      </c>
      <c r="G706" s="46" t="s">
        <v>1038</v>
      </c>
      <c r="H706" s="46" t="s">
        <v>1005</v>
      </c>
      <c r="I706" s="46" t="s">
        <v>522</v>
      </c>
      <c r="J706" s="46" t="s">
        <v>968</v>
      </c>
      <c r="K706" s="43">
        <v>13</v>
      </c>
      <c r="L706" s="43">
        <v>972</v>
      </c>
      <c r="M706" s="47">
        <v>1.3360739979445015E-2</v>
      </c>
      <c r="N706" s="47">
        <v>34.4</v>
      </c>
      <c r="O706" s="46" t="s">
        <v>910</v>
      </c>
      <c r="P706" s="43">
        <v>869</v>
      </c>
      <c r="Q706" s="43">
        <v>20</v>
      </c>
      <c r="R706" s="45" t="s">
        <v>4278</v>
      </c>
      <c r="S706" s="46" t="s">
        <v>3487</v>
      </c>
    </row>
    <row r="707" spans="1:19" ht="42">
      <c r="A707" s="43">
        <v>703</v>
      </c>
      <c r="B707" s="43">
        <v>798</v>
      </c>
      <c r="C707" s="43">
        <v>816</v>
      </c>
      <c r="D707" s="44">
        <v>46010</v>
      </c>
      <c r="E707" s="45" t="s">
        <v>2007</v>
      </c>
      <c r="F707" s="46" t="s">
        <v>37</v>
      </c>
      <c r="G707" s="46" t="s">
        <v>882</v>
      </c>
      <c r="H707" s="46" t="s">
        <v>965</v>
      </c>
      <c r="I707" s="46" t="s">
        <v>512</v>
      </c>
      <c r="J707" s="46" t="s">
        <v>977</v>
      </c>
      <c r="K707" s="43">
        <v>9</v>
      </c>
      <c r="L707" s="43">
        <v>249</v>
      </c>
      <c r="M707" s="47">
        <v>3.5999999999999997E-2</v>
      </c>
      <c r="N707" s="47">
        <v>34.4</v>
      </c>
      <c r="O707" s="46" t="s">
        <v>910</v>
      </c>
      <c r="P707" s="43">
        <v>586</v>
      </c>
      <c r="Q707" s="43">
        <v>20</v>
      </c>
      <c r="R707" s="45" t="s">
        <v>4278</v>
      </c>
      <c r="S707" s="46" t="s">
        <v>2008</v>
      </c>
    </row>
    <row r="708" spans="1:19" ht="42">
      <c r="A708" s="43">
        <v>704</v>
      </c>
      <c r="B708" s="43">
        <v>656</v>
      </c>
      <c r="C708" s="43">
        <v>342</v>
      </c>
      <c r="D708" s="44">
        <v>45270</v>
      </c>
      <c r="E708" s="45" t="s">
        <v>3507</v>
      </c>
      <c r="F708" s="46" t="s">
        <v>37</v>
      </c>
      <c r="G708" s="46" t="s">
        <v>1038</v>
      </c>
      <c r="H708" s="46" t="s">
        <v>1005</v>
      </c>
      <c r="I708" s="46" t="s">
        <v>515</v>
      </c>
      <c r="J708" s="46" t="s">
        <v>968</v>
      </c>
      <c r="K708" s="43">
        <v>13</v>
      </c>
      <c r="L708" s="43">
        <v>989</v>
      </c>
      <c r="M708" s="47">
        <v>1.3131313131313131E-2</v>
      </c>
      <c r="N708" s="47">
        <v>34.299999999999997</v>
      </c>
      <c r="O708" s="46" t="s">
        <v>910</v>
      </c>
      <c r="P708" s="43">
        <v>874</v>
      </c>
      <c r="Q708" s="43">
        <v>20</v>
      </c>
      <c r="R708" s="45" t="s">
        <v>4278</v>
      </c>
      <c r="S708" s="46" t="s">
        <v>3508</v>
      </c>
    </row>
    <row r="709" spans="1:19" ht="42">
      <c r="A709" s="43">
        <v>705</v>
      </c>
      <c r="B709" s="43">
        <v>688</v>
      </c>
      <c r="C709" s="43">
        <v>587</v>
      </c>
      <c r="D709" s="44">
        <v>45536</v>
      </c>
      <c r="E709" s="45" t="s">
        <v>3009</v>
      </c>
      <c r="F709" s="46" t="s">
        <v>37</v>
      </c>
      <c r="G709" s="46" t="s">
        <v>907</v>
      </c>
      <c r="H709" s="46" t="s">
        <v>1317</v>
      </c>
      <c r="I709" s="46" t="s">
        <v>519</v>
      </c>
      <c r="J709" s="46" t="s">
        <v>977</v>
      </c>
      <c r="K709" s="43">
        <v>12</v>
      </c>
      <c r="L709" s="43">
        <v>723</v>
      </c>
      <c r="M709" s="47">
        <v>1.6574585635359115E-2</v>
      </c>
      <c r="N709" s="47">
        <v>34.299999999999997</v>
      </c>
      <c r="O709" s="46" t="s">
        <v>910</v>
      </c>
      <c r="P709" s="43">
        <v>65</v>
      </c>
      <c r="Q709" s="43">
        <v>10</v>
      </c>
      <c r="R709" s="45" t="s">
        <v>4281</v>
      </c>
      <c r="S709" s="46" t="s">
        <v>3010</v>
      </c>
    </row>
    <row r="710" spans="1:19" ht="42">
      <c r="A710" s="43">
        <v>706</v>
      </c>
      <c r="B710" s="43">
        <v>799</v>
      </c>
      <c r="C710" s="43">
        <v>1144</v>
      </c>
      <c r="D710" s="44">
        <v>46006</v>
      </c>
      <c r="E710" s="45" t="s">
        <v>2026</v>
      </c>
      <c r="F710" s="46" t="s">
        <v>360</v>
      </c>
      <c r="G710" s="46" t="s">
        <v>891</v>
      </c>
      <c r="H710" s="46" t="s">
        <v>965</v>
      </c>
      <c r="I710" s="46" t="s">
        <v>512</v>
      </c>
      <c r="J710" s="46" t="s">
        <v>968</v>
      </c>
      <c r="K710" s="43">
        <v>9</v>
      </c>
      <c r="L710" s="43">
        <v>253</v>
      </c>
      <c r="M710" s="47">
        <v>3.5433070866141732E-2</v>
      </c>
      <c r="N710" s="47">
        <v>34.299999999999997</v>
      </c>
      <c r="O710" s="46" t="s">
        <v>910</v>
      </c>
      <c r="P710" s="43">
        <v>286</v>
      </c>
      <c r="Q710" s="43">
        <v>20</v>
      </c>
      <c r="R710" s="45" t="s">
        <v>4275</v>
      </c>
      <c r="S710" s="46" t="s">
        <v>2027</v>
      </c>
    </row>
    <row r="711" spans="1:19" ht="42">
      <c r="A711" s="43">
        <v>707</v>
      </c>
      <c r="B711" s="43">
        <v>689</v>
      </c>
      <c r="C711" s="43">
        <v>574</v>
      </c>
      <c r="D711" s="44">
        <v>45517</v>
      </c>
      <c r="E711" s="45" t="s">
        <v>3045</v>
      </c>
      <c r="F711" s="46" t="s">
        <v>37</v>
      </c>
      <c r="G711" s="46" t="s">
        <v>1038</v>
      </c>
      <c r="H711" s="46" t="s">
        <v>1005</v>
      </c>
      <c r="I711" s="46" t="s">
        <v>515</v>
      </c>
      <c r="J711" s="46" t="s">
        <v>968</v>
      </c>
      <c r="K711" s="43">
        <v>12</v>
      </c>
      <c r="L711" s="43">
        <v>742</v>
      </c>
      <c r="M711" s="47">
        <v>1.6150740242261104E-2</v>
      </c>
      <c r="N711" s="47">
        <v>33.9</v>
      </c>
      <c r="O711" s="46" t="s">
        <v>910</v>
      </c>
      <c r="P711" s="43">
        <v>59</v>
      </c>
      <c r="Q711" s="43">
        <v>10</v>
      </c>
      <c r="R711" s="45" t="s">
        <v>4281</v>
      </c>
      <c r="S711" s="46" t="s">
        <v>3046</v>
      </c>
    </row>
    <row r="712" spans="1:19" ht="31.5">
      <c r="A712" s="43">
        <v>708</v>
      </c>
      <c r="B712" s="43">
        <v>657</v>
      </c>
      <c r="C712" s="43">
        <v>268</v>
      </c>
      <c r="D712" s="44">
        <v>45162</v>
      </c>
      <c r="E712" s="45" t="s">
        <v>3651</v>
      </c>
      <c r="F712" s="46" t="s">
        <v>37</v>
      </c>
      <c r="G712" s="46" t="s">
        <v>1038</v>
      </c>
      <c r="H712" s="46" t="s">
        <v>1005</v>
      </c>
      <c r="I712" s="46" t="s">
        <v>515</v>
      </c>
      <c r="J712" s="46" t="s">
        <v>968</v>
      </c>
      <c r="K712" s="43">
        <v>13</v>
      </c>
      <c r="L712" s="43">
        <v>1097</v>
      </c>
      <c r="M712" s="47">
        <v>1.1839708561020037E-2</v>
      </c>
      <c r="N712" s="47">
        <v>33.4</v>
      </c>
      <c r="O712" s="46" t="s">
        <v>910</v>
      </c>
      <c r="P712" s="43">
        <v>1059</v>
      </c>
      <c r="Q712" s="43">
        <v>30</v>
      </c>
      <c r="R712" s="45" t="s">
        <v>4283</v>
      </c>
      <c r="S712" s="46" t="s">
        <v>3652</v>
      </c>
    </row>
    <row r="713" spans="1:19" ht="42">
      <c r="A713" s="43">
        <v>709</v>
      </c>
      <c r="B713" s="43">
        <v>614</v>
      </c>
      <c r="C713" s="43">
        <v>12</v>
      </c>
      <c r="D713" s="44">
        <v>44642</v>
      </c>
      <c r="E713" s="45" t="s">
        <v>4093</v>
      </c>
      <c r="F713" s="46" t="s">
        <v>37</v>
      </c>
      <c r="G713" s="46" t="s">
        <v>1038</v>
      </c>
      <c r="H713" s="46" t="s">
        <v>1005</v>
      </c>
      <c r="I713" s="46" t="s">
        <v>519</v>
      </c>
      <c r="J713" s="46" t="s">
        <v>977</v>
      </c>
      <c r="K713" s="43">
        <v>14</v>
      </c>
      <c r="L713" s="43">
        <v>1617</v>
      </c>
      <c r="M713" s="47">
        <v>8.65265760197775E-3</v>
      </c>
      <c r="N713" s="47">
        <v>33.299999999999997</v>
      </c>
      <c r="O713" s="46" t="s">
        <v>910</v>
      </c>
      <c r="P713" s="43">
        <v>217</v>
      </c>
      <c r="Q713" s="43">
        <v>10</v>
      </c>
      <c r="R713" s="45" t="s">
        <v>4281</v>
      </c>
      <c r="S713" s="46" t="s">
        <v>4094</v>
      </c>
    </row>
    <row r="714" spans="1:19" ht="42">
      <c r="A714" s="43">
        <v>710</v>
      </c>
      <c r="B714" s="43">
        <v>723</v>
      </c>
      <c r="C714" s="43">
        <v>729</v>
      </c>
      <c r="D714" s="44">
        <v>45681</v>
      </c>
      <c r="E714" s="45" t="s">
        <v>2554</v>
      </c>
      <c r="F714" s="46" t="s">
        <v>37</v>
      </c>
      <c r="G714" s="46" t="s">
        <v>1038</v>
      </c>
      <c r="H714" s="46" t="s">
        <v>1005</v>
      </c>
      <c r="I714" s="46" t="s">
        <v>522</v>
      </c>
      <c r="J714" s="46" t="s">
        <v>968</v>
      </c>
      <c r="K714" s="43">
        <v>11</v>
      </c>
      <c r="L714" s="43">
        <v>578</v>
      </c>
      <c r="M714" s="47">
        <v>1.8998272884283247E-2</v>
      </c>
      <c r="N714" s="47">
        <v>33.1</v>
      </c>
      <c r="O714" s="46" t="s">
        <v>910</v>
      </c>
      <c r="P714" s="43">
        <v>658</v>
      </c>
      <c r="Q714" s="43">
        <v>20</v>
      </c>
      <c r="R714" s="45" t="s">
        <v>4278</v>
      </c>
      <c r="S714" s="46" t="s">
        <v>2555</v>
      </c>
    </row>
    <row r="715" spans="1:19" ht="42">
      <c r="A715" s="43">
        <v>711</v>
      </c>
      <c r="B715" s="43">
        <v>615</v>
      </c>
      <c r="C715" s="43">
        <v>45</v>
      </c>
      <c r="D715" s="44">
        <v>44583</v>
      </c>
      <c r="E715" s="45" t="s">
        <v>4105</v>
      </c>
      <c r="F715" s="46" t="s">
        <v>37</v>
      </c>
      <c r="G715" s="46" t="s">
        <v>907</v>
      </c>
      <c r="H715" s="46" t="s">
        <v>965</v>
      </c>
      <c r="I715" s="46" t="s">
        <v>515</v>
      </c>
      <c r="J715" s="46" t="s">
        <v>977</v>
      </c>
      <c r="K715" s="43">
        <v>14</v>
      </c>
      <c r="L715" s="43">
        <v>1676</v>
      </c>
      <c r="M715" s="47">
        <v>8.348240906380441E-3</v>
      </c>
      <c r="N715" s="47">
        <v>32.9</v>
      </c>
      <c r="O715" s="46" t="s">
        <v>910</v>
      </c>
      <c r="P715" s="43">
        <v>233</v>
      </c>
      <c r="Q715" s="43">
        <v>10</v>
      </c>
      <c r="R715" s="45" t="s">
        <v>4281</v>
      </c>
      <c r="S715" s="46" t="s">
        <v>4106</v>
      </c>
    </row>
    <row r="716" spans="1:19" ht="42">
      <c r="A716" s="43">
        <v>712</v>
      </c>
      <c r="B716" s="43">
        <v>724</v>
      </c>
      <c r="C716" s="43">
        <v>725</v>
      </c>
      <c r="D716" s="44">
        <v>45674</v>
      </c>
      <c r="E716" s="45" t="s">
        <v>2582</v>
      </c>
      <c r="F716" s="46" t="s">
        <v>37</v>
      </c>
      <c r="G716" s="46" t="s">
        <v>1038</v>
      </c>
      <c r="H716" s="46" t="s">
        <v>1134</v>
      </c>
      <c r="I716" s="46" t="s">
        <v>512</v>
      </c>
      <c r="J716" s="46" t="s">
        <v>977</v>
      </c>
      <c r="K716" s="43">
        <v>11</v>
      </c>
      <c r="L716" s="43">
        <v>585</v>
      </c>
      <c r="M716" s="47">
        <v>1.877133105802048E-2</v>
      </c>
      <c r="N716" s="47">
        <v>32.9</v>
      </c>
      <c r="O716" s="46" t="s">
        <v>910</v>
      </c>
      <c r="P716" s="43">
        <v>352</v>
      </c>
      <c r="Q716" s="43">
        <v>10</v>
      </c>
      <c r="R716" s="45" t="s">
        <v>4281</v>
      </c>
      <c r="S716" s="46" t="s">
        <v>2583</v>
      </c>
    </row>
    <row r="717" spans="1:19" ht="42">
      <c r="A717" s="43">
        <v>713</v>
      </c>
      <c r="B717" s="43">
        <v>658</v>
      </c>
      <c r="C717" s="43">
        <v>179</v>
      </c>
      <c r="D717" s="44">
        <v>45080</v>
      </c>
      <c r="E717" s="45" t="s">
        <v>3801</v>
      </c>
      <c r="F717" s="46" t="s">
        <v>37</v>
      </c>
      <c r="G717" s="46" t="s">
        <v>935</v>
      </c>
      <c r="H717" s="46" t="s">
        <v>965</v>
      </c>
      <c r="I717" s="46" t="s">
        <v>526</v>
      </c>
      <c r="J717" s="46" t="s">
        <v>977</v>
      </c>
      <c r="K717" s="43">
        <v>13</v>
      </c>
      <c r="L717" s="43">
        <v>1179</v>
      </c>
      <c r="M717" s="47">
        <v>1.1016949152542373E-2</v>
      </c>
      <c r="N717" s="47">
        <v>32.799999999999997</v>
      </c>
      <c r="O717" s="46" t="s">
        <v>910</v>
      </c>
      <c r="P717" s="43">
        <v>345</v>
      </c>
      <c r="Q717" s="43">
        <v>20</v>
      </c>
      <c r="R717" s="45" t="s">
        <v>4275</v>
      </c>
      <c r="S717" s="46" t="s">
        <v>3802</v>
      </c>
    </row>
    <row r="718" spans="1:19" ht="42">
      <c r="A718" s="43">
        <v>714</v>
      </c>
      <c r="B718" s="43">
        <v>659</v>
      </c>
      <c r="C718" s="43">
        <v>158</v>
      </c>
      <c r="D718" s="44">
        <v>45070</v>
      </c>
      <c r="E718" s="45" t="s">
        <v>3825</v>
      </c>
      <c r="F718" s="46" t="s">
        <v>37</v>
      </c>
      <c r="G718" s="46" t="s">
        <v>1038</v>
      </c>
      <c r="H718" s="46" t="s">
        <v>1038</v>
      </c>
      <c r="I718" s="46" t="s">
        <v>519</v>
      </c>
      <c r="J718" s="46" t="s">
        <v>968</v>
      </c>
      <c r="K718" s="43">
        <v>13</v>
      </c>
      <c r="L718" s="43">
        <v>1189</v>
      </c>
      <c r="M718" s="47">
        <v>1.0924369747899159E-2</v>
      </c>
      <c r="N718" s="47">
        <v>32.799999999999997</v>
      </c>
      <c r="O718" s="46" t="s">
        <v>910</v>
      </c>
      <c r="P718" s="43">
        <v>458</v>
      </c>
      <c r="Q718" s="43">
        <v>20</v>
      </c>
      <c r="R718" s="45" t="s">
        <v>4275</v>
      </c>
      <c r="S718" s="46" t="s">
        <v>3826</v>
      </c>
    </row>
    <row r="719" spans="1:19" ht="42">
      <c r="A719" s="43">
        <v>715</v>
      </c>
      <c r="B719" s="43">
        <v>725</v>
      </c>
      <c r="C719" s="43">
        <v>717</v>
      </c>
      <c r="D719" s="44">
        <v>45663</v>
      </c>
      <c r="E719" s="45" t="s">
        <v>2627</v>
      </c>
      <c r="F719" s="46" t="s">
        <v>37</v>
      </c>
      <c r="G719" s="46" t="s">
        <v>882</v>
      </c>
      <c r="H719" s="46" t="s">
        <v>965</v>
      </c>
      <c r="I719" s="46" t="s">
        <v>512</v>
      </c>
      <c r="J719" s="46" t="s">
        <v>977</v>
      </c>
      <c r="K719" s="43">
        <v>11</v>
      </c>
      <c r="L719" s="43">
        <v>596</v>
      </c>
      <c r="M719" s="47">
        <v>1.8425460636515914E-2</v>
      </c>
      <c r="N719" s="47">
        <v>32.700000000000003</v>
      </c>
      <c r="O719" s="46" t="s">
        <v>910</v>
      </c>
      <c r="P719" s="43">
        <v>508</v>
      </c>
      <c r="Q719" s="43">
        <v>20</v>
      </c>
      <c r="R719" s="45" t="s">
        <v>4278</v>
      </c>
      <c r="S719" s="46" t="s">
        <v>2628</v>
      </c>
    </row>
    <row r="720" spans="1:19" ht="42">
      <c r="A720" s="43">
        <v>716</v>
      </c>
      <c r="B720" s="43">
        <v>771</v>
      </c>
      <c r="C720" s="43">
        <v>1057</v>
      </c>
      <c r="D720" s="44">
        <v>45828</v>
      </c>
      <c r="E720" s="45" t="s">
        <v>2364</v>
      </c>
      <c r="F720" s="46" t="s">
        <v>382</v>
      </c>
      <c r="G720" s="46" t="s">
        <v>1038</v>
      </c>
      <c r="H720" s="46" t="s">
        <v>1005</v>
      </c>
      <c r="I720" s="46" t="s">
        <v>515</v>
      </c>
      <c r="J720" s="46" t="s">
        <v>977</v>
      </c>
      <c r="K720" s="43">
        <v>10</v>
      </c>
      <c r="L720" s="43">
        <v>431</v>
      </c>
      <c r="M720" s="47">
        <v>2.3148148148148147E-2</v>
      </c>
      <c r="N720" s="47">
        <v>32.700000000000003</v>
      </c>
      <c r="O720" s="46" t="s">
        <v>910</v>
      </c>
      <c r="P720" s="43">
        <v>602</v>
      </c>
      <c r="Q720" s="43">
        <v>20</v>
      </c>
      <c r="R720" s="45" t="s">
        <v>4278</v>
      </c>
      <c r="S720" s="46" t="s">
        <v>2365</v>
      </c>
    </row>
    <row r="721" spans="1:19" ht="42">
      <c r="A721" s="43">
        <v>717</v>
      </c>
      <c r="B721" s="43">
        <v>690</v>
      </c>
      <c r="C721" s="43">
        <v>525</v>
      </c>
      <c r="D721" s="44">
        <v>45438</v>
      </c>
      <c r="E721" s="45" t="s">
        <v>3153</v>
      </c>
      <c r="F721" s="46" t="s">
        <v>37</v>
      </c>
      <c r="G721" s="46" t="s">
        <v>1038</v>
      </c>
      <c r="H721" s="46" t="s">
        <v>1038</v>
      </c>
      <c r="I721" s="46" t="s">
        <v>512</v>
      </c>
      <c r="J721" s="46" t="s">
        <v>977</v>
      </c>
      <c r="K721" s="43">
        <v>12</v>
      </c>
      <c r="L721" s="43">
        <v>821</v>
      </c>
      <c r="M721" s="47">
        <v>1.4598540145985401E-2</v>
      </c>
      <c r="N721" s="47">
        <v>32.6</v>
      </c>
      <c r="O721" s="46" t="s">
        <v>910</v>
      </c>
      <c r="P721" s="43">
        <v>130</v>
      </c>
      <c r="Q721" s="43">
        <v>20</v>
      </c>
      <c r="R721" s="45" t="s">
        <v>4275</v>
      </c>
      <c r="S721" s="46" t="s">
        <v>3154</v>
      </c>
    </row>
    <row r="722" spans="1:19" ht="31.5">
      <c r="A722" s="43">
        <v>718</v>
      </c>
      <c r="B722" s="43">
        <v>691</v>
      </c>
      <c r="C722" s="43">
        <v>521</v>
      </c>
      <c r="D722" s="44">
        <v>45429</v>
      </c>
      <c r="E722" s="45" t="s">
        <v>3168</v>
      </c>
      <c r="F722" s="46" t="s">
        <v>37</v>
      </c>
      <c r="G722" s="46" t="s">
        <v>1038</v>
      </c>
      <c r="H722" s="46" t="s">
        <v>1005</v>
      </c>
      <c r="I722" s="46" t="s">
        <v>512</v>
      </c>
      <c r="J722" s="46" t="s">
        <v>968</v>
      </c>
      <c r="K722" s="43">
        <v>12</v>
      </c>
      <c r="L722" s="43">
        <v>830</v>
      </c>
      <c r="M722" s="47">
        <v>1.444043321299639E-2</v>
      </c>
      <c r="N722" s="47">
        <v>32.6</v>
      </c>
      <c r="O722" s="46" t="s">
        <v>910</v>
      </c>
      <c r="P722" s="43">
        <v>644</v>
      </c>
      <c r="Q722" s="43">
        <v>30</v>
      </c>
      <c r="R722" s="45" t="s">
        <v>4283</v>
      </c>
      <c r="S722" s="46" t="s">
        <v>3169</v>
      </c>
    </row>
    <row r="723" spans="1:19" ht="42">
      <c r="A723" s="43">
        <v>719</v>
      </c>
      <c r="B723" s="43">
        <v>726</v>
      </c>
      <c r="C723" s="43">
        <v>713</v>
      </c>
      <c r="D723" s="44">
        <v>45661</v>
      </c>
      <c r="E723" s="45" t="s">
        <v>2636</v>
      </c>
      <c r="F723" s="46" t="s">
        <v>37</v>
      </c>
      <c r="G723" s="46" t="s">
        <v>1038</v>
      </c>
      <c r="H723" s="46" t="s">
        <v>1484</v>
      </c>
      <c r="I723" s="46" t="s">
        <v>515</v>
      </c>
      <c r="J723" s="46" t="s">
        <v>977</v>
      </c>
      <c r="K723" s="43">
        <v>11</v>
      </c>
      <c r="L723" s="43">
        <v>598</v>
      </c>
      <c r="M723" s="47">
        <v>1.8363939899833055E-2</v>
      </c>
      <c r="N723" s="47">
        <v>32.6</v>
      </c>
      <c r="O723" s="46" t="s">
        <v>910</v>
      </c>
      <c r="P723" s="43">
        <v>406</v>
      </c>
      <c r="Q723" s="43">
        <v>10</v>
      </c>
      <c r="R723" s="45" t="s">
        <v>4281</v>
      </c>
      <c r="S723" s="46" t="s">
        <v>2637</v>
      </c>
    </row>
    <row r="724" spans="1:19" ht="42">
      <c r="A724" s="43">
        <v>720</v>
      </c>
      <c r="B724" s="43">
        <v>727</v>
      </c>
      <c r="C724" s="43">
        <v>706</v>
      </c>
      <c r="D724" s="44">
        <v>45660</v>
      </c>
      <c r="E724" s="45" t="s">
        <v>2654</v>
      </c>
      <c r="F724" s="46" t="s">
        <v>37</v>
      </c>
      <c r="G724" s="46" t="s">
        <v>884</v>
      </c>
      <c r="H724" s="46" t="s">
        <v>965</v>
      </c>
      <c r="I724" s="46" t="s">
        <v>515</v>
      </c>
      <c r="J724" s="46" t="s">
        <v>977</v>
      </c>
      <c r="K724" s="43">
        <v>11</v>
      </c>
      <c r="L724" s="43">
        <v>599</v>
      </c>
      <c r="M724" s="47">
        <v>1.8333333333333333E-2</v>
      </c>
      <c r="N724" s="47">
        <v>32.6</v>
      </c>
      <c r="O724" s="46" t="s">
        <v>910</v>
      </c>
      <c r="P724" s="43">
        <v>382</v>
      </c>
      <c r="Q724" s="43">
        <v>10</v>
      </c>
      <c r="R724" s="45" t="s">
        <v>4281</v>
      </c>
      <c r="S724" s="46" t="s">
        <v>2655</v>
      </c>
    </row>
    <row r="725" spans="1:19" ht="42">
      <c r="A725" s="43">
        <v>721</v>
      </c>
      <c r="B725" s="43">
        <v>692</v>
      </c>
      <c r="C725" s="43">
        <v>516</v>
      </c>
      <c r="D725" s="44">
        <v>45419</v>
      </c>
      <c r="E725" s="45" t="s">
        <v>3181</v>
      </c>
      <c r="F725" s="46" t="s">
        <v>37</v>
      </c>
      <c r="G725" s="46" t="s">
        <v>878</v>
      </c>
      <c r="H725" s="46" t="s">
        <v>965</v>
      </c>
      <c r="I725" s="46" t="s">
        <v>512</v>
      </c>
      <c r="J725" s="46" t="s">
        <v>977</v>
      </c>
      <c r="K725" s="43">
        <v>12</v>
      </c>
      <c r="L725" s="43">
        <v>840</v>
      </c>
      <c r="M725" s="47">
        <v>1.4268727705112961E-2</v>
      </c>
      <c r="N725" s="47">
        <v>32.5</v>
      </c>
      <c r="O725" s="46" t="s">
        <v>910</v>
      </c>
      <c r="P725" s="43">
        <v>266</v>
      </c>
      <c r="Q725" s="43">
        <v>20</v>
      </c>
      <c r="R725" s="45" t="s">
        <v>4275</v>
      </c>
      <c r="S725" s="46" t="s">
        <v>3182</v>
      </c>
    </row>
    <row r="726" spans="1:19" ht="42">
      <c r="A726" s="43">
        <v>722</v>
      </c>
      <c r="B726" s="43">
        <v>728</v>
      </c>
      <c r="C726" s="43">
        <v>700</v>
      </c>
      <c r="D726" s="44">
        <v>45658</v>
      </c>
      <c r="E726" s="45" t="s">
        <v>2669</v>
      </c>
      <c r="F726" s="46" t="s">
        <v>37</v>
      </c>
      <c r="G726" s="46" t="s">
        <v>1038</v>
      </c>
      <c r="H726" s="46" t="s">
        <v>1038</v>
      </c>
      <c r="I726" s="46" t="s">
        <v>512</v>
      </c>
      <c r="J726" s="46" t="s">
        <v>968</v>
      </c>
      <c r="K726" s="43">
        <v>11</v>
      </c>
      <c r="L726" s="43">
        <v>601</v>
      </c>
      <c r="M726" s="47">
        <v>1.8272425249169437E-2</v>
      </c>
      <c r="N726" s="47">
        <v>32.5</v>
      </c>
      <c r="O726" s="46" t="s">
        <v>910</v>
      </c>
      <c r="P726" s="43">
        <v>254</v>
      </c>
      <c r="Q726" s="43">
        <v>10</v>
      </c>
      <c r="R726" s="45" t="s">
        <v>4281</v>
      </c>
      <c r="S726" s="46" t="s">
        <v>2670</v>
      </c>
    </row>
    <row r="727" spans="1:19" ht="42">
      <c r="A727" s="43">
        <v>723</v>
      </c>
      <c r="B727" s="43">
        <v>729</v>
      </c>
      <c r="C727" s="43">
        <v>697</v>
      </c>
      <c r="D727" s="44">
        <v>45656</v>
      </c>
      <c r="E727" s="45" t="s">
        <v>2688</v>
      </c>
      <c r="F727" s="46" t="s">
        <v>37</v>
      </c>
      <c r="G727" s="46" t="s">
        <v>1038</v>
      </c>
      <c r="H727" s="46" t="s">
        <v>1038</v>
      </c>
      <c r="I727" s="46" t="s">
        <v>519</v>
      </c>
      <c r="J727" s="46" t="s">
        <v>968</v>
      </c>
      <c r="K727" s="43">
        <v>11</v>
      </c>
      <c r="L727" s="43">
        <v>603</v>
      </c>
      <c r="M727" s="47">
        <v>1.8211920529801324E-2</v>
      </c>
      <c r="N727" s="47">
        <v>32.5</v>
      </c>
      <c r="O727" s="46" t="s">
        <v>910</v>
      </c>
      <c r="P727" s="43">
        <v>878</v>
      </c>
      <c r="Q727" s="43">
        <v>20</v>
      </c>
      <c r="R727" s="45" t="s">
        <v>4278</v>
      </c>
      <c r="S727" s="46" t="s">
        <v>2689</v>
      </c>
    </row>
    <row r="728" spans="1:19" ht="42">
      <c r="A728" s="43">
        <v>724</v>
      </c>
      <c r="B728" s="43">
        <v>693</v>
      </c>
      <c r="C728" s="43">
        <v>502</v>
      </c>
      <c r="D728" s="44">
        <v>45410</v>
      </c>
      <c r="E728" s="45" t="s">
        <v>3202</v>
      </c>
      <c r="F728" s="46" t="s">
        <v>37</v>
      </c>
      <c r="G728" s="46" t="s">
        <v>1038</v>
      </c>
      <c r="H728" s="46" t="s">
        <v>1038</v>
      </c>
      <c r="I728" s="46" t="s">
        <v>515</v>
      </c>
      <c r="J728" s="46" t="s">
        <v>977</v>
      </c>
      <c r="K728" s="43">
        <v>12</v>
      </c>
      <c r="L728" s="43">
        <v>849</v>
      </c>
      <c r="M728" s="47">
        <v>1.411764705882353E-2</v>
      </c>
      <c r="N728" s="47">
        <v>32.4</v>
      </c>
      <c r="O728" s="46" t="s">
        <v>910</v>
      </c>
      <c r="P728" s="43">
        <v>1207</v>
      </c>
      <c r="Q728" s="43">
        <v>20</v>
      </c>
      <c r="R728" s="45" t="s">
        <v>4278</v>
      </c>
      <c r="S728" s="46" t="s">
        <v>3203</v>
      </c>
    </row>
    <row r="729" spans="1:19" ht="42">
      <c r="A729" s="43">
        <v>725</v>
      </c>
      <c r="B729" s="43">
        <v>694</v>
      </c>
      <c r="C729" s="43">
        <v>485</v>
      </c>
      <c r="D729" s="44">
        <v>45380</v>
      </c>
      <c r="E729" s="45" t="s">
        <v>3236</v>
      </c>
      <c r="F729" s="46" t="s">
        <v>37</v>
      </c>
      <c r="G729" s="46" t="s">
        <v>931</v>
      </c>
      <c r="H729" s="46" t="s">
        <v>965</v>
      </c>
      <c r="I729" s="46" t="s">
        <v>526</v>
      </c>
      <c r="J729" s="46" t="s">
        <v>968</v>
      </c>
      <c r="K729" s="43">
        <v>12</v>
      </c>
      <c r="L729" s="43">
        <v>879</v>
      </c>
      <c r="M729" s="47">
        <v>1.3636363636363636E-2</v>
      </c>
      <c r="N729" s="47">
        <v>32.1</v>
      </c>
      <c r="O729" s="46" t="s">
        <v>910</v>
      </c>
      <c r="P729" s="43">
        <v>483</v>
      </c>
      <c r="Q729" s="43">
        <v>10</v>
      </c>
      <c r="R729" s="45" t="s">
        <v>4281</v>
      </c>
      <c r="S729" s="46" t="s">
        <v>3237</v>
      </c>
    </row>
    <row r="730" spans="1:19" ht="42">
      <c r="A730" s="43">
        <v>726</v>
      </c>
      <c r="B730" s="43">
        <v>695</v>
      </c>
      <c r="C730" s="43">
        <v>480</v>
      </c>
      <c r="D730" s="44">
        <v>45377</v>
      </c>
      <c r="E730" s="45" t="s">
        <v>3251</v>
      </c>
      <c r="F730" s="46" t="s">
        <v>37</v>
      </c>
      <c r="G730" s="46" t="s">
        <v>878</v>
      </c>
      <c r="H730" s="46" t="s">
        <v>965</v>
      </c>
      <c r="I730" s="46" t="s">
        <v>533</v>
      </c>
      <c r="J730" s="46" t="s">
        <v>977</v>
      </c>
      <c r="K730" s="43">
        <v>12</v>
      </c>
      <c r="L730" s="43">
        <v>882</v>
      </c>
      <c r="M730" s="47">
        <v>1.3590033975084938E-2</v>
      </c>
      <c r="N730" s="47">
        <v>32.1</v>
      </c>
      <c r="O730" s="46" t="s">
        <v>910</v>
      </c>
      <c r="P730" s="43">
        <v>26</v>
      </c>
      <c r="Q730" s="43">
        <v>20</v>
      </c>
      <c r="R730" s="45" t="s">
        <v>4275</v>
      </c>
      <c r="S730" s="46" t="s">
        <v>3252</v>
      </c>
    </row>
    <row r="731" spans="1:19" ht="42">
      <c r="A731" s="43">
        <v>727</v>
      </c>
      <c r="B731" s="43">
        <v>772</v>
      </c>
      <c r="C731" s="43">
        <v>749</v>
      </c>
      <c r="D731" s="44">
        <v>45805</v>
      </c>
      <c r="E731" s="45" t="s">
        <v>2421</v>
      </c>
      <c r="F731" s="46" t="s">
        <v>37</v>
      </c>
      <c r="G731" s="46" t="s">
        <v>882</v>
      </c>
      <c r="H731" s="46" t="s">
        <v>965</v>
      </c>
      <c r="I731" s="46" t="s">
        <v>530</v>
      </c>
      <c r="J731" s="46" t="s">
        <v>977</v>
      </c>
      <c r="K731" s="43">
        <v>10</v>
      </c>
      <c r="L731" s="43">
        <v>454</v>
      </c>
      <c r="M731" s="47">
        <v>2.197802197802198E-2</v>
      </c>
      <c r="N731" s="47">
        <v>32.1</v>
      </c>
      <c r="O731" s="46" t="s">
        <v>910</v>
      </c>
      <c r="P731" s="43">
        <v>547</v>
      </c>
      <c r="Q731" s="43">
        <v>20</v>
      </c>
      <c r="R731" s="45" t="s">
        <v>4278</v>
      </c>
      <c r="S731" s="46" t="s">
        <v>2422</v>
      </c>
    </row>
    <row r="732" spans="1:19" ht="42">
      <c r="A732" s="43">
        <v>728</v>
      </c>
      <c r="B732" s="43">
        <v>730</v>
      </c>
      <c r="C732" s="43">
        <v>663</v>
      </c>
      <c r="D732" s="44">
        <v>45621</v>
      </c>
      <c r="E732" s="45" t="s">
        <v>2780</v>
      </c>
      <c r="F732" s="46" t="s">
        <v>37</v>
      </c>
      <c r="G732" s="46" t="s">
        <v>885</v>
      </c>
      <c r="H732" s="46" t="s">
        <v>965</v>
      </c>
      <c r="I732" s="46" t="s">
        <v>522</v>
      </c>
      <c r="J732" s="46" t="s">
        <v>977</v>
      </c>
      <c r="K732" s="43">
        <v>11</v>
      </c>
      <c r="L732" s="43">
        <v>638</v>
      </c>
      <c r="M732" s="47">
        <v>1.7214397496087636E-2</v>
      </c>
      <c r="N732" s="47">
        <v>31.9</v>
      </c>
      <c r="O732" s="46" t="s">
        <v>910</v>
      </c>
      <c r="P732" s="43">
        <v>479</v>
      </c>
      <c r="Q732" s="43">
        <v>10</v>
      </c>
      <c r="R732" s="45" t="s">
        <v>4281</v>
      </c>
      <c r="S732" s="46" t="s">
        <v>2781</v>
      </c>
    </row>
    <row r="733" spans="1:19" ht="42">
      <c r="A733" s="43">
        <v>729</v>
      </c>
      <c r="B733" s="43">
        <v>660</v>
      </c>
      <c r="C733" s="43">
        <v>98</v>
      </c>
      <c r="D733" s="44">
        <v>44909</v>
      </c>
      <c r="E733" s="45" t="s">
        <v>3907</v>
      </c>
      <c r="F733" s="46" t="s">
        <v>37</v>
      </c>
      <c r="G733" s="46" t="s">
        <v>1038</v>
      </c>
      <c r="H733" s="46" t="s">
        <v>1005</v>
      </c>
      <c r="I733" s="46" t="s">
        <v>522</v>
      </c>
      <c r="J733" s="46" t="s">
        <v>968</v>
      </c>
      <c r="K733" s="43">
        <v>13</v>
      </c>
      <c r="L733" s="43">
        <v>1350</v>
      </c>
      <c r="M733" s="47">
        <v>9.6225018504811251E-3</v>
      </c>
      <c r="N733" s="47">
        <v>31.8</v>
      </c>
      <c r="O733" s="46" t="s">
        <v>910</v>
      </c>
      <c r="P733" s="43">
        <v>345</v>
      </c>
      <c r="Q733" s="43">
        <v>10</v>
      </c>
      <c r="R733" s="45" t="s">
        <v>4281</v>
      </c>
      <c r="S733" s="46" t="s">
        <v>3908</v>
      </c>
    </row>
    <row r="734" spans="1:19" ht="42">
      <c r="A734" s="43">
        <v>730</v>
      </c>
      <c r="B734" s="43">
        <v>696</v>
      </c>
      <c r="C734" s="43">
        <v>470</v>
      </c>
      <c r="D734" s="44">
        <v>45366</v>
      </c>
      <c r="E734" s="45" t="s">
        <v>3278</v>
      </c>
      <c r="F734" s="46" t="s">
        <v>37</v>
      </c>
      <c r="G734" s="46" t="s">
        <v>1038</v>
      </c>
      <c r="H734" s="46" t="s">
        <v>1038</v>
      </c>
      <c r="I734" s="46" t="s">
        <v>515</v>
      </c>
      <c r="J734" s="46" t="s">
        <v>977</v>
      </c>
      <c r="K734" s="43">
        <v>12</v>
      </c>
      <c r="L734" s="43">
        <v>893</v>
      </c>
      <c r="M734" s="47">
        <v>1.3422818791946308E-2</v>
      </c>
      <c r="N734" s="47">
        <v>31.8</v>
      </c>
      <c r="O734" s="46" t="s">
        <v>910</v>
      </c>
      <c r="P734" s="43">
        <v>15</v>
      </c>
      <c r="Q734" s="43">
        <v>10</v>
      </c>
      <c r="R734" s="45" t="s">
        <v>4281</v>
      </c>
      <c r="S734" s="46" t="s">
        <v>3279</v>
      </c>
    </row>
    <row r="735" spans="1:19" ht="42">
      <c r="A735" s="43">
        <v>731</v>
      </c>
      <c r="B735" s="43">
        <v>731</v>
      </c>
      <c r="C735" s="43">
        <v>1032</v>
      </c>
      <c r="D735" s="44">
        <v>45608</v>
      </c>
      <c r="E735" s="45" t="s">
        <v>2807</v>
      </c>
      <c r="F735" s="46" t="s">
        <v>382</v>
      </c>
      <c r="G735" s="46" t="s">
        <v>878</v>
      </c>
      <c r="H735" s="46" t="s">
        <v>965</v>
      </c>
      <c r="I735" s="46" t="s">
        <v>512</v>
      </c>
      <c r="J735" s="46" t="s">
        <v>977</v>
      </c>
      <c r="K735" s="43">
        <v>11</v>
      </c>
      <c r="L735" s="43">
        <v>651</v>
      </c>
      <c r="M735" s="47">
        <v>1.6871165644171779E-2</v>
      </c>
      <c r="N735" s="47">
        <v>31.7</v>
      </c>
      <c r="O735" s="46" t="s">
        <v>910</v>
      </c>
      <c r="P735" s="43">
        <v>12</v>
      </c>
      <c r="Q735" s="43">
        <v>20</v>
      </c>
      <c r="R735" s="45" t="s">
        <v>4275</v>
      </c>
      <c r="S735" s="46" t="s">
        <v>2808</v>
      </c>
    </row>
    <row r="736" spans="1:19" ht="42">
      <c r="A736" s="43">
        <v>732</v>
      </c>
      <c r="B736" s="43">
        <v>732</v>
      </c>
      <c r="C736" s="43">
        <v>652</v>
      </c>
      <c r="D736" s="44">
        <v>45607</v>
      </c>
      <c r="E736" s="45" t="s">
        <v>2813</v>
      </c>
      <c r="F736" s="46" t="s">
        <v>37</v>
      </c>
      <c r="G736" s="46" t="s">
        <v>891</v>
      </c>
      <c r="H736" s="46" t="s">
        <v>965</v>
      </c>
      <c r="I736" s="46" t="s">
        <v>512</v>
      </c>
      <c r="J736" s="46" t="s">
        <v>968</v>
      </c>
      <c r="K736" s="43">
        <v>11</v>
      </c>
      <c r="L736" s="43">
        <v>652</v>
      </c>
      <c r="M736" s="47">
        <v>1.6845329249617153E-2</v>
      </c>
      <c r="N736" s="47">
        <v>31.7</v>
      </c>
      <c r="O736" s="46" t="s">
        <v>910</v>
      </c>
      <c r="P736" s="43">
        <v>561</v>
      </c>
      <c r="Q736" s="43">
        <v>20</v>
      </c>
      <c r="R736" s="45" t="s">
        <v>4278</v>
      </c>
      <c r="S736" s="46" t="s">
        <v>2814</v>
      </c>
    </row>
    <row r="737" spans="1:19" ht="31.5">
      <c r="A737" s="43">
        <v>733</v>
      </c>
      <c r="B737" s="43">
        <v>697</v>
      </c>
      <c r="C737" s="43">
        <v>434</v>
      </c>
      <c r="D737" s="44">
        <v>45336</v>
      </c>
      <c r="E737" s="45" t="s">
        <v>3336</v>
      </c>
      <c r="F737" s="46" t="s">
        <v>37</v>
      </c>
      <c r="G737" s="46" t="s">
        <v>878</v>
      </c>
      <c r="H737" s="46" t="s">
        <v>965</v>
      </c>
      <c r="I737" s="46" t="s">
        <v>526</v>
      </c>
      <c r="J737" s="46" t="s">
        <v>977</v>
      </c>
      <c r="K737" s="43">
        <v>12</v>
      </c>
      <c r="L737" s="43">
        <v>923</v>
      </c>
      <c r="M737" s="47">
        <v>1.2987012987012988E-2</v>
      </c>
      <c r="N737" s="47">
        <v>31.6</v>
      </c>
      <c r="O737" s="46" t="s">
        <v>910</v>
      </c>
      <c r="P737" s="43">
        <v>1579</v>
      </c>
      <c r="Q737" s="43">
        <v>30</v>
      </c>
      <c r="R737" s="45" t="s">
        <v>4283</v>
      </c>
      <c r="S737" s="46" t="s">
        <v>3337</v>
      </c>
    </row>
    <row r="738" spans="1:19" ht="42">
      <c r="A738" s="43">
        <v>734</v>
      </c>
      <c r="B738" s="43">
        <v>773</v>
      </c>
      <c r="C738" s="43">
        <v>906</v>
      </c>
      <c r="D738" s="44">
        <v>45788</v>
      </c>
      <c r="E738" s="45" t="s">
        <v>2436</v>
      </c>
      <c r="F738" s="46" t="s">
        <v>371</v>
      </c>
      <c r="G738" s="46" t="s">
        <v>904</v>
      </c>
      <c r="H738" s="46" t="s">
        <v>965</v>
      </c>
      <c r="I738" s="46" t="s">
        <v>515</v>
      </c>
      <c r="J738" s="46" t="s">
        <v>977</v>
      </c>
      <c r="K738" s="43">
        <v>10</v>
      </c>
      <c r="L738" s="43">
        <v>471</v>
      </c>
      <c r="M738" s="47">
        <v>2.1186440677966101E-2</v>
      </c>
      <c r="N738" s="47">
        <v>31.6</v>
      </c>
      <c r="O738" s="46" t="s">
        <v>910</v>
      </c>
      <c r="P738" s="43">
        <v>478</v>
      </c>
      <c r="Q738" s="43">
        <v>10</v>
      </c>
      <c r="R738" s="45" t="s">
        <v>4281</v>
      </c>
      <c r="S738" s="46" t="s">
        <v>2437</v>
      </c>
    </row>
    <row r="739" spans="1:19" ht="42">
      <c r="A739" s="43">
        <v>735</v>
      </c>
      <c r="B739" s="43">
        <v>800</v>
      </c>
      <c r="C739" s="43">
        <v>968</v>
      </c>
      <c r="D739" s="44">
        <v>45903</v>
      </c>
      <c r="E739" s="45" t="s">
        <v>2189</v>
      </c>
      <c r="F739" s="46" t="s">
        <v>371</v>
      </c>
      <c r="G739" s="46" t="s">
        <v>1038</v>
      </c>
      <c r="H739" s="46" t="s">
        <v>1038</v>
      </c>
      <c r="I739" s="46" t="s">
        <v>519</v>
      </c>
      <c r="J739" s="46" t="s">
        <v>977</v>
      </c>
      <c r="K739" s="43">
        <v>9</v>
      </c>
      <c r="L739" s="43">
        <v>356</v>
      </c>
      <c r="M739" s="47">
        <v>2.5210084033613446E-2</v>
      </c>
      <c r="N739" s="47">
        <v>31.5</v>
      </c>
      <c r="O739" s="46" t="s">
        <v>910</v>
      </c>
      <c r="P739" s="43">
        <v>530</v>
      </c>
      <c r="Q739" s="43">
        <v>20</v>
      </c>
      <c r="R739" s="45" t="s">
        <v>4278</v>
      </c>
      <c r="S739" s="46" t="s">
        <v>2190</v>
      </c>
    </row>
    <row r="740" spans="1:19" ht="42">
      <c r="A740" s="43">
        <v>736</v>
      </c>
      <c r="B740" s="43">
        <v>698</v>
      </c>
      <c r="C740" s="43">
        <v>404</v>
      </c>
      <c r="D740" s="44">
        <v>45317</v>
      </c>
      <c r="E740" s="45" t="s">
        <v>3385</v>
      </c>
      <c r="F740" s="46" t="s">
        <v>37</v>
      </c>
      <c r="G740" s="46" t="s">
        <v>1038</v>
      </c>
      <c r="H740" s="46" t="s">
        <v>1038</v>
      </c>
      <c r="I740" s="46" t="s">
        <v>519</v>
      </c>
      <c r="J740" s="46" t="s">
        <v>977</v>
      </c>
      <c r="K740" s="43">
        <v>12</v>
      </c>
      <c r="L740" s="43">
        <v>942</v>
      </c>
      <c r="M740" s="47">
        <v>1.2725344644750796E-2</v>
      </c>
      <c r="N740" s="47">
        <v>31.4</v>
      </c>
      <c r="O740" s="46" t="s">
        <v>910</v>
      </c>
      <c r="P740" s="43">
        <v>73</v>
      </c>
      <c r="Q740" s="43">
        <v>20</v>
      </c>
      <c r="R740" s="45" t="s">
        <v>4275</v>
      </c>
      <c r="S740" s="46" t="s">
        <v>3386</v>
      </c>
    </row>
    <row r="741" spans="1:19" ht="42">
      <c r="A741" s="43">
        <v>737</v>
      </c>
      <c r="B741" s="43">
        <v>774</v>
      </c>
      <c r="C741" s="43">
        <v>744</v>
      </c>
      <c r="D741" s="44">
        <v>45766</v>
      </c>
      <c r="E741" s="45" t="s">
        <v>2467</v>
      </c>
      <c r="F741" s="46" t="s">
        <v>37</v>
      </c>
      <c r="G741" s="46" t="s">
        <v>891</v>
      </c>
      <c r="H741" s="46" t="s">
        <v>965</v>
      </c>
      <c r="I741" s="46" t="s">
        <v>512</v>
      </c>
      <c r="J741" s="46" t="s">
        <v>968</v>
      </c>
      <c r="K741" s="43">
        <v>10</v>
      </c>
      <c r="L741" s="43">
        <v>493</v>
      </c>
      <c r="M741" s="47">
        <v>2.0242914979757085E-2</v>
      </c>
      <c r="N741" s="47">
        <v>31.3</v>
      </c>
      <c r="O741" s="46" t="s">
        <v>910</v>
      </c>
      <c r="P741" s="43">
        <v>375</v>
      </c>
      <c r="Q741" s="43">
        <v>20</v>
      </c>
      <c r="R741" s="45" t="s">
        <v>4275</v>
      </c>
      <c r="S741" s="46" t="s">
        <v>2468</v>
      </c>
    </row>
    <row r="742" spans="1:19" ht="42">
      <c r="A742" s="43">
        <v>738</v>
      </c>
      <c r="B742" s="43">
        <v>733</v>
      </c>
      <c r="C742" s="43">
        <v>637</v>
      </c>
      <c r="D742" s="44">
        <v>45579</v>
      </c>
      <c r="E742" s="45" t="s">
        <v>2850</v>
      </c>
      <c r="F742" s="46" t="s">
        <v>37</v>
      </c>
      <c r="G742" s="46" t="s">
        <v>1038</v>
      </c>
      <c r="H742" s="46" t="s">
        <v>1134</v>
      </c>
      <c r="I742" s="46" t="s">
        <v>512</v>
      </c>
      <c r="J742" s="46" t="s">
        <v>977</v>
      </c>
      <c r="K742" s="43">
        <v>11</v>
      </c>
      <c r="L742" s="43">
        <v>680</v>
      </c>
      <c r="M742" s="47">
        <v>1.6152716593245228E-2</v>
      </c>
      <c r="N742" s="47">
        <v>31.1</v>
      </c>
      <c r="O742" s="46" t="s">
        <v>910</v>
      </c>
      <c r="P742" s="43">
        <v>125</v>
      </c>
      <c r="Q742" s="43">
        <v>10</v>
      </c>
      <c r="R742" s="45" t="s">
        <v>4281</v>
      </c>
      <c r="S742" s="46" t="s">
        <v>2851</v>
      </c>
    </row>
    <row r="743" spans="1:19" ht="42">
      <c r="A743" s="43">
        <v>739</v>
      </c>
      <c r="B743" s="43">
        <v>734</v>
      </c>
      <c r="C743" s="43">
        <v>635</v>
      </c>
      <c r="D743" s="44">
        <v>45579</v>
      </c>
      <c r="E743" s="45" t="s">
        <v>2856</v>
      </c>
      <c r="F743" s="46" t="s">
        <v>37</v>
      </c>
      <c r="G743" s="46" t="s">
        <v>1038</v>
      </c>
      <c r="H743" s="46" t="s">
        <v>1038</v>
      </c>
      <c r="I743" s="46" t="s">
        <v>512</v>
      </c>
      <c r="J743" s="46" t="s">
        <v>977</v>
      </c>
      <c r="K743" s="43">
        <v>11</v>
      </c>
      <c r="L743" s="43">
        <v>680</v>
      </c>
      <c r="M743" s="47">
        <v>1.6152716593245228E-2</v>
      </c>
      <c r="N743" s="47">
        <v>31.1</v>
      </c>
      <c r="O743" s="46" t="s">
        <v>910</v>
      </c>
      <c r="P743" s="43">
        <v>143</v>
      </c>
      <c r="Q743" s="43">
        <v>20</v>
      </c>
      <c r="R743" s="45" t="s">
        <v>4275</v>
      </c>
      <c r="S743" s="46" t="s">
        <v>2857</v>
      </c>
    </row>
    <row r="744" spans="1:19" ht="42">
      <c r="A744" s="43">
        <v>740</v>
      </c>
      <c r="B744" s="43">
        <v>616</v>
      </c>
      <c r="C744" s="43">
        <v>46</v>
      </c>
      <c r="D744" s="44">
        <v>44060</v>
      </c>
      <c r="E744" s="45" t="s">
        <v>4150</v>
      </c>
      <c r="F744" s="46" t="s">
        <v>37</v>
      </c>
      <c r="G744" s="46" t="s">
        <v>1038</v>
      </c>
      <c r="H744" s="46" t="s">
        <v>1484</v>
      </c>
      <c r="I744" s="46" t="s">
        <v>515</v>
      </c>
      <c r="J744" s="46" t="s">
        <v>977</v>
      </c>
      <c r="K744" s="43">
        <v>14</v>
      </c>
      <c r="L744" s="43">
        <v>2199</v>
      </c>
      <c r="M744" s="47">
        <v>6.3636363636363638E-3</v>
      </c>
      <c r="N744" s="47">
        <v>30.9</v>
      </c>
      <c r="O744" s="46" t="s">
        <v>910</v>
      </c>
      <c r="P744" s="43">
        <v>498</v>
      </c>
      <c r="Q744" s="43">
        <v>20</v>
      </c>
      <c r="R744" s="45" t="s">
        <v>4275</v>
      </c>
      <c r="S744" s="46" t="s">
        <v>4151</v>
      </c>
    </row>
    <row r="745" spans="1:19" ht="42">
      <c r="A745" s="43">
        <v>741</v>
      </c>
      <c r="B745" s="43">
        <v>661</v>
      </c>
      <c r="C745" s="43">
        <v>79</v>
      </c>
      <c r="D745" s="44">
        <v>44737</v>
      </c>
      <c r="E745" s="45" t="s">
        <v>3967</v>
      </c>
      <c r="F745" s="46" t="s">
        <v>37</v>
      </c>
      <c r="G745" s="46" t="s">
        <v>887</v>
      </c>
      <c r="H745" s="46" t="s">
        <v>965</v>
      </c>
      <c r="I745" s="46" t="s">
        <v>526</v>
      </c>
      <c r="J745" s="46" t="s">
        <v>977</v>
      </c>
      <c r="K745" s="43">
        <v>13</v>
      </c>
      <c r="L745" s="43">
        <v>1522</v>
      </c>
      <c r="M745" s="47">
        <v>8.5357846355876565E-3</v>
      </c>
      <c r="N745" s="47">
        <v>30.8</v>
      </c>
      <c r="O745" s="46" t="s">
        <v>910</v>
      </c>
      <c r="P745" s="43">
        <v>440</v>
      </c>
      <c r="Q745" s="43">
        <v>10</v>
      </c>
      <c r="R745" s="45" t="s">
        <v>4281</v>
      </c>
      <c r="S745" s="46" t="s">
        <v>3968</v>
      </c>
    </row>
    <row r="746" spans="1:19" ht="42">
      <c r="A746" s="43">
        <v>742</v>
      </c>
      <c r="B746" s="43">
        <v>735</v>
      </c>
      <c r="C746" s="43">
        <v>614</v>
      </c>
      <c r="D746" s="44">
        <v>45563</v>
      </c>
      <c r="E746" s="45" t="s">
        <v>2919</v>
      </c>
      <c r="F746" s="46" t="s">
        <v>37</v>
      </c>
      <c r="G746" s="46" t="s">
        <v>882</v>
      </c>
      <c r="H746" s="46" t="s">
        <v>965</v>
      </c>
      <c r="I746" s="46" t="s">
        <v>515</v>
      </c>
      <c r="J746" s="46" t="s">
        <v>977</v>
      </c>
      <c r="K746" s="43">
        <v>11</v>
      </c>
      <c r="L746" s="43">
        <v>696</v>
      </c>
      <c r="M746" s="47">
        <v>1.5781922525107604E-2</v>
      </c>
      <c r="N746" s="47">
        <v>30.8</v>
      </c>
      <c r="O746" s="46" t="s">
        <v>910</v>
      </c>
      <c r="P746" s="43">
        <v>0</v>
      </c>
      <c r="Q746" s="43">
        <v>10</v>
      </c>
      <c r="R746" s="45" t="s">
        <v>4281</v>
      </c>
      <c r="S746" s="46" t="s">
        <v>2920</v>
      </c>
    </row>
    <row r="747" spans="1:19" ht="42">
      <c r="A747" s="43">
        <v>743</v>
      </c>
      <c r="B747" s="43">
        <v>736</v>
      </c>
      <c r="C747" s="43">
        <v>1018</v>
      </c>
      <c r="D747" s="44">
        <v>45563</v>
      </c>
      <c r="E747" s="45" t="s">
        <v>2925</v>
      </c>
      <c r="F747" s="46" t="s">
        <v>382</v>
      </c>
      <c r="G747" s="46" t="s">
        <v>878</v>
      </c>
      <c r="H747" s="46" t="s">
        <v>965</v>
      </c>
      <c r="I747" s="46" t="s">
        <v>515</v>
      </c>
      <c r="J747" s="46" t="s">
        <v>977</v>
      </c>
      <c r="K747" s="43">
        <v>11</v>
      </c>
      <c r="L747" s="43">
        <v>696</v>
      </c>
      <c r="M747" s="47">
        <v>1.5781922525107604E-2</v>
      </c>
      <c r="N747" s="47">
        <v>30.8</v>
      </c>
      <c r="O747" s="46" t="s">
        <v>910</v>
      </c>
      <c r="P747" s="43">
        <v>6</v>
      </c>
      <c r="Q747" s="43">
        <v>10</v>
      </c>
      <c r="R747" s="45" t="s">
        <v>4281</v>
      </c>
      <c r="S747" s="46" t="s">
        <v>2926</v>
      </c>
    </row>
    <row r="748" spans="1:19" ht="42">
      <c r="A748" s="43">
        <v>744</v>
      </c>
      <c r="B748" s="43">
        <v>617</v>
      </c>
      <c r="C748" s="43">
        <v>24</v>
      </c>
      <c r="D748" s="44">
        <v>43918</v>
      </c>
      <c r="E748" s="45" t="s">
        <v>4165</v>
      </c>
      <c r="F748" s="46" t="s">
        <v>37</v>
      </c>
      <c r="G748" s="46" t="s">
        <v>878</v>
      </c>
      <c r="H748" s="46" t="s">
        <v>965</v>
      </c>
      <c r="I748" s="46" t="s">
        <v>526</v>
      </c>
      <c r="J748" s="46" t="s">
        <v>977</v>
      </c>
      <c r="K748" s="43">
        <v>14</v>
      </c>
      <c r="L748" s="43">
        <v>2341</v>
      </c>
      <c r="M748" s="47">
        <v>5.9777967549103327E-3</v>
      </c>
      <c r="N748" s="47">
        <v>30.6</v>
      </c>
      <c r="O748" s="46" t="s">
        <v>910</v>
      </c>
      <c r="P748" s="43">
        <v>208</v>
      </c>
      <c r="Q748" s="43">
        <v>20</v>
      </c>
      <c r="R748" s="45" t="s">
        <v>4275</v>
      </c>
      <c r="S748" s="46" t="s">
        <v>4166</v>
      </c>
    </row>
    <row r="749" spans="1:19" ht="42">
      <c r="A749" s="43">
        <v>745</v>
      </c>
      <c r="B749" s="43">
        <v>662</v>
      </c>
      <c r="C749" s="43">
        <v>15</v>
      </c>
      <c r="D749" s="44">
        <v>44667</v>
      </c>
      <c r="E749" s="45" t="s">
        <v>4056</v>
      </c>
      <c r="F749" s="46" t="s">
        <v>37</v>
      </c>
      <c r="G749" s="46" t="s">
        <v>1038</v>
      </c>
      <c r="H749" s="46" t="s">
        <v>1038</v>
      </c>
      <c r="I749" s="46" t="s">
        <v>526</v>
      </c>
      <c r="J749" s="46" t="s">
        <v>968</v>
      </c>
      <c r="K749" s="43">
        <v>13</v>
      </c>
      <c r="L749" s="43">
        <v>1592</v>
      </c>
      <c r="M749" s="47">
        <v>8.1607030759573134E-3</v>
      </c>
      <c r="N749" s="47">
        <v>30.5</v>
      </c>
      <c r="O749" s="46" t="s">
        <v>910</v>
      </c>
      <c r="P749" s="43">
        <v>291</v>
      </c>
      <c r="Q749" s="43">
        <v>20</v>
      </c>
      <c r="R749" s="45" t="s">
        <v>4275</v>
      </c>
      <c r="S749" s="46" t="s">
        <v>4057</v>
      </c>
    </row>
    <row r="750" spans="1:19" ht="42">
      <c r="A750" s="43">
        <v>746</v>
      </c>
      <c r="B750" s="43">
        <v>663</v>
      </c>
      <c r="C750" s="43">
        <v>16</v>
      </c>
      <c r="D750" s="44">
        <v>44589</v>
      </c>
      <c r="E750" s="45" t="s">
        <v>4102</v>
      </c>
      <c r="F750" s="46" t="s">
        <v>37</v>
      </c>
      <c r="G750" s="46" t="s">
        <v>878</v>
      </c>
      <c r="H750" s="46" t="s">
        <v>965</v>
      </c>
      <c r="I750" s="46" t="s">
        <v>512</v>
      </c>
      <c r="J750" s="46" t="s">
        <v>977</v>
      </c>
      <c r="K750" s="43">
        <v>13</v>
      </c>
      <c r="L750" s="43">
        <v>1670</v>
      </c>
      <c r="M750" s="47">
        <v>7.7797725912627166E-3</v>
      </c>
      <c r="N750" s="47">
        <v>30.2</v>
      </c>
      <c r="O750" s="46" t="s">
        <v>910</v>
      </c>
      <c r="P750" s="43">
        <v>5</v>
      </c>
      <c r="Q750" s="43">
        <v>20</v>
      </c>
      <c r="R750" s="45" t="s">
        <v>4275</v>
      </c>
      <c r="S750" s="46" t="s">
        <v>4103</v>
      </c>
    </row>
    <row r="751" spans="1:19" ht="42">
      <c r="A751" s="43">
        <v>747</v>
      </c>
      <c r="B751" s="43">
        <v>618</v>
      </c>
      <c r="C751" s="43">
        <v>104</v>
      </c>
      <c r="D751" s="44">
        <v>43784</v>
      </c>
      <c r="E751" s="45" t="s">
        <v>4174</v>
      </c>
      <c r="F751" s="46" t="s">
        <v>37</v>
      </c>
      <c r="G751" s="46" t="s">
        <v>1038</v>
      </c>
      <c r="H751" s="46" t="s">
        <v>1038</v>
      </c>
      <c r="I751" s="46" t="s">
        <v>512</v>
      </c>
      <c r="J751" s="46" t="s">
        <v>977</v>
      </c>
      <c r="K751" s="43">
        <v>14</v>
      </c>
      <c r="L751" s="43">
        <v>2475</v>
      </c>
      <c r="M751" s="47">
        <v>5.6542810985460417E-3</v>
      </c>
      <c r="N751" s="47">
        <v>30.1</v>
      </c>
      <c r="O751" s="46" t="s">
        <v>910</v>
      </c>
      <c r="P751" s="43">
        <v>336</v>
      </c>
      <c r="Q751" s="43">
        <v>10</v>
      </c>
      <c r="R751" s="45" t="s">
        <v>4281</v>
      </c>
      <c r="S751" s="46" t="s">
        <v>4175</v>
      </c>
    </row>
    <row r="752" spans="1:19" ht="42">
      <c r="A752" s="43">
        <v>748</v>
      </c>
      <c r="B752" s="43">
        <v>737</v>
      </c>
      <c r="C752" s="43">
        <v>575</v>
      </c>
      <c r="D752" s="44">
        <v>45518</v>
      </c>
      <c r="E752" s="45" t="s">
        <v>3042</v>
      </c>
      <c r="F752" s="46" t="s">
        <v>37</v>
      </c>
      <c r="G752" s="46" t="s">
        <v>905</v>
      </c>
      <c r="H752" s="46" t="s">
        <v>965</v>
      </c>
      <c r="I752" s="46" t="s">
        <v>512</v>
      </c>
      <c r="J752" s="46" t="s">
        <v>977</v>
      </c>
      <c r="K752" s="43">
        <v>11</v>
      </c>
      <c r="L752" s="43">
        <v>741</v>
      </c>
      <c r="M752" s="47">
        <v>1.4824797843665768E-2</v>
      </c>
      <c r="N752" s="47">
        <v>30</v>
      </c>
      <c r="O752" s="46" t="s">
        <v>910</v>
      </c>
      <c r="P752" s="43">
        <v>425</v>
      </c>
      <c r="Q752" s="43">
        <v>20</v>
      </c>
      <c r="R752" s="45" t="s">
        <v>4275</v>
      </c>
      <c r="S752" s="46" t="s">
        <v>3043</v>
      </c>
    </row>
    <row r="753" spans="1:19" ht="42">
      <c r="A753" s="43">
        <v>749</v>
      </c>
      <c r="B753" s="43">
        <v>699</v>
      </c>
      <c r="C753" s="43">
        <v>217</v>
      </c>
      <c r="D753" s="44">
        <v>45112</v>
      </c>
      <c r="E753" s="45" t="s">
        <v>3726</v>
      </c>
      <c r="F753" s="46" t="s">
        <v>37</v>
      </c>
      <c r="G753" s="46" t="s">
        <v>882</v>
      </c>
      <c r="H753" s="46" t="s">
        <v>965</v>
      </c>
      <c r="I753" s="46" t="s">
        <v>512</v>
      </c>
      <c r="J753" s="46" t="s">
        <v>977</v>
      </c>
      <c r="K753" s="43">
        <v>12</v>
      </c>
      <c r="L753" s="43">
        <v>1147</v>
      </c>
      <c r="M753" s="47">
        <v>1.0452961672473868E-2</v>
      </c>
      <c r="N753" s="47">
        <v>29.9</v>
      </c>
      <c r="O753" s="46" t="s">
        <v>910</v>
      </c>
      <c r="P753" s="43">
        <v>45</v>
      </c>
      <c r="Q753" s="43">
        <v>20</v>
      </c>
      <c r="R753" s="45" t="s">
        <v>4275</v>
      </c>
      <c r="S753" s="46" t="s">
        <v>3727</v>
      </c>
    </row>
    <row r="754" spans="1:19" ht="31.5">
      <c r="A754" s="43">
        <v>750</v>
      </c>
      <c r="B754" s="43">
        <v>700</v>
      </c>
      <c r="C754" s="43">
        <v>199</v>
      </c>
      <c r="D754" s="44">
        <v>45089</v>
      </c>
      <c r="E754" s="45" t="s">
        <v>3759</v>
      </c>
      <c r="F754" s="46" t="s">
        <v>37</v>
      </c>
      <c r="G754" s="46" t="s">
        <v>916</v>
      </c>
      <c r="H754" s="46" t="s">
        <v>965</v>
      </c>
      <c r="I754" s="46" t="s">
        <v>515</v>
      </c>
      <c r="J754" s="46" t="s">
        <v>977</v>
      </c>
      <c r="K754" s="43">
        <v>12</v>
      </c>
      <c r="L754" s="43">
        <v>1170</v>
      </c>
      <c r="M754" s="47">
        <v>1.0247651579846286E-2</v>
      </c>
      <c r="N754" s="47">
        <v>29.8</v>
      </c>
      <c r="O754" s="46" t="s">
        <v>910</v>
      </c>
      <c r="P754" s="43">
        <v>593</v>
      </c>
      <c r="Q754" s="43">
        <v>30</v>
      </c>
      <c r="R754" s="45" t="s">
        <v>4283</v>
      </c>
      <c r="S754" s="46" t="s">
        <v>3760</v>
      </c>
    </row>
    <row r="755" spans="1:19" ht="31.5">
      <c r="A755" s="43">
        <v>751</v>
      </c>
      <c r="B755" s="43">
        <v>930</v>
      </c>
      <c r="C755" s="43">
        <v>1255</v>
      </c>
      <c r="D755" s="44">
        <v>46149</v>
      </c>
      <c r="E755" s="45" t="s">
        <v>1644</v>
      </c>
      <c r="F755" s="46" t="s">
        <v>37</v>
      </c>
      <c r="G755" s="46" t="s">
        <v>887</v>
      </c>
      <c r="H755" s="46" t="s">
        <v>965</v>
      </c>
      <c r="I755" s="46" t="s">
        <v>512</v>
      </c>
      <c r="J755" s="46" t="s">
        <v>977</v>
      </c>
      <c r="K755" s="43">
        <v>5</v>
      </c>
      <c r="L755" s="43">
        <v>110</v>
      </c>
      <c r="M755" s="47">
        <v>4.5045045045045043E-2</v>
      </c>
      <c r="N755" s="47">
        <v>29.7</v>
      </c>
      <c r="O755" s="46" t="s">
        <v>910</v>
      </c>
      <c r="P755" s="43">
        <v>235</v>
      </c>
      <c r="Q755" s="43">
        <v>30</v>
      </c>
      <c r="R755" s="45" t="s">
        <v>4279</v>
      </c>
      <c r="S755" s="46" t="s">
        <v>1645</v>
      </c>
    </row>
    <row r="756" spans="1:19" ht="42">
      <c r="A756" s="43">
        <v>752</v>
      </c>
      <c r="B756" s="43">
        <v>738</v>
      </c>
      <c r="C756" s="43">
        <v>545</v>
      </c>
      <c r="D756" s="44">
        <v>45466</v>
      </c>
      <c r="E756" s="45" t="s">
        <v>3096</v>
      </c>
      <c r="F756" s="46" t="s">
        <v>37</v>
      </c>
      <c r="G756" s="46" t="s">
        <v>1038</v>
      </c>
      <c r="H756" s="46" t="s">
        <v>1038</v>
      </c>
      <c r="I756" s="46" t="s">
        <v>512</v>
      </c>
      <c r="J756" s="46" t="s">
        <v>968</v>
      </c>
      <c r="K756" s="43">
        <v>11</v>
      </c>
      <c r="L756" s="43">
        <v>793</v>
      </c>
      <c r="M756" s="47">
        <v>1.3853904282115869E-2</v>
      </c>
      <c r="N756" s="47">
        <v>29.5</v>
      </c>
      <c r="O756" s="46" t="s">
        <v>910</v>
      </c>
      <c r="P756" s="43">
        <v>267</v>
      </c>
      <c r="Q756" s="43">
        <v>10</v>
      </c>
      <c r="R756" s="45" t="s">
        <v>4281</v>
      </c>
      <c r="S756" s="46" t="s">
        <v>3097</v>
      </c>
    </row>
    <row r="757" spans="1:19" ht="42">
      <c r="A757" s="43">
        <v>753</v>
      </c>
      <c r="B757" s="43">
        <v>664</v>
      </c>
      <c r="C757" s="43">
        <v>314</v>
      </c>
      <c r="D757" s="44">
        <v>44465</v>
      </c>
      <c r="E757" s="45" t="s">
        <v>4144</v>
      </c>
      <c r="F757" s="46" t="s">
        <v>37</v>
      </c>
      <c r="G757" s="46" t="s">
        <v>1038</v>
      </c>
      <c r="H757" s="46" t="s">
        <v>1038</v>
      </c>
      <c r="I757" s="46" t="s">
        <v>515</v>
      </c>
      <c r="J757" s="46" t="s">
        <v>977</v>
      </c>
      <c r="K757" s="43">
        <v>13</v>
      </c>
      <c r="L757" s="43">
        <v>1794</v>
      </c>
      <c r="M757" s="47">
        <v>7.2423398328690805E-3</v>
      </c>
      <c r="N757" s="47">
        <v>29.4</v>
      </c>
      <c r="O757" s="46" t="s">
        <v>910</v>
      </c>
      <c r="P757" s="43">
        <v>174</v>
      </c>
      <c r="Q757" s="43">
        <v>20</v>
      </c>
      <c r="R757" s="45" t="s">
        <v>4275</v>
      </c>
      <c r="S757" s="46" t="s">
        <v>4145</v>
      </c>
    </row>
    <row r="758" spans="1:19" ht="42">
      <c r="A758" s="43">
        <v>754</v>
      </c>
      <c r="B758" s="43">
        <v>739</v>
      </c>
      <c r="C758" s="43">
        <v>536</v>
      </c>
      <c r="D758" s="44">
        <v>45458</v>
      </c>
      <c r="E758" s="45" t="s">
        <v>3114</v>
      </c>
      <c r="F758" s="46" t="s">
        <v>37</v>
      </c>
      <c r="G758" s="46" t="s">
        <v>1038</v>
      </c>
      <c r="H758" s="46" t="s">
        <v>1038</v>
      </c>
      <c r="I758" s="46" t="s">
        <v>519</v>
      </c>
      <c r="J758" s="46" t="s">
        <v>977</v>
      </c>
      <c r="K758" s="43">
        <v>11</v>
      </c>
      <c r="L758" s="43">
        <v>801</v>
      </c>
      <c r="M758" s="47">
        <v>1.3715710723192019E-2</v>
      </c>
      <c r="N758" s="47">
        <v>29.4</v>
      </c>
      <c r="O758" s="46" t="s">
        <v>910</v>
      </c>
      <c r="P758" s="43">
        <v>180</v>
      </c>
      <c r="Q758" s="43">
        <v>20</v>
      </c>
      <c r="R758" s="45" t="s">
        <v>4275</v>
      </c>
      <c r="S758" s="46" t="s">
        <v>3115</v>
      </c>
    </row>
    <row r="759" spans="1:19" ht="31.5">
      <c r="A759" s="43">
        <v>755</v>
      </c>
      <c r="B759" s="43">
        <v>903</v>
      </c>
      <c r="C759" s="43">
        <v>1187</v>
      </c>
      <c r="D759" s="44">
        <v>46102</v>
      </c>
      <c r="E759" s="45" t="s">
        <v>1758</v>
      </c>
      <c r="F759" s="46" t="s">
        <v>37</v>
      </c>
      <c r="G759" s="46" t="s">
        <v>919</v>
      </c>
      <c r="H759" s="46" t="s">
        <v>965</v>
      </c>
      <c r="I759" s="46" t="s">
        <v>519</v>
      </c>
      <c r="J759" s="46" t="s">
        <v>968</v>
      </c>
      <c r="K759" s="43">
        <v>6</v>
      </c>
      <c r="L759" s="43">
        <v>157</v>
      </c>
      <c r="M759" s="47">
        <v>3.7974683544303799E-2</v>
      </c>
      <c r="N759" s="47">
        <v>29.4</v>
      </c>
      <c r="O759" s="46" t="s">
        <v>910</v>
      </c>
      <c r="P759" s="43">
        <v>374</v>
      </c>
      <c r="Q759" s="43">
        <v>30</v>
      </c>
      <c r="R759" s="45" t="s">
        <v>4279</v>
      </c>
      <c r="S759" s="46" t="s">
        <v>1759</v>
      </c>
    </row>
    <row r="760" spans="1:19" ht="42">
      <c r="A760" s="43">
        <v>756</v>
      </c>
      <c r="B760" s="43">
        <v>775</v>
      </c>
      <c r="C760" s="43">
        <v>875</v>
      </c>
      <c r="D760" s="44">
        <v>45672</v>
      </c>
      <c r="E760" s="45" t="s">
        <v>2588</v>
      </c>
      <c r="F760" s="46" t="s">
        <v>371</v>
      </c>
      <c r="G760" s="46" t="s">
        <v>885</v>
      </c>
      <c r="H760" s="46" t="s">
        <v>965</v>
      </c>
      <c r="I760" s="46" t="s">
        <v>519</v>
      </c>
      <c r="J760" s="46" t="s">
        <v>977</v>
      </c>
      <c r="K760" s="43">
        <v>10</v>
      </c>
      <c r="L760" s="43">
        <v>587</v>
      </c>
      <c r="M760" s="47">
        <v>1.7006802721088437E-2</v>
      </c>
      <c r="N760" s="47">
        <v>29.3</v>
      </c>
      <c r="O760" s="46" t="s">
        <v>910</v>
      </c>
      <c r="P760" s="43">
        <v>646</v>
      </c>
      <c r="Q760" s="43">
        <v>20</v>
      </c>
      <c r="R760" s="45" t="s">
        <v>4278</v>
      </c>
      <c r="S760" s="46" t="s">
        <v>2589</v>
      </c>
    </row>
    <row r="761" spans="1:19" ht="31.5">
      <c r="A761" s="43">
        <v>757</v>
      </c>
      <c r="B761" s="43">
        <v>776</v>
      </c>
      <c r="C761" s="43">
        <v>688</v>
      </c>
      <c r="D761" s="44">
        <v>45654</v>
      </c>
      <c r="E761" s="45" t="s">
        <v>2715</v>
      </c>
      <c r="F761" s="46" t="s">
        <v>37</v>
      </c>
      <c r="G761" s="46" t="s">
        <v>1038</v>
      </c>
      <c r="H761" s="46" t="s">
        <v>1484</v>
      </c>
      <c r="I761" s="46" t="s">
        <v>515</v>
      </c>
      <c r="J761" s="46" t="s">
        <v>968</v>
      </c>
      <c r="K761" s="43">
        <v>10</v>
      </c>
      <c r="L761" s="43">
        <v>605</v>
      </c>
      <c r="M761" s="47">
        <v>1.65016501650165E-2</v>
      </c>
      <c r="N761" s="47">
        <v>29</v>
      </c>
      <c r="O761" s="46" t="s">
        <v>910</v>
      </c>
      <c r="P761" s="43">
        <v>569</v>
      </c>
      <c r="Q761" s="43">
        <v>30</v>
      </c>
      <c r="R761" s="45" t="s">
        <v>4283</v>
      </c>
      <c r="S761" s="46" t="s">
        <v>2716</v>
      </c>
    </row>
    <row r="762" spans="1:19" ht="31.5">
      <c r="A762" s="43">
        <v>758</v>
      </c>
      <c r="B762" s="43">
        <v>931</v>
      </c>
      <c r="C762" s="43">
        <v>1246</v>
      </c>
      <c r="D762" s="44">
        <v>46144</v>
      </c>
      <c r="E762" s="45" t="s">
        <v>1671</v>
      </c>
      <c r="F762" s="46" t="s">
        <v>37</v>
      </c>
      <c r="G762" s="46" t="s">
        <v>892</v>
      </c>
      <c r="H762" s="46" t="s">
        <v>965</v>
      </c>
      <c r="I762" s="46" t="s">
        <v>519</v>
      </c>
      <c r="J762" s="46" t="s">
        <v>968</v>
      </c>
      <c r="K762" s="43">
        <v>5</v>
      </c>
      <c r="L762" s="43">
        <v>115</v>
      </c>
      <c r="M762" s="47">
        <v>4.3103448275862072E-2</v>
      </c>
      <c r="N762" s="47">
        <v>29</v>
      </c>
      <c r="O762" s="46" t="s">
        <v>910</v>
      </c>
      <c r="P762" s="43">
        <v>300</v>
      </c>
      <c r="Q762" s="43">
        <v>30</v>
      </c>
      <c r="R762" s="45" t="s">
        <v>4279</v>
      </c>
      <c r="S762" s="46" t="s">
        <v>1672</v>
      </c>
    </row>
    <row r="763" spans="1:19" ht="42">
      <c r="A763" s="43">
        <v>759</v>
      </c>
      <c r="B763" s="43">
        <v>701</v>
      </c>
      <c r="C763" s="43">
        <v>114</v>
      </c>
      <c r="D763" s="44">
        <v>44950</v>
      </c>
      <c r="E763" s="45" t="s">
        <v>3867</v>
      </c>
      <c r="F763" s="46" t="s">
        <v>37</v>
      </c>
      <c r="G763" s="46" t="s">
        <v>878</v>
      </c>
      <c r="H763" s="46" t="s">
        <v>965</v>
      </c>
      <c r="I763" s="46" t="s">
        <v>522</v>
      </c>
      <c r="J763" s="46" t="s">
        <v>968</v>
      </c>
      <c r="K763" s="43">
        <v>12</v>
      </c>
      <c r="L763" s="43">
        <v>1309</v>
      </c>
      <c r="M763" s="47">
        <v>9.1603053435114507E-3</v>
      </c>
      <c r="N763" s="47">
        <v>28.7</v>
      </c>
      <c r="O763" s="46" t="s">
        <v>910</v>
      </c>
      <c r="P763" s="43">
        <v>505</v>
      </c>
      <c r="Q763" s="43">
        <v>20</v>
      </c>
      <c r="R763" s="45" t="s">
        <v>4278</v>
      </c>
      <c r="S763" s="46" t="s">
        <v>3868</v>
      </c>
    </row>
    <row r="764" spans="1:19" ht="31.5">
      <c r="A764" s="43">
        <v>760</v>
      </c>
      <c r="B764" s="43">
        <v>801</v>
      </c>
      <c r="C764" s="43">
        <v>747</v>
      </c>
      <c r="D764" s="44">
        <v>45782</v>
      </c>
      <c r="E764" s="45" t="s">
        <v>2446</v>
      </c>
      <c r="F764" s="46" t="s">
        <v>37</v>
      </c>
      <c r="G764" s="46" t="s">
        <v>903</v>
      </c>
      <c r="H764" s="46" t="s">
        <v>965</v>
      </c>
      <c r="I764" s="46" t="s">
        <v>530</v>
      </c>
      <c r="J764" s="46" t="s">
        <v>977</v>
      </c>
      <c r="K764" s="43">
        <v>9</v>
      </c>
      <c r="L764" s="43">
        <v>477</v>
      </c>
      <c r="M764" s="47">
        <v>1.8828451882845189E-2</v>
      </c>
      <c r="N764" s="47">
        <v>28.5</v>
      </c>
      <c r="O764" s="46" t="s">
        <v>910</v>
      </c>
      <c r="P764" s="43">
        <v>679</v>
      </c>
      <c r="Q764" s="43">
        <v>30</v>
      </c>
      <c r="R764" s="45" t="s">
        <v>4283</v>
      </c>
      <c r="S764" s="46" t="s">
        <v>2447</v>
      </c>
    </row>
    <row r="765" spans="1:19" ht="42">
      <c r="A765" s="43">
        <v>761</v>
      </c>
      <c r="B765" s="43">
        <v>841</v>
      </c>
      <c r="C765" s="43">
        <v>1096</v>
      </c>
      <c r="D765" s="44">
        <v>45918</v>
      </c>
      <c r="E765" s="45" t="s">
        <v>2137</v>
      </c>
      <c r="F765" s="46" t="s">
        <v>360</v>
      </c>
      <c r="G765" s="46" t="s">
        <v>1038</v>
      </c>
      <c r="H765" s="46" t="s">
        <v>1005</v>
      </c>
      <c r="I765" s="46" t="s">
        <v>522</v>
      </c>
      <c r="J765" s="46" t="s">
        <v>977</v>
      </c>
      <c r="K765" s="43">
        <v>8</v>
      </c>
      <c r="L765" s="43">
        <v>341</v>
      </c>
      <c r="M765" s="47">
        <v>2.3391812865497075E-2</v>
      </c>
      <c r="N765" s="47">
        <v>28.5</v>
      </c>
      <c r="O765" s="46" t="s">
        <v>910</v>
      </c>
      <c r="P765" s="43">
        <v>376</v>
      </c>
      <c r="Q765" s="43">
        <v>10</v>
      </c>
      <c r="R765" s="45" t="s">
        <v>4281</v>
      </c>
      <c r="S765" s="46" t="s">
        <v>2138</v>
      </c>
    </row>
    <row r="766" spans="1:19" ht="42">
      <c r="A766" s="43">
        <v>762</v>
      </c>
      <c r="B766" s="43">
        <v>740</v>
      </c>
      <c r="C766" s="43">
        <v>471</v>
      </c>
      <c r="D766" s="44">
        <v>45374</v>
      </c>
      <c r="E766" s="45" t="s">
        <v>3272</v>
      </c>
      <c r="F766" s="46" t="s">
        <v>37</v>
      </c>
      <c r="G766" s="46" t="s">
        <v>893</v>
      </c>
      <c r="H766" s="46" t="s">
        <v>965</v>
      </c>
      <c r="I766" s="46" t="s">
        <v>515</v>
      </c>
      <c r="J766" s="46" t="s">
        <v>968</v>
      </c>
      <c r="K766" s="43">
        <v>11</v>
      </c>
      <c r="L766" s="43">
        <v>885</v>
      </c>
      <c r="M766" s="47">
        <v>1.2415349887133182E-2</v>
      </c>
      <c r="N766" s="47">
        <v>28.3</v>
      </c>
      <c r="O766" s="46" t="s">
        <v>910</v>
      </c>
      <c r="P766" s="43">
        <v>392</v>
      </c>
      <c r="Q766" s="43">
        <v>20</v>
      </c>
      <c r="R766" s="45" t="s">
        <v>4275</v>
      </c>
      <c r="S766" s="46" t="s">
        <v>3273</v>
      </c>
    </row>
    <row r="767" spans="1:19" ht="31.5">
      <c r="A767" s="43">
        <v>763</v>
      </c>
      <c r="B767" s="43">
        <v>741</v>
      </c>
      <c r="C767" s="43">
        <v>457</v>
      </c>
      <c r="D767" s="44">
        <v>45356</v>
      </c>
      <c r="E767" s="45" t="s">
        <v>3296</v>
      </c>
      <c r="F767" s="46" t="s">
        <v>37</v>
      </c>
      <c r="G767" s="46" t="s">
        <v>1038</v>
      </c>
      <c r="H767" s="46" t="s">
        <v>1038</v>
      </c>
      <c r="I767" s="46" t="s">
        <v>512</v>
      </c>
      <c r="J767" s="46" t="s">
        <v>977</v>
      </c>
      <c r="K767" s="43">
        <v>11</v>
      </c>
      <c r="L767" s="43">
        <v>903</v>
      </c>
      <c r="M767" s="47">
        <v>1.2168141592920354E-2</v>
      </c>
      <c r="N767" s="47">
        <v>28.2</v>
      </c>
      <c r="O767" s="46" t="s">
        <v>910</v>
      </c>
      <c r="P767" s="43">
        <v>1502</v>
      </c>
      <c r="Q767" s="43">
        <v>30</v>
      </c>
      <c r="R767" s="45" t="s">
        <v>4283</v>
      </c>
      <c r="S767" s="46" t="s">
        <v>3297</v>
      </c>
    </row>
    <row r="768" spans="1:19" ht="42">
      <c r="A768" s="43">
        <v>764</v>
      </c>
      <c r="B768" s="43">
        <v>777</v>
      </c>
      <c r="C768" s="43">
        <v>666</v>
      </c>
      <c r="D768" s="44">
        <v>45622</v>
      </c>
      <c r="E768" s="45" t="s">
        <v>2770</v>
      </c>
      <c r="F768" s="46" t="s">
        <v>37</v>
      </c>
      <c r="G768" s="46" t="s">
        <v>1038</v>
      </c>
      <c r="H768" s="46" t="s">
        <v>1005</v>
      </c>
      <c r="I768" s="46" t="s">
        <v>515</v>
      </c>
      <c r="J768" s="46" t="s">
        <v>968</v>
      </c>
      <c r="K768" s="43">
        <v>10</v>
      </c>
      <c r="L768" s="43">
        <v>637</v>
      </c>
      <c r="M768" s="47">
        <v>1.5673981191222569E-2</v>
      </c>
      <c r="N768" s="47">
        <v>28.1</v>
      </c>
      <c r="O768" s="46" t="s">
        <v>910</v>
      </c>
      <c r="P768" s="43">
        <v>515</v>
      </c>
      <c r="Q768" s="43">
        <v>20</v>
      </c>
      <c r="R768" s="45" t="s">
        <v>4278</v>
      </c>
      <c r="S768" s="46" t="s">
        <v>2771</v>
      </c>
    </row>
    <row r="769" spans="1:19" ht="31.5">
      <c r="A769" s="43">
        <v>765</v>
      </c>
      <c r="B769" s="43">
        <v>778</v>
      </c>
      <c r="C769" s="43">
        <v>660</v>
      </c>
      <c r="D769" s="44">
        <v>45619</v>
      </c>
      <c r="E769" s="45" t="s">
        <v>2789</v>
      </c>
      <c r="F769" s="46" t="s">
        <v>37</v>
      </c>
      <c r="G769" s="46" t="s">
        <v>878</v>
      </c>
      <c r="H769" s="46" t="s">
        <v>965</v>
      </c>
      <c r="I769" s="46" t="s">
        <v>515</v>
      </c>
      <c r="J769" s="46" t="s">
        <v>977</v>
      </c>
      <c r="K769" s="43">
        <v>10</v>
      </c>
      <c r="L769" s="43">
        <v>640</v>
      </c>
      <c r="M769" s="47">
        <v>1.5600624024960999E-2</v>
      </c>
      <c r="N769" s="47">
        <v>28.1</v>
      </c>
      <c r="O769" s="46" t="s">
        <v>910</v>
      </c>
      <c r="P769" s="43">
        <v>527</v>
      </c>
      <c r="Q769" s="43">
        <v>30</v>
      </c>
      <c r="R769" s="45" t="s">
        <v>4283</v>
      </c>
      <c r="S769" s="46" t="s">
        <v>2790</v>
      </c>
    </row>
    <row r="770" spans="1:19" ht="42">
      <c r="A770" s="43">
        <v>766</v>
      </c>
      <c r="B770" s="43">
        <v>665</v>
      </c>
      <c r="C770" s="43">
        <v>34</v>
      </c>
      <c r="D770" s="44">
        <v>44000</v>
      </c>
      <c r="E770" s="45" t="s">
        <v>4153</v>
      </c>
      <c r="F770" s="46" t="s">
        <v>37</v>
      </c>
      <c r="G770" s="46" t="s">
        <v>1038</v>
      </c>
      <c r="H770" s="46" t="s">
        <v>1038</v>
      </c>
      <c r="I770" s="46" t="s">
        <v>526</v>
      </c>
      <c r="J770" s="46" t="s">
        <v>977</v>
      </c>
      <c r="K770" s="43">
        <v>13</v>
      </c>
      <c r="L770" s="43">
        <v>2259</v>
      </c>
      <c r="M770" s="47">
        <v>5.7522123893805309E-3</v>
      </c>
      <c r="N770" s="47">
        <v>28</v>
      </c>
      <c r="O770" s="46" t="s">
        <v>910</v>
      </c>
      <c r="P770" s="43">
        <v>617</v>
      </c>
      <c r="Q770" s="43">
        <v>20</v>
      </c>
      <c r="R770" s="45" t="s">
        <v>4278</v>
      </c>
      <c r="S770" s="46" t="s">
        <v>4154</v>
      </c>
    </row>
    <row r="771" spans="1:19" ht="42">
      <c r="A771" s="43">
        <v>767</v>
      </c>
      <c r="B771" s="43">
        <v>742</v>
      </c>
      <c r="C771" s="43">
        <v>445</v>
      </c>
      <c r="D771" s="44">
        <v>45341</v>
      </c>
      <c r="E771" s="45" t="s">
        <v>3318</v>
      </c>
      <c r="F771" s="46" t="s">
        <v>37</v>
      </c>
      <c r="G771" s="46" t="s">
        <v>882</v>
      </c>
      <c r="H771" s="46" t="s">
        <v>965</v>
      </c>
      <c r="I771" s="46" t="s">
        <v>530</v>
      </c>
      <c r="J771" s="46" t="s">
        <v>968</v>
      </c>
      <c r="K771" s="43">
        <v>11</v>
      </c>
      <c r="L771" s="43">
        <v>918</v>
      </c>
      <c r="M771" s="47">
        <v>1.1969532100108813E-2</v>
      </c>
      <c r="N771" s="47">
        <v>28</v>
      </c>
      <c r="O771" s="46" t="s">
        <v>910</v>
      </c>
      <c r="P771" s="43">
        <v>523</v>
      </c>
      <c r="Q771" s="43">
        <v>20</v>
      </c>
      <c r="R771" s="45" t="s">
        <v>4278</v>
      </c>
      <c r="S771" s="46" t="s">
        <v>3319</v>
      </c>
    </row>
    <row r="772" spans="1:19" ht="42">
      <c r="A772" s="43">
        <v>768</v>
      </c>
      <c r="B772" s="43">
        <v>779</v>
      </c>
      <c r="C772" s="43">
        <v>659</v>
      </c>
      <c r="D772" s="44">
        <v>45615</v>
      </c>
      <c r="E772" s="45" t="s">
        <v>2792</v>
      </c>
      <c r="F772" s="46" t="s">
        <v>37</v>
      </c>
      <c r="G772" s="46" t="s">
        <v>1038</v>
      </c>
      <c r="H772" s="46" t="s">
        <v>1038</v>
      </c>
      <c r="I772" s="46" t="s">
        <v>515</v>
      </c>
      <c r="J772" s="46" t="s">
        <v>968</v>
      </c>
      <c r="K772" s="43">
        <v>10</v>
      </c>
      <c r="L772" s="43">
        <v>644</v>
      </c>
      <c r="M772" s="47">
        <v>1.5503875968992248E-2</v>
      </c>
      <c r="N772" s="47">
        <v>28</v>
      </c>
      <c r="O772" s="46" t="s">
        <v>910</v>
      </c>
      <c r="P772" s="43">
        <v>325</v>
      </c>
      <c r="Q772" s="43">
        <v>20</v>
      </c>
      <c r="R772" s="45" t="s">
        <v>4275</v>
      </c>
      <c r="S772" s="46" t="s">
        <v>2793</v>
      </c>
    </row>
    <row r="773" spans="1:19" ht="42">
      <c r="A773" s="43">
        <v>769</v>
      </c>
      <c r="B773" s="43">
        <v>842</v>
      </c>
      <c r="C773" s="43">
        <v>785</v>
      </c>
      <c r="D773" s="44">
        <v>45905</v>
      </c>
      <c r="E773" s="45" t="s">
        <v>2183</v>
      </c>
      <c r="F773" s="46" t="s">
        <v>37</v>
      </c>
      <c r="G773" s="46" t="s">
        <v>884</v>
      </c>
      <c r="H773" s="46" t="s">
        <v>965</v>
      </c>
      <c r="I773" s="46" t="s">
        <v>512</v>
      </c>
      <c r="J773" s="46" t="s">
        <v>977</v>
      </c>
      <c r="K773" s="43">
        <v>8</v>
      </c>
      <c r="L773" s="43">
        <v>354</v>
      </c>
      <c r="M773" s="47">
        <v>2.2535211267605635E-2</v>
      </c>
      <c r="N773" s="47">
        <v>28</v>
      </c>
      <c r="O773" s="46" t="s">
        <v>910</v>
      </c>
      <c r="P773" s="43">
        <v>287</v>
      </c>
      <c r="Q773" s="43">
        <v>10</v>
      </c>
      <c r="R773" s="45" t="s">
        <v>4281</v>
      </c>
      <c r="S773" s="46" t="s">
        <v>2184</v>
      </c>
    </row>
    <row r="774" spans="1:19" ht="42">
      <c r="A774" s="43">
        <v>770</v>
      </c>
      <c r="B774" s="43">
        <v>743</v>
      </c>
      <c r="C774" s="43">
        <v>423</v>
      </c>
      <c r="D774" s="44">
        <v>45332</v>
      </c>
      <c r="E774" s="45" t="s">
        <v>3351</v>
      </c>
      <c r="F774" s="46" t="s">
        <v>37</v>
      </c>
      <c r="G774" s="46" t="s">
        <v>1038</v>
      </c>
      <c r="H774" s="46" t="s">
        <v>1005</v>
      </c>
      <c r="I774" s="46" t="s">
        <v>512</v>
      </c>
      <c r="J774" s="46" t="s">
        <v>968</v>
      </c>
      <c r="K774" s="43">
        <v>11</v>
      </c>
      <c r="L774" s="43">
        <v>927</v>
      </c>
      <c r="M774" s="47">
        <v>1.1853448275862068E-2</v>
      </c>
      <c r="N774" s="47">
        <v>27.9</v>
      </c>
      <c r="O774" s="46" t="s">
        <v>910</v>
      </c>
      <c r="P774" s="43">
        <v>88</v>
      </c>
      <c r="Q774" s="43">
        <v>20</v>
      </c>
      <c r="R774" s="45" t="s">
        <v>4275</v>
      </c>
      <c r="S774" s="46" t="s">
        <v>3352</v>
      </c>
    </row>
    <row r="775" spans="1:19" ht="42">
      <c r="A775" s="43">
        <v>771</v>
      </c>
      <c r="B775" s="43">
        <v>780</v>
      </c>
      <c r="C775" s="43">
        <v>716</v>
      </c>
      <c r="D775" s="44">
        <v>45607</v>
      </c>
      <c r="E775" s="45" t="s">
        <v>2816</v>
      </c>
      <c r="F775" s="46" t="s">
        <v>37</v>
      </c>
      <c r="G775" s="46" t="s">
        <v>882</v>
      </c>
      <c r="H775" s="46" t="s">
        <v>965</v>
      </c>
      <c r="I775" s="46" t="s">
        <v>522</v>
      </c>
      <c r="J775" s="46" t="s">
        <v>977</v>
      </c>
      <c r="K775" s="43">
        <v>10</v>
      </c>
      <c r="L775" s="43">
        <v>652</v>
      </c>
      <c r="M775" s="47">
        <v>1.5313935681470138E-2</v>
      </c>
      <c r="N775" s="47">
        <v>27.9</v>
      </c>
      <c r="O775" s="46" t="s">
        <v>910</v>
      </c>
      <c r="P775" s="43">
        <v>271</v>
      </c>
      <c r="Q775" s="43">
        <v>10</v>
      </c>
      <c r="R775" s="45" t="s">
        <v>4281</v>
      </c>
      <c r="S775" s="46" t="s">
        <v>2817</v>
      </c>
    </row>
    <row r="776" spans="1:19" ht="42">
      <c r="A776" s="43">
        <v>772</v>
      </c>
      <c r="B776" s="43">
        <v>702</v>
      </c>
      <c r="C776" s="43">
        <v>143</v>
      </c>
      <c r="D776" s="44">
        <v>44766</v>
      </c>
      <c r="E776" s="45" t="s">
        <v>3934</v>
      </c>
      <c r="F776" s="46" t="s">
        <v>37</v>
      </c>
      <c r="G776" s="46" t="s">
        <v>1038</v>
      </c>
      <c r="H776" s="46" t="s">
        <v>1038</v>
      </c>
      <c r="I776" s="46" t="s">
        <v>515</v>
      </c>
      <c r="J776" s="46" t="s">
        <v>977</v>
      </c>
      <c r="K776" s="43">
        <v>12</v>
      </c>
      <c r="L776" s="43">
        <v>1493</v>
      </c>
      <c r="M776" s="47">
        <v>8.0321285140562242E-3</v>
      </c>
      <c r="N776" s="47">
        <v>27.8</v>
      </c>
      <c r="O776" s="46" t="s">
        <v>910</v>
      </c>
      <c r="P776" s="43">
        <v>1005</v>
      </c>
      <c r="Q776" s="43">
        <v>20</v>
      </c>
      <c r="R776" s="45" t="s">
        <v>4278</v>
      </c>
      <c r="S776" s="46" t="s">
        <v>3935</v>
      </c>
    </row>
    <row r="777" spans="1:19" ht="42">
      <c r="A777" s="43">
        <v>773</v>
      </c>
      <c r="B777" s="43">
        <v>744</v>
      </c>
      <c r="C777" s="43">
        <v>415</v>
      </c>
      <c r="D777" s="44">
        <v>45328</v>
      </c>
      <c r="E777" s="45" t="s">
        <v>3364</v>
      </c>
      <c r="F777" s="46" t="s">
        <v>37</v>
      </c>
      <c r="G777" s="46" t="s">
        <v>1038</v>
      </c>
      <c r="H777" s="46" t="s">
        <v>1038</v>
      </c>
      <c r="I777" s="46" t="s">
        <v>512</v>
      </c>
      <c r="J777" s="46" t="s">
        <v>977</v>
      </c>
      <c r="K777" s="43">
        <v>11</v>
      </c>
      <c r="L777" s="43">
        <v>931</v>
      </c>
      <c r="M777" s="47">
        <v>1.1802575107296138E-2</v>
      </c>
      <c r="N777" s="47">
        <v>27.8</v>
      </c>
      <c r="O777" s="46" t="s">
        <v>910</v>
      </c>
      <c r="P777" s="43">
        <v>788</v>
      </c>
      <c r="Q777" s="43">
        <v>20</v>
      </c>
      <c r="R777" s="45" t="s">
        <v>4278</v>
      </c>
      <c r="S777" s="46" t="s">
        <v>3365</v>
      </c>
    </row>
    <row r="778" spans="1:19" ht="42">
      <c r="A778" s="43">
        <v>774</v>
      </c>
      <c r="B778" s="43">
        <v>745</v>
      </c>
      <c r="C778" s="43">
        <v>405</v>
      </c>
      <c r="D778" s="44">
        <v>45317</v>
      </c>
      <c r="E778" s="45" t="s">
        <v>3382</v>
      </c>
      <c r="F778" s="46" t="s">
        <v>37</v>
      </c>
      <c r="G778" s="46" t="s">
        <v>909</v>
      </c>
      <c r="H778" s="46" t="s">
        <v>965</v>
      </c>
      <c r="I778" s="46" t="s">
        <v>512</v>
      </c>
      <c r="J778" s="46" t="s">
        <v>968</v>
      </c>
      <c r="K778" s="43">
        <v>11</v>
      </c>
      <c r="L778" s="43">
        <v>942</v>
      </c>
      <c r="M778" s="47">
        <v>1.166489925768823E-2</v>
      </c>
      <c r="N778" s="47">
        <v>27.7</v>
      </c>
      <c r="O778" s="46" t="s">
        <v>910</v>
      </c>
      <c r="P778" s="43">
        <v>490</v>
      </c>
      <c r="Q778" s="43">
        <v>10</v>
      </c>
      <c r="R778" s="45" t="s">
        <v>4281</v>
      </c>
      <c r="S778" s="46" t="s">
        <v>3383</v>
      </c>
    </row>
    <row r="779" spans="1:19" ht="42">
      <c r="A779" s="43">
        <v>775</v>
      </c>
      <c r="B779" s="43">
        <v>746</v>
      </c>
      <c r="C779" s="43">
        <v>431</v>
      </c>
      <c r="D779" s="44">
        <v>45302</v>
      </c>
      <c r="E779" s="45" t="s">
        <v>3465</v>
      </c>
      <c r="F779" s="46" t="s">
        <v>37</v>
      </c>
      <c r="G779" s="46" t="s">
        <v>903</v>
      </c>
      <c r="H779" s="46" t="s">
        <v>965</v>
      </c>
      <c r="I779" s="46" t="s">
        <v>512</v>
      </c>
      <c r="J779" s="46" t="s">
        <v>968</v>
      </c>
      <c r="K779" s="43">
        <v>11</v>
      </c>
      <c r="L779" s="43">
        <v>957</v>
      </c>
      <c r="M779" s="47">
        <v>1.1482254697286013E-2</v>
      </c>
      <c r="N779" s="47">
        <v>27.7</v>
      </c>
      <c r="O779" s="46" t="s">
        <v>910</v>
      </c>
      <c r="P779" s="43">
        <v>545</v>
      </c>
      <c r="Q779" s="43">
        <v>20</v>
      </c>
      <c r="R779" s="45" t="s">
        <v>4278</v>
      </c>
      <c r="S779" s="46" t="s">
        <v>3466</v>
      </c>
    </row>
    <row r="780" spans="1:19" ht="42">
      <c r="A780" s="43">
        <v>776</v>
      </c>
      <c r="B780" s="43">
        <v>781</v>
      </c>
      <c r="C780" s="43">
        <v>704</v>
      </c>
      <c r="D780" s="44">
        <v>45598</v>
      </c>
      <c r="E780" s="45" t="s">
        <v>2837</v>
      </c>
      <c r="F780" s="46" t="s">
        <v>37</v>
      </c>
      <c r="G780" s="46" t="s">
        <v>884</v>
      </c>
      <c r="H780" s="46" t="s">
        <v>965</v>
      </c>
      <c r="I780" s="46" t="s">
        <v>530</v>
      </c>
      <c r="J780" s="46" t="s">
        <v>977</v>
      </c>
      <c r="K780" s="43">
        <v>10</v>
      </c>
      <c r="L780" s="43">
        <v>661</v>
      </c>
      <c r="M780" s="47">
        <v>1.5105740181268883E-2</v>
      </c>
      <c r="N780" s="47">
        <v>27.7</v>
      </c>
      <c r="O780" s="46" t="s">
        <v>910</v>
      </c>
      <c r="P780" s="43">
        <v>695</v>
      </c>
      <c r="Q780" s="43">
        <v>20</v>
      </c>
      <c r="R780" s="45" t="s">
        <v>4278</v>
      </c>
      <c r="S780" s="46" t="s">
        <v>2838</v>
      </c>
    </row>
    <row r="781" spans="1:19" ht="42">
      <c r="A781" s="43">
        <v>777</v>
      </c>
      <c r="B781" s="43">
        <v>802</v>
      </c>
      <c r="C781" s="43">
        <v>741</v>
      </c>
      <c r="D781" s="44">
        <v>45759</v>
      </c>
      <c r="E781" s="45" t="s">
        <v>2500</v>
      </c>
      <c r="F781" s="46" t="s">
        <v>37</v>
      </c>
      <c r="G781" s="46" t="s">
        <v>1038</v>
      </c>
      <c r="H781" s="46" t="s">
        <v>1005</v>
      </c>
      <c r="I781" s="46" t="s">
        <v>526</v>
      </c>
      <c r="J781" s="46" t="s">
        <v>968</v>
      </c>
      <c r="K781" s="43">
        <v>9</v>
      </c>
      <c r="L781" s="43">
        <v>500</v>
      </c>
      <c r="M781" s="47">
        <v>1.7964071856287425E-2</v>
      </c>
      <c r="N781" s="47">
        <v>27.7</v>
      </c>
      <c r="O781" s="46" t="s">
        <v>910</v>
      </c>
      <c r="P781" s="43">
        <v>271</v>
      </c>
      <c r="Q781" s="43">
        <v>10</v>
      </c>
      <c r="R781" s="45" t="s">
        <v>4281</v>
      </c>
      <c r="S781" s="46" t="s">
        <v>2501</v>
      </c>
    </row>
    <row r="782" spans="1:19" ht="42">
      <c r="A782" s="43">
        <v>778</v>
      </c>
      <c r="B782" s="43">
        <v>803</v>
      </c>
      <c r="C782" s="43">
        <v>740</v>
      </c>
      <c r="D782" s="44">
        <v>45759</v>
      </c>
      <c r="E782" s="45" t="s">
        <v>2503</v>
      </c>
      <c r="F782" s="46" t="s">
        <v>37</v>
      </c>
      <c r="G782" s="46" t="s">
        <v>914</v>
      </c>
      <c r="H782" s="46" t="s">
        <v>965</v>
      </c>
      <c r="I782" s="46" t="s">
        <v>526</v>
      </c>
      <c r="J782" s="46" t="s">
        <v>968</v>
      </c>
      <c r="K782" s="43">
        <v>9</v>
      </c>
      <c r="L782" s="43">
        <v>500</v>
      </c>
      <c r="M782" s="47">
        <v>1.7964071856287425E-2</v>
      </c>
      <c r="N782" s="47">
        <v>27.7</v>
      </c>
      <c r="O782" s="46" t="s">
        <v>910</v>
      </c>
      <c r="P782" s="43">
        <v>258</v>
      </c>
      <c r="Q782" s="43">
        <v>10</v>
      </c>
      <c r="R782" s="45" t="s">
        <v>4281</v>
      </c>
      <c r="S782" s="46" t="s">
        <v>2504</v>
      </c>
    </row>
    <row r="783" spans="1:19" ht="42">
      <c r="A783" s="43">
        <v>779</v>
      </c>
      <c r="B783" s="43">
        <v>703</v>
      </c>
      <c r="C783" s="43">
        <v>86</v>
      </c>
      <c r="D783" s="44">
        <v>44754</v>
      </c>
      <c r="E783" s="45" t="s">
        <v>3943</v>
      </c>
      <c r="F783" s="46" t="s">
        <v>37</v>
      </c>
      <c r="G783" s="46" t="s">
        <v>878</v>
      </c>
      <c r="H783" s="46" t="s">
        <v>965</v>
      </c>
      <c r="I783" s="46" t="s">
        <v>512</v>
      </c>
      <c r="J783" s="46" t="s">
        <v>977</v>
      </c>
      <c r="K783" s="43">
        <v>12</v>
      </c>
      <c r="L783" s="43">
        <v>1505</v>
      </c>
      <c r="M783" s="47">
        <v>7.9681274900398405E-3</v>
      </c>
      <c r="N783" s="47">
        <v>27.6</v>
      </c>
      <c r="O783" s="46" t="s">
        <v>910</v>
      </c>
      <c r="P783" s="43">
        <v>294</v>
      </c>
      <c r="Q783" s="43">
        <v>10</v>
      </c>
      <c r="R783" s="45" t="s">
        <v>4281</v>
      </c>
      <c r="S783" s="46" t="s">
        <v>3944</v>
      </c>
    </row>
    <row r="784" spans="1:19" ht="42">
      <c r="A784" s="43">
        <v>780</v>
      </c>
      <c r="B784" s="43">
        <v>704</v>
      </c>
      <c r="C784" s="43">
        <v>142</v>
      </c>
      <c r="D784" s="44">
        <v>44751</v>
      </c>
      <c r="E784" s="45" t="s">
        <v>3946</v>
      </c>
      <c r="F784" s="46" t="s">
        <v>37</v>
      </c>
      <c r="G784" s="46" t="s">
        <v>1038</v>
      </c>
      <c r="H784" s="46" t="s">
        <v>1134</v>
      </c>
      <c r="I784" s="46" t="s">
        <v>526</v>
      </c>
      <c r="J784" s="46" t="s">
        <v>968</v>
      </c>
      <c r="K784" s="43">
        <v>12</v>
      </c>
      <c r="L784" s="43">
        <v>1508</v>
      </c>
      <c r="M784" s="47">
        <v>7.9522862823061622E-3</v>
      </c>
      <c r="N784" s="47">
        <v>27.6</v>
      </c>
      <c r="O784" s="46" t="s">
        <v>910</v>
      </c>
      <c r="P784" s="43">
        <v>327</v>
      </c>
      <c r="Q784" s="43">
        <v>10</v>
      </c>
      <c r="R784" s="45" t="s">
        <v>4281</v>
      </c>
      <c r="S784" s="46" t="s">
        <v>3947</v>
      </c>
    </row>
    <row r="785" spans="1:19" ht="42">
      <c r="A785" s="43">
        <v>781</v>
      </c>
      <c r="B785" s="43">
        <v>747</v>
      </c>
      <c r="C785" s="43">
        <v>447</v>
      </c>
      <c r="D785" s="44">
        <v>45272</v>
      </c>
      <c r="E785" s="45" t="s">
        <v>3498</v>
      </c>
      <c r="F785" s="46" t="s">
        <v>37</v>
      </c>
      <c r="G785" s="46" t="s">
        <v>878</v>
      </c>
      <c r="H785" s="46" t="s">
        <v>965</v>
      </c>
      <c r="I785" s="46" t="s">
        <v>515</v>
      </c>
      <c r="J785" s="46" t="s">
        <v>977</v>
      </c>
      <c r="K785" s="43">
        <v>11</v>
      </c>
      <c r="L785" s="43">
        <v>987</v>
      </c>
      <c r="M785" s="47">
        <v>1.1133603238866396E-2</v>
      </c>
      <c r="N785" s="47">
        <v>27.4</v>
      </c>
      <c r="O785" s="46" t="s">
        <v>910</v>
      </c>
      <c r="P785" s="43">
        <v>228</v>
      </c>
      <c r="Q785" s="43">
        <v>10</v>
      </c>
      <c r="R785" s="45" t="s">
        <v>4281</v>
      </c>
      <c r="S785" s="46" t="s">
        <v>3499</v>
      </c>
    </row>
    <row r="786" spans="1:19" ht="42">
      <c r="A786" s="43">
        <v>782</v>
      </c>
      <c r="B786" s="43">
        <v>748</v>
      </c>
      <c r="C786" s="43">
        <v>424</v>
      </c>
      <c r="D786" s="44">
        <v>45270</v>
      </c>
      <c r="E786" s="45" t="s">
        <v>3501</v>
      </c>
      <c r="F786" s="46" t="s">
        <v>37</v>
      </c>
      <c r="G786" s="46" t="s">
        <v>904</v>
      </c>
      <c r="H786" s="46" t="s">
        <v>965</v>
      </c>
      <c r="I786" s="46" t="s">
        <v>530</v>
      </c>
      <c r="J786" s="46" t="s">
        <v>968</v>
      </c>
      <c r="K786" s="43">
        <v>11</v>
      </c>
      <c r="L786" s="43">
        <v>989</v>
      </c>
      <c r="M786" s="47">
        <v>1.1111111111111112E-2</v>
      </c>
      <c r="N786" s="47">
        <v>27.4</v>
      </c>
      <c r="O786" s="46" t="s">
        <v>910</v>
      </c>
      <c r="P786" s="43">
        <v>17</v>
      </c>
      <c r="Q786" s="43">
        <v>20</v>
      </c>
      <c r="R786" s="45" t="s">
        <v>4275</v>
      </c>
      <c r="S786" s="46" t="s">
        <v>3502</v>
      </c>
    </row>
    <row r="787" spans="1:19" ht="42">
      <c r="A787" s="43">
        <v>783</v>
      </c>
      <c r="B787" s="43">
        <v>705</v>
      </c>
      <c r="C787" s="43">
        <v>50</v>
      </c>
      <c r="D787" s="44">
        <v>44691</v>
      </c>
      <c r="E787" s="45" t="s">
        <v>4024</v>
      </c>
      <c r="F787" s="46" t="s">
        <v>37</v>
      </c>
      <c r="G787" s="46" t="s">
        <v>923</v>
      </c>
      <c r="H787" s="46" t="s">
        <v>965</v>
      </c>
      <c r="I787" s="46" t="s">
        <v>526</v>
      </c>
      <c r="J787" s="46" t="s">
        <v>968</v>
      </c>
      <c r="K787" s="43">
        <v>12</v>
      </c>
      <c r="L787" s="43">
        <v>1568</v>
      </c>
      <c r="M787" s="47">
        <v>7.6481835564053535E-3</v>
      </c>
      <c r="N787" s="47">
        <v>27.3</v>
      </c>
      <c r="O787" s="46" t="s">
        <v>910</v>
      </c>
      <c r="P787" s="43">
        <v>307</v>
      </c>
      <c r="Q787" s="43">
        <v>20</v>
      </c>
      <c r="R787" s="45" t="s">
        <v>4275</v>
      </c>
      <c r="S787" s="46" t="s">
        <v>4025</v>
      </c>
    </row>
    <row r="788" spans="1:19" ht="42">
      <c r="A788" s="43">
        <v>784</v>
      </c>
      <c r="B788" s="43">
        <v>706</v>
      </c>
      <c r="C788" s="43">
        <v>29</v>
      </c>
      <c r="D788" s="44">
        <v>44677</v>
      </c>
      <c r="E788" s="45" t="s">
        <v>4036</v>
      </c>
      <c r="F788" s="46" t="s">
        <v>37</v>
      </c>
      <c r="G788" s="46" t="s">
        <v>878</v>
      </c>
      <c r="H788" s="46" t="s">
        <v>965</v>
      </c>
      <c r="I788" s="46" t="s">
        <v>526</v>
      </c>
      <c r="J788" s="46" t="s">
        <v>977</v>
      </c>
      <c r="K788" s="43">
        <v>12</v>
      </c>
      <c r="L788" s="43">
        <v>1582</v>
      </c>
      <c r="M788" s="47">
        <v>7.5805432722678458E-3</v>
      </c>
      <c r="N788" s="47">
        <v>27.2</v>
      </c>
      <c r="O788" s="46" t="s">
        <v>910</v>
      </c>
      <c r="P788" s="43">
        <v>482</v>
      </c>
      <c r="Q788" s="43">
        <v>10</v>
      </c>
      <c r="R788" s="45" t="s">
        <v>4281</v>
      </c>
      <c r="S788" s="46" t="s">
        <v>4037</v>
      </c>
    </row>
    <row r="789" spans="1:19" ht="42">
      <c r="A789" s="43">
        <v>785</v>
      </c>
      <c r="B789" s="43">
        <v>749</v>
      </c>
      <c r="C789" s="43">
        <v>328</v>
      </c>
      <c r="D789" s="44">
        <v>45237</v>
      </c>
      <c r="E789" s="45" t="s">
        <v>3543</v>
      </c>
      <c r="F789" s="46" t="s">
        <v>37</v>
      </c>
      <c r="G789" s="46" t="s">
        <v>884</v>
      </c>
      <c r="H789" s="46" t="s">
        <v>965</v>
      </c>
      <c r="I789" s="46" t="s">
        <v>515</v>
      </c>
      <c r="J789" s="46" t="s">
        <v>977</v>
      </c>
      <c r="K789" s="43">
        <v>11</v>
      </c>
      <c r="L789" s="43">
        <v>1022</v>
      </c>
      <c r="M789" s="47">
        <v>1.0752688172043012E-2</v>
      </c>
      <c r="N789" s="47">
        <v>27.2</v>
      </c>
      <c r="O789" s="46" t="s">
        <v>910</v>
      </c>
      <c r="P789" s="43">
        <v>581</v>
      </c>
      <c r="Q789" s="43">
        <v>20</v>
      </c>
      <c r="R789" s="45" t="s">
        <v>4278</v>
      </c>
      <c r="S789" s="46" t="s">
        <v>3544</v>
      </c>
    </row>
    <row r="790" spans="1:19" ht="42">
      <c r="A790" s="43">
        <v>786</v>
      </c>
      <c r="B790" s="43">
        <v>873</v>
      </c>
      <c r="C790" s="43">
        <v>1079</v>
      </c>
      <c r="D790" s="44">
        <v>45973</v>
      </c>
      <c r="E790" s="45" t="s">
        <v>2080</v>
      </c>
      <c r="F790" s="46" t="s">
        <v>382</v>
      </c>
      <c r="G790" s="46" t="s">
        <v>878</v>
      </c>
      <c r="H790" s="46" t="s">
        <v>965</v>
      </c>
      <c r="I790" s="46" t="s">
        <v>530</v>
      </c>
      <c r="J790" s="46" t="s">
        <v>977</v>
      </c>
      <c r="K790" s="43">
        <v>7</v>
      </c>
      <c r="L790" s="43">
        <v>286</v>
      </c>
      <c r="M790" s="47">
        <v>2.4390243902439025E-2</v>
      </c>
      <c r="N790" s="47">
        <v>27.1</v>
      </c>
      <c r="O790" s="46" t="s">
        <v>910</v>
      </c>
      <c r="P790" s="43">
        <v>426</v>
      </c>
      <c r="Q790" s="43">
        <v>10</v>
      </c>
      <c r="R790" s="45" t="s">
        <v>4281</v>
      </c>
      <c r="S790" s="46" t="s">
        <v>2081</v>
      </c>
    </row>
    <row r="791" spans="1:19" ht="42">
      <c r="A791" s="43">
        <v>787</v>
      </c>
      <c r="B791" s="43">
        <v>707</v>
      </c>
      <c r="C791" s="43">
        <v>133</v>
      </c>
      <c r="D791" s="44">
        <v>44668</v>
      </c>
      <c r="E791" s="45" t="s">
        <v>4048</v>
      </c>
      <c r="F791" s="46" t="s">
        <v>37</v>
      </c>
      <c r="G791" s="46" t="s">
        <v>882</v>
      </c>
      <c r="H791" s="46" t="s">
        <v>965</v>
      </c>
      <c r="I791" s="46" t="s">
        <v>519</v>
      </c>
      <c r="J791" s="46" t="s">
        <v>977</v>
      </c>
      <c r="K791" s="43">
        <v>12</v>
      </c>
      <c r="L791" s="43">
        <v>1591</v>
      </c>
      <c r="M791" s="47">
        <v>7.537688442211055E-3</v>
      </c>
      <c r="N791" s="47">
        <v>27</v>
      </c>
      <c r="O791" s="46" t="s">
        <v>910</v>
      </c>
      <c r="P791" s="43">
        <v>315</v>
      </c>
      <c r="Q791" s="43">
        <v>20</v>
      </c>
      <c r="R791" s="45" t="s">
        <v>4275</v>
      </c>
      <c r="S791" s="46" t="s">
        <v>4054</v>
      </c>
    </row>
    <row r="792" spans="1:19" ht="42">
      <c r="A792" s="43">
        <v>788</v>
      </c>
      <c r="B792" s="43">
        <v>843</v>
      </c>
      <c r="C792" s="43">
        <v>1073</v>
      </c>
      <c r="D792" s="44">
        <v>45860</v>
      </c>
      <c r="E792" s="45" t="s">
        <v>2274</v>
      </c>
      <c r="F792" s="46" t="s">
        <v>382</v>
      </c>
      <c r="G792" s="46" t="s">
        <v>878</v>
      </c>
      <c r="H792" s="46" t="s">
        <v>965</v>
      </c>
      <c r="I792" s="46" t="s">
        <v>526</v>
      </c>
      <c r="J792" s="46" t="s">
        <v>977</v>
      </c>
      <c r="K792" s="43">
        <v>8</v>
      </c>
      <c r="L792" s="43">
        <v>399</v>
      </c>
      <c r="M792" s="47">
        <v>0.02</v>
      </c>
      <c r="N792" s="47">
        <v>27</v>
      </c>
      <c r="O792" s="46" t="s">
        <v>910</v>
      </c>
      <c r="P792" s="43">
        <v>352</v>
      </c>
      <c r="Q792" s="43">
        <v>20</v>
      </c>
      <c r="R792" s="45" t="s">
        <v>4275</v>
      </c>
      <c r="S792" s="46" t="s">
        <v>2275</v>
      </c>
    </row>
    <row r="793" spans="1:19" ht="42">
      <c r="A793" s="43">
        <v>789</v>
      </c>
      <c r="B793" s="43">
        <v>708</v>
      </c>
      <c r="C793" s="43">
        <v>2</v>
      </c>
      <c r="D793" s="44">
        <v>44646</v>
      </c>
      <c r="E793" s="45" t="s">
        <v>4075</v>
      </c>
      <c r="F793" s="46" t="s">
        <v>37</v>
      </c>
      <c r="G793" s="46" t="s">
        <v>887</v>
      </c>
      <c r="H793" s="46" t="s">
        <v>1317</v>
      </c>
      <c r="I793" s="46" t="s">
        <v>522</v>
      </c>
      <c r="J793" s="46" t="s">
        <v>968</v>
      </c>
      <c r="K793" s="43">
        <v>12</v>
      </c>
      <c r="L793" s="43">
        <v>1613</v>
      </c>
      <c r="M793" s="47">
        <v>7.4349442379182153E-3</v>
      </c>
      <c r="N793" s="47">
        <v>26.9</v>
      </c>
      <c r="O793" s="46" t="s">
        <v>910</v>
      </c>
      <c r="P793" s="43">
        <v>269</v>
      </c>
      <c r="Q793" s="43">
        <v>10</v>
      </c>
      <c r="R793" s="45" t="s">
        <v>4281</v>
      </c>
      <c r="S793" s="46" t="s">
        <v>4076</v>
      </c>
    </row>
    <row r="794" spans="1:19" ht="42">
      <c r="A794" s="43">
        <v>790</v>
      </c>
      <c r="B794" s="43">
        <v>844</v>
      </c>
      <c r="C794" s="43">
        <v>947</v>
      </c>
      <c r="D794" s="44">
        <v>45858</v>
      </c>
      <c r="E794" s="45" t="s">
        <v>2283</v>
      </c>
      <c r="F794" s="46" t="s">
        <v>371</v>
      </c>
      <c r="G794" s="46" t="s">
        <v>889</v>
      </c>
      <c r="H794" s="46" t="s">
        <v>965</v>
      </c>
      <c r="I794" s="46" t="s">
        <v>519</v>
      </c>
      <c r="J794" s="46" t="s">
        <v>977</v>
      </c>
      <c r="K794" s="43">
        <v>8</v>
      </c>
      <c r="L794" s="43">
        <v>401</v>
      </c>
      <c r="M794" s="47">
        <v>1.9900497512437811E-2</v>
      </c>
      <c r="N794" s="47">
        <v>26.9</v>
      </c>
      <c r="O794" s="46" t="s">
        <v>910</v>
      </c>
      <c r="P794" s="43">
        <v>555</v>
      </c>
      <c r="Q794" s="43">
        <v>20</v>
      </c>
      <c r="R794" s="45" t="s">
        <v>4278</v>
      </c>
      <c r="S794" s="46" t="s">
        <v>2284</v>
      </c>
    </row>
    <row r="795" spans="1:19" ht="42">
      <c r="A795" s="43">
        <v>791</v>
      </c>
      <c r="B795" s="43">
        <v>750</v>
      </c>
      <c r="C795" s="43">
        <v>292</v>
      </c>
      <c r="D795" s="44">
        <v>45177</v>
      </c>
      <c r="E795" s="45" t="s">
        <v>3621</v>
      </c>
      <c r="F795" s="46" t="s">
        <v>37</v>
      </c>
      <c r="G795" s="46" t="s">
        <v>884</v>
      </c>
      <c r="H795" s="46" t="s">
        <v>965</v>
      </c>
      <c r="I795" s="46" t="s">
        <v>519</v>
      </c>
      <c r="J795" s="46" t="s">
        <v>977</v>
      </c>
      <c r="K795" s="43">
        <v>11</v>
      </c>
      <c r="L795" s="43">
        <v>1082</v>
      </c>
      <c r="M795" s="47">
        <v>1.0156971375807941E-2</v>
      </c>
      <c r="N795" s="47">
        <v>26.8</v>
      </c>
      <c r="O795" s="46" t="s">
        <v>910</v>
      </c>
      <c r="P795" s="43">
        <v>159</v>
      </c>
      <c r="Q795" s="43">
        <v>10</v>
      </c>
      <c r="R795" s="45" t="s">
        <v>4281</v>
      </c>
      <c r="S795" s="46" t="s">
        <v>3622</v>
      </c>
    </row>
    <row r="796" spans="1:19" ht="42">
      <c r="A796" s="43">
        <v>792</v>
      </c>
      <c r="B796" s="43">
        <v>751</v>
      </c>
      <c r="C796" s="43">
        <v>287</v>
      </c>
      <c r="D796" s="44">
        <v>45177</v>
      </c>
      <c r="E796" s="45" t="s">
        <v>3630</v>
      </c>
      <c r="F796" s="46" t="s">
        <v>37</v>
      </c>
      <c r="G796" s="46" t="s">
        <v>878</v>
      </c>
      <c r="H796" s="46" t="s">
        <v>965</v>
      </c>
      <c r="I796" s="46" t="s">
        <v>515</v>
      </c>
      <c r="J796" s="46" t="s">
        <v>968</v>
      </c>
      <c r="K796" s="43">
        <v>11</v>
      </c>
      <c r="L796" s="43">
        <v>1082</v>
      </c>
      <c r="M796" s="47">
        <v>1.0156971375807941E-2</v>
      </c>
      <c r="N796" s="47">
        <v>26.8</v>
      </c>
      <c r="O796" s="46" t="s">
        <v>910</v>
      </c>
      <c r="P796" s="43">
        <v>75</v>
      </c>
      <c r="Q796" s="43">
        <v>20</v>
      </c>
      <c r="R796" s="45" t="s">
        <v>4275</v>
      </c>
      <c r="S796" s="46" t="s">
        <v>3631</v>
      </c>
    </row>
    <row r="797" spans="1:19" ht="42">
      <c r="A797" s="43">
        <v>793</v>
      </c>
      <c r="B797" s="43">
        <v>752</v>
      </c>
      <c r="C797" s="43">
        <v>260</v>
      </c>
      <c r="D797" s="44">
        <v>45152</v>
      </c>
      <c r="E797" s="45" t="s">
        <v>3657</v>
      </c>
      <c r="F797" s="46" t="s">
        <v>37</v>
      </c>
      <c r="G797" s="46" t="s">
        <v>1038</v>
      </c>
      <c r="H797" s="46" t="s">
        <v>1005</v>
      </c>
      <c r="I797" s="46" t="s">
        <v>515</v>
      </c>
      <c r="J797" s="46" t="s">
        <v>968</v>
      </c>
      <c r="K797" s="43">
        <v>11</v>
      </c>
      <c r="L797" s="43">
        <v>1107</v>
      </c>
      <c r="M797" s="47">
        <v>9.9277978339350186E-3</v>
      </c>
      <c r="N797" s="47">
        <v>26.7</v>
      </c>
      <c r="O797" s="46" t="s">
        <v>910</v>
      </c>
      <c r="P797" s="43">
        <v>560</v>
      </c>
      <c r="Q797" s="43">
        <v>20</v>
      </c>
      <c r="R797" s="45" t="s">
        <v>4278</v>
      </c>
      <c r="S797" s="46" t="s">
        <v>3658</v>
      </c>
    </row>
    <row r="798" spans="1:19" ht="42">
      <c r="A798" s="43">
        <v>794</v>
      </c>
      <c r="B798" s="43">
        <v>709</v>
      </c>
      <c r="C798" s="43">
        <v>37</v>
      </c>
      <c r="D798" s="44">
        <v>44543</v>
      </c>
      <c r="E798" s="45" t="s">
        <v>4123</v>
      </c>
      <c r="F798" s="46" t="s">
        <v>37</v>
      </c>
      <c r="G798" s="46" t="s">
        <v>909</v>
      </c>
      <c r="H798" s="46" t="s">
        <v>1317</v>
      </c>
      <c r="I798" s="46" t="s">
        <v>533</v>
      </c>
      <c r="J798" s="46" t="s">
        <v>977</v>
      </c>
      <c r="K798" s="43">
        <v>12</v>
      </c>
      <c r="L798" s="43">
        <v>1716</v>
      </c>
      <c r="M798" s="47">
        <v>6.9889341875364009E-3</v>
      </c>
      <c r="N798" s="47">
        <v>26.6</v>
      </c>
      <c r="O798" s="46" t="s">
        <v>910</v>
      </c>
      <c r="P798" s="43">
        <v>247</v>
      </c>
      <c r="Q798" s="43">
        <v>10</v>
      </c>
      <c r="R798" s="45" t="s">
        <v>4281</v>
      </c>
      <c r="S798" s="46" t="s">
        <v>4124</v>
      </c>
    </row>
    <row r="799" spans="1:19" ht="42">
      <c r="A799" s="43">
        <v>795</v>
      </c>
      <c r="B799" s="43">
        <v>753</v>
      </c>
      <c r="C799" s="43">
        <v>242</v>
      </c>
      <c r="D799" s="44">
        <v>45140</v>
      </c>
      <c r="E799" s="45" t="s">
        <v>3690</v>
      </c>
      <c r="F799" s="46" t="s">
        <v>37</v>
      </c>
      <c r="G799" s="46" t="s">
        <v>1038</v>
      </c>
      <c r="H799" s="46" t="s">
        <v>1005</v>
      </c>
      <c r="I799" s="46" t="s">
        <v>512</v>
      </c>
      <c r="J799" s="46" t="s">
        <v>977</v>
      </c>
      <c r="K799" s="43">
        <v>11</v>
      </c>
      <c r="L799" s="43">
        <v>1119</v>
      </c>
      <c r="M799" s="47">
        <v>9.8214285714285712E-3</v>
      </c>
      <c r="N799" s="47">
        <v>26.6</v>
      </c>
      <c r="O799" s="46" t="s">
        <v>910</v>
      </c>
      <c r="P799" s="43">
        <v>19</v>
      </c>
      <c r="Q799" s="43">
        <v>20</v>
      </c>
      <c r="R799" s="45" t="s">
        <v>4275</v>
      </c>
      <c r="S799" s="46" t="s">
        <v>3691</v>
      </c>
    </row>
    <row r="800" spans="1:19" ht="42">
      <c r="A800" s="43">
        <v>796</v>
      </c>
      <c r="B800" s="43">
        <v>782</v>
      </c>
      <c r="C800" s="43">
        <v>577</v>
      </c>
      <c r="D800" s="44">
        <v>45518</v>
      </c>
      <c r="E800" s="45" t="s">
        <v>3036</v>
      </c>
      <c r="F800" s="46" t="s">
        <v>37</v>
      </c>
      <c r="G800" s="46" t="s">
        <v>1038</v>
      </c>
      <c r="H800" s="46" t="s">
        <v>1038</v>
      </c>
      <c r="I800" s="46" t="s">
        <v>515</v>
      </c>
      <c r="J800" s="46" t="s">
        <v>968</v>
      </c>
      <c r="K800" s="43">
        <v>10</v>
      </c>
      <c r="L800" s="43">
        <v>741</v>
      </c>
      <c r="M800" s="47">
        <v>1.3477088948787063E-2</v>
      </c>
      <c r="N800" s="47">
        <v>26.6</v>
      </c>
      <c r="O800" s="46" t="s">
        <v>910</v>
      </c>
      <c r="P800" s="43">
        <v>43</v>
      </c>
      <c r="Q800" s="43">
        <v>20</v>
      </c>
      <c r="R800" s="45" t="s">
        <v>4275</v>
      </c>
      <c r="S800" s="46" t="s">
        <v>3037</v>
      </c>
    </row>
    <row r="801" spans="1:19" ht="42">
      <c r="A801" s="43">
        <v>797</v>
      </c>
      <c r="B801" s="43">
        <v>804</v>
      </c>
      <c r="C801" s="43">
        <v>889</v>
      </c>
      <c r="D801" s="44">
        <v>45703</v>
      </c>
      <c r="E801" s="45" t="s">
        <v>2539</v>
      </c>
      <c r="F801" s="46" t="s">
        <v>371</v>
      </c>
      <c r="G801" s="46" t="s">
        <v>1038</v>
      </c>
      <c r="H801" s="46" t="s">
        <v>1134</v>
      </c>
      <c r="I801" s="46" t="s">
        <v>515</v>
      </c>
      <c r="J801" s="46" t="s">
        <v>977</v>
      </c>
      <c r="K801" s="43">
        <v>9</v>
      </c>
      <c r="L801" s="43">
        <v>556</v>
      </c>
      <c r="M801" s="47">
        <v>1.615798922800718E-2</v>
      </c>
      <c r="N801" s="47">
        <v>26.6</v>
      </c>
      <c r="O801" s="46" t="s">
        <v>910</v>
      </c>
      <c r="P801" s="43">
        <v>251</v>
      </c>
      <c r="Q801" s="43">
        <v>10</v>
      </c>
      <c r="R801" s="45" t="s">
        <v>4281</v>
      </c>
      <c r="S801" s="46" t="s">
        <v>2540</v>
      </c>
    </row>
    <row r="802" spans="1:19" ht="42">
      <c r="A802" s="43">
        <v>798</v>
      </c>
      <c r="B802" s="43">
        <v>754</v>
      </c>
      <c r="C802" s="43">
        <v>187</v>
      </c>
      <c r="D802" s="44">
        <v>45082</v>
      </c>
      <c r="E802" s="45" t="s">
        <v>3789</v>
      </c>
      <c r="F802" s="46" t="s">
        <v>37</v>
      </c>
      <c r="G802" s="46" t="s">
        <v>882</v>
      </c>
      <c r="H802" s="46" t="s">
        <v>965</v>
      </c>
      <c r="I802" s="46" t="s">
        <v>512</v>
      </c>
      <c r="J802" s="46" t="s">
        <v>977</v>
      </c>
      <c r="K802" s="43">
        <v>11</v>
      </c>
      <c r="L802" s="43">
        <v>1177</v>
      </c>
      <c r="M802" s="47">
        <v>9.3378607809847195E-3</v>
      </c>
      <c r="N802" s="47">
        <v>26.1</v>
      </c>
      <c r="O802" s="46" t="s">
        <v>910</v>
      </c>
      <c r="P802" s="43">
        <v>13</v>
      </c>
      <c r="Q802" s="43">
        <v>10</v>
      </c>
      <c r="R802" s="45" t="s">
        <v>4281</v>
      </c>
      <c r="S802" s="46" t="s">
        <v>3790</v>
      </c>
    </row>
    <row r="803" spans="1:19" ht="42">
      <c r="A803" s="43">
        <v>799</v>
      </c>
      <c r="B803" s="43">
        <v>783</v>
      </c>
      <c r="C803" s="43">
        <v>550</v>
      </c>
      <c r="D803" s="44">
        <v>45473</v>
      </c>
      <c r="E803" s="45" t="s">
        <v>3084</v>
      </c>
      <c r="F803" s="46" t="s">
        <v>37</v>
      </c>
      <c r="G803" s="46" t="s">
        <v>1038</v>
      </c>
      <c r="H803" s="46" t="s">
        <v>1005</v>
      </c>
      <c r="I803" s="46" t="s">
        <v>512</v>
      </c>
      <c r="J803" s="46" t="s">
        <v>968</v>
      </c>
      <c r="K803" s="43">
        <v>10</v>
      </c>
      <c r="L803" s="43">
        <v>786</v>
      </c>
      <c r="M803" s="47">
        <v>1.2706480304955527E-2</v>
      </c>
      <c r="N803" s="47">
        <v>26.1</v>
      </c>
      <c r="O803" s="46" t="s">
        <v>910</v>
      </c>
      <c r="P803" s="43">
        <v>994</v>
      </c>
      <c r="Q803" s="43">
        <v>20</v>
      </c>
      <c r="R803" s="45" t="s">
        <v>4278</v>
      </c>
      <c r="S803" s="46" t="s">
        <v>3085</v>
      </c>
    </row>
    <row r="804" spans="1:19" ht="42">
      <c r="A804" s="43">
        <v>800</v>
      </c>
      <c r="B804" s="43">
        <v>755</v>
      </c>
      <c r="C804" s="43">
        <v>186</v>
      </c>
      <c r="D804" s="44">
        <v>45081</v>
      </c>
      <c r="E804" s="45" t="s">
        <v>3792</v>
      </c>
      <c r="F804" s="46" t="s">
        <v>37</v>
      </c>
      <c r="G804" s="46" t="s">
        <v>1038</v>
      </c>
      <c r="H804" s="46" t="s">
        <v>1038</v>
      </c>
      <c r="I804" s="46" t="s">
        <v>512</v>
      </c>
      <c r="J804" s="46" t="s">
        <v>977</v>
      </c>
      <c r="K804" s="43">
        <v>11</v>
      </c>
      <c r="L804" s="43">
        <v>1178</v>
      </c>
      <c r="M804" s="47">
        <v>9.3299406276505514E-3</v>
      </c>
      <c r="N804" s="47">
        <v>26</v>
      </c>
      <c r="O804" s="46" t="s">
        <v>910</v>
      </c>
      <c r="P804" s="43">
        <v>102</v>
      </c>
      <c r="Q804" s="43">
        <v>20</v>
      </c>
      <c r="R804" s="45" t="s">
        <v>4275</v>
      </c>
      <c r="S804" s="46" t="s">
        <v>3793</v>
      </c>
    </row>
    <row r="805" spans="1:19" ht="42">
      <c r="A805" s="43">
        <v>801</v>
      </c>
      <c r="B805" s="43">
        <v>756</v>
      </c>
      <c r="C805" s="43">
        <v>178</v>
      </c>
      <c r="D805" s="44">
        <v>45080</v>
      </c>
      <c r="E805" s="45" t="s">
        <v>3804</v>
      </c>
      <c r="F805" s="46" t="s">
        <v>37</v>
      </c>
      <c r="G805" s="46" t="s">
        <v>882</v>
      </c>
      <c r="H805" s="46" t="s">
        <v>965</v>
      </c>
      <c r="I805" s="46" t="s">
        <v>515</v>
      </c>
      <c r="J805" s="46" t="s">
        <v>977</v>
      </c>
      <c r="K805" s="43">
        <v>11</v>
      </c>
      <c r="L805" s="43">
        <v>1179</v>
      </c>
      <c r="M805" s="47">
        <v>9.3220338983050852E-3</v>
      </c>
      <c r="N805" s="47">
        <v>26</v>
      </c>
      <c r="O805" s="46" t="s">
        <v>910</v>
      </c>
      <c r="P805" s="43">
        <v>338</v>
      </c>
      <c r="Q805" s="43">
        <v>10</v>
      </c>
      <c r="R805" s="45" t="s">
        <v>4281</v>
      </c>
      <c r="S805" s="46" t="s">
        <v>3805</v>
      </c>
    </row>
    <row r="806" spans="1:19" ht="31.5">
      <c r="A806" s="43">
        <v>802</v>
      </c>
      <c r="B806" s="43">
        <v>757</v>
      </c>
      <c r="C806" s="43">
        <v>155</v>
      </c>
      <c r="D806" s="44">
        <v>45054</v>
      </c>
      <c r="E806" s="45" t="s">
        <v>3840</v>
      </c>
      <c r="F806" s="46" t="s">
        <v>37</v>
      </c>
      <c r="G806" s="46" t="s">
        <v>1038</v>
      </c>
      <c r="H806" s="46" t="s">
        <v>1038</v>
      </c>
      <c r="I806" s="46" t="s">
        <v>515</v>
      </c>
      <c r="J806" s="46" t="s">
        <v>968</v>
      </c>
      <c r="K806" s="43">
        <v>11</v>
      </c>
      <c r="L806" s="43">
        <v>1205</v>
      </c>
      <c r="M806" s="47">
        <v>9.1210613598673301E-3</v>
      </c>
      <c r="N806" s="47">
        <v>25.9</v>
      </c>
      <c r="O806" s="46" t="s">
        <v>910</v>
      </c>
      <c r="P806" s="43">
        <v>577</v>
      </c>
      <c r="Q806" s="43">
        <v>30</v>
      </c>
      <c r="R806" s="45" t="s">
        <v>4283</v>
      </c>
      <c r="S806" s="46" t="s">
        <v>3841</v>
      </c>
    </row>
    <row r="807" spans="1:19" ht="42">
      <c r="A807" s="43">
        <v>803</v>
      </c>
      <c r="B807" s="43">
        <v>904</v>
      </c>
      <c r="C807" s="43">
        <v>991</v>
      </c>
      <c r="D807" s="44">
        <v>46021</v>
      </c>
      <c r="E807" s="45" t="s">
        <v>1941</v>
      </c>
      <c r="F807" s="46" t="s">
        <v>371</v>
      </c>
      <c r="G807" s="46" t="s">
        <v>894</v>
      </c>
      <c r="H807" s="46" t="s">
        <v>965</v>
      </c>
      <c r="I807" s="46" t="s">
        <v>512</v>
      </c>
      <c r="J807" s="46" t="s">
        <v>977</v>
      </c>
      <c r="K807" s="43">
        <v>6</v>
      </c>
      <c r="L807" s="43">
        <v>238</v>
      </c>
      <c r="M807" s="47">
        <v>2.5104602510460251E-2</v>
      </c>
      <c r="N807" s="47">
        <v>25.8</v>
      </c>
      <c r="O807" s="46" t="s">
        <v>910</v>
      </c>
      <c r="P807" s="43">
        <v>660</v>
      </c>
      <c r="Q807" s="43">
        <v>20</v>
      </c>
      <c r="R807" s="45" t="s">
        <v>4278</v>
      </c>
      <c r="S807" s="46" t="s">
        <v>1942</v>
      </c>
    </row>
    <row r="808" spans="1:19" ht="42">
      <c r="A808" s="43">
        <v>804</v>
      </c>
      <c r="B808" s="43">
        <v>805</v>
      </c>
      <c r="C808" s="43">
        <v>707</v>
      </c>
      <c r="D808" s="44">
        <v>45660</v>
      </c>
      <c r="E808" s="45" t="s">
        <v>2651</v>
      </c>
      <c r="F808" s="46" t="s">
        <v>37</v>
      </c>
      <c r="G808" s="46" t="s">
        <v>1038</v>
      </c>
      <c r="H808" s="46" t="s">
        <v>1038</v>
      </c>
      <c r="I808" s="46" t="s">
        <v>512</v>
      </c>
      <c r="J808" s="46" t="s">
        <v>977</v>
      </c>
      <c r="K808" s="43">
        <v>9</v>
      </c>
      <c r="L808" s="43">
        <v>599</v>
      </c>
      <c r="M808" s="47">
        <v>1.4999999999999999E-2</v>
      </c>
      <c r="N808" s="47">
        <v>25.6</v>
      </c>
      <c r="O808" s="46" t="s">
        <v>910</v>
      </c>
      <c r="P808" s="43">
        <v>283</v>
      </c>
      <c r="Q808" s="43">
        <v>20</v>
      </c>
      <c r="R808" s="45" t="s">
        <v>4275</v>
      </c>
      <c r="S808" s="46" t="s">
        <v>2652</v>
      </c>
    </row>
    <row r="809" spans="1:19" ht="31.5">
      <c r="A809" s="43">
        <v>805</v>
      </c>
      <c r="B809" s="43">
        <v>806</v>
      </c>
      <c r="C809" s="43">
        <v>701</v>
      </c>
      <c r="D809" s="44">
        <v>45658</v>
      </c>
      <c r="E809" s="45" t="s">
        <v>2666</v>
      </c>
      <c r="F809" s="46" t="s">
        <v>37</v>
      </c>
      <c r="G809" s="46" t="s">
        <v>1038</v>
      </c>
      <c r="H809" s="46" t="s">
        <v>1038</v>
      </c>
      <c r="I809" s="46" t="s">
        <v>515</v>
      </c>
      <c r="J809" s="46" t="s">
        <v>968</v>
      </c>
      <c r="K809" s="43">
        <v>9</v>
      </c>
      <c r="L809" s="43">
        <v>601</v>
      </c>
      <c r="M809" s="47">
        <v>1.4950166112956811E-2</v>
      </c>
      <c r="N809" s="47">
        <v>25.5</v>
      </c>
      <c r="O809" s="46" t="s">
        <v>910</v>
      </c>
      <c r="P809" s="43">
        <v>674</v>
      </c>
      <c r="Q809" s="43">
        <v>30</v>
      </c>
      <c r="R809" s="45" t="s">
        <v>4283</v>
      </c>
      <c r="S809" s="46" t="s">
        <v>2667</v>
      </c>
    </row>
    <row r="810" spans="1:19" ht="42">
      <c r="A810" s="43">
        <v>806</v>
      </c>
      <c r="B810" s="43">
        <v>758</v>
      </c>
      <c r="C810" s="43">
        <v>120</v>
      </c>
      <c r="D810" s="44">
        <v>44977</v>
      </c>
      <c r="E810" s="45" t="s">
        <v>3858</v>
      </c>
      <c r="F810" s="46" t="s">
        <v>37</v>
      </c>
      <c r="G810" s="46" t="s">
        <v>1038</v>
      </c>
      <c r="H810" s="46" t="s">
        <v>1038</v>
      </c>
      <c r="I810" s="46" t="s">
        <v>512</v>
      </c>
      <c r="J810" s="46" t="s">
        <v>968</v>
      </c>
      <c r="K810" s="43">
        <v>11</v>
      </c>
      <c r="L810" s="43">
        <v>1282</v>
      </c>
      <c r="M810" s="47">
        <v>8.5736554949337497E-3</v>
      </c>
      <c r="N810" s="47">
        <v>25.4</v>
      </c>
      <c r="O810" s="46" t="s">
        <v>910</v>
      </c>
      <c r="P810" s="43">
        <v>220</v>
      </c>
      <c r="Q810" s="43">
        <v>10</v>
      </c>
      <c r="R810" s="45" t="s">
        <v>4281</v>
      </c>
      <c r="S810" s="46" t="s">
        <v>3859</v>
      </c>
    </row>
    <row r="811" spans="1:19" ht="42">
      <c r="A811" s="43">
        <v>807</v>
      </c>
      <c r="B811" s="43">
        <v>807</v>
      </c>
      <c r="C811" s="43">
        <v>673</v>
      </c>
      <c r="D811" s="44">
        <v>45636</v>
      </c>
      <c r="E811" s="45" t="s">
        <v>2758</v>
      </c>
      <c r="F811" s="46" t="s">
        <v>37</v>
      </c>
      <c r="G811" s="46" t="s">
        <v>1038</v>
      </c>
      <c r="H811" s="46" t="s">
        <v>1005</v>
      </c>
      <c r="I811" s="46" t="s">
        <v>512</v>
      </c>
      <c r="J811" s="46" t="s">
        <v>968</v>
      </c>
      <c r="K811" s="43">
        <v>9</v>
      </c>
      <c r="L811" s="43">
        <v>623</v>
      </c>
      <c r="M811" s="47">
        <v>1.4423076923076924E-2</v>
      </c>
      <c r="N811" s="47">
        <v>25.2</v>
      </c>
      <c r="O811" s="46" t="s">
        <v>910</v>
      </c>
      <c r="P811" s="43">
        <v>419</v>
      </c>
      <c r="Q811" s="43">
        <v>10</v>
      </c>
      <c r="R811" s="45" t="s">
        <v>4281</v>
      </c>
      <c r="S811" s="46" t="s">
        <v>2759</v>
      </c>
    </row>
    <row r="812" spans="1:19" ht="42">
      <c r="A812" s="43">
        <v>808</v>
      </c>
      <c r="B812" s="43">
        <v>784</v>
      </c>
      <c r="C812" s="43">
        <v>486</v>
      </c>
      <c r="D812" s="44">
        <v>45381</v>
      </c>
      <c r="E812" s="45" t="s">
        <v>3233</v>
      </c>
      <c r="F812" s="46" t="s">
        <v>37</v>
      </c>
      <c r="G812" s="46" t="s">
        <v>1038</v>
      </c>
      <c r="H812" s="46" t="s">
        <v>1038</v>
      </c>
      <c r="I812" s="46" t="s">
        <v>519</v>
      </c>
      <c r="J812" s="46" t="s">
        <v>968</v>
      </c>
      <c r="K812" s="43">
        <v>10</v>
      </c>
      <c r="L812" s="43">
        <v>878</v>
      </c>
      <c r="M812" s="47">
        <v>1.1376564277588168E-2</v>
      </c>
      <c r="N812" s="47">
        <v>25</v>
      </c>
      <c r="O812" s="46" t="s">
        <v>910</v>
      </c>
      <c r="P812" s="43">
        <v>426</v>
      </c>
      <c r="Q812" s="43">
        <v>10</v>
      </c>
      <c r="R812" s="45" t="s">
        <v>4281</v>
      </c>
      <c r="S812" s="46" t="s">
        <v>3234</v>
      </c>
    </row>
    <row r="813" spans="1:19" ht="42">
      <c r="A813" s="43">
        <v>809</v>
      </c>
      <c r="B813" s="43">
        <v>874</v>
      </c>
      <c r="C813" s="43">
        <v>1075</v>
      </c>
      <c r="D813" s="44">
        <v>45906</v>
      </c>
      <c r="E813" s="45" t="s">
        <v>2173</v>
      </c>
      <c r="F813" s="46" t="s">
        <v>382</v>
      </c>
      <c r="G813" s="46" t="s">
        <v>918</v>
      </c>
      <c r="H813" s="46" t="s">
        <v>1317</v>
      </c>
      <c r="I813" s="46" t="s">
        <v>512</v>
      </c>
      <c r="J813" s="46" t="s">
        <v>977</v>
      </c>
      <c r="K813" s="43">
        <v>7</v>
      </c>
      <c r="L813" s="43">
        <v>353</v>
      </c>
      <c r="M813" s="47">
        <v>1.977401129943503E-2</v>
      </c>
      <c r="N813" s="47">
        <v>25</v>
      </c>
      <c r="O813" s="46" t="s">
        <v>910</v>
      </c>
      <c r="P813" s="43">
        <v>275</v>
      </c>
      <c r="Q813" s="43">
        <v>20</v>
      </c>
      <c r="R813" s="45" t="s">
        <v>4275</v>
      </c>
      <c r="S813" s="46" t="s">
        <v>2174</v>
      </c>
    </row>
    <row r="814" spans="1:19" ht="42">
      <c r="A814" s="43">
        <v>810</v>
      </c>
      <c r="B814" s="43">
        <v>759</v>
      </c>
      <c r="C814" s="43">
        <v>95</v>
      </c>
      <c r="D814" s="44">
        <v>44887</v>
      </c>
      <c r="E814" s="45" t="s">
        <v>3913</v>
      </c>
      <c r="F814" s="46" t="s">
        <v>37</v>
      </c>
      <c r="G814" s="46" t="s">
        <v>885</v>
      </c>
      <c r="H814" s="46" t="s">
        <v>965</v>
      </c>
      <c r="I814" s="46" t="s">
        <v>515</v>
      </c>
      <c r="J814" s="46" t="s">
        <v>977</v>
      </c>
      <c r="K814" s="43">
        <v>11</v>
      </c>
      <c r="L814" s="43">
        <v>1372</v>
      </c>
      <c r="M814" s="47">
        <v>8.0116533139111441E-3</v>
      </c>
      <c r="N814" s="47">
        <v>24.9</v>
      </c>
      <c r="O814" s="46" t="s">
        <v>925</v>
      </c>
      <c r="P814" s="43">
        <v>864</v>
      </c>
      <c r="Q814" s="43">
        <v>20</v>
      </c>
      <c r="R814" s="45" t="s">
        <v>4278</v>
      </c>
      <c r="S814" s="46" t="s">
        <v>3914</v>
      </c>
    </row>
    <row r="815" spans="1:19" ht="42">
      <c r="A815" s="43">
        <v>811</v>
      </c>
      <c r="B815" s="43">
        <v>785</v>
      </c>
      <c r="C815" s="43">
        <v>463</v>
      </c>
      <c r="D815" s="44">
        <v>45361</v>
      </c>
      <c r="E815" s="45" t="s">
        <v>3287</v>
      </c>
      <c r="F815" s="46" t="s">
        <v>37</v>
      </c>
      <c r="G815" s="46" t="s">
        <v>882</v>
      </c>
      <c r="H815" s="46" t="s">
        <v>965</v>
      </c>
      <c r="I815" s="46" t="s">
        <v>512</v>
      </c>
      <c r="J815" s="46" t="s">
        <v>977</v>
      </c>
      <c r="K815" s="43">
        <v>10</v>
      </c>
      <c r="L815" s="43">
        <v>898</v>
      </c>
      <c r="M815" s="47">
        <v>1.1123470522803115E-2</v>
      </c>
      <c r="N815" s="47">
        <v>24.9</v>
      </c>
      <c r="O815" s="46" t="s">
        <v>925</v>
      </c>
      <c r="P815" s="43">
        <v>440</v>
      </c>
      <c r="Q815" s="43">
        <v>10</v>
      </c>
      <c r="R815" s="45" t="s">
        <v>4281</v>
      </c>
      <c r="S815" s="46" t="s">
        <v>3288</v>
      </c>
    </row>
    <row r="816" spans="1:19" ht="42">
      <c r="A816" s="43">
        <v>812</v>
      </c>
      <c r="B816" s="43">
        <v>786</v>
      </c>
      <c r="C816" s="43">
        <v>377</v>
      </c>
      <c r="D816" s="44">
        <v>45303</v>
      </c>
      <c r="E816" s="45" t="s">
        <v>3435</v>
      </c>
      <c r="F816" s="46" t="s">
        <v>37</v>
      </c>
      <c r="G816" s="46" t="s">
        <v>1038</v>
      </c>
      <c r="H816" s="46" t="s">
        <v>1038</v>
      </c>
      <c r="I816" s="46" t="s">
        <v>512</v>
      </c>
      <c r="J816" s="46" t="s">
        <v>977</v>
      </c>
      <c r="K816" s="43">
        <v>10</v>
      </c>
      <c r="L816" s="43">
        <v>956</v>
      </c>
      <c r="M816" s="47">
        <v>1.0449320794148381E-2</v>
      </c>
      <c r="N816" s="47">
        <v>24.5</v>
      </c>
      <c r="O816" s="46" t="s">
        <v>925</v>
      </c>
      <c r="P816" s="43">
        <v>14</v>
      </c>
      <c r="Q816" s="43">
        <v>20</v>
      </c>
      <c r="R816" s="45" t="s">
        <v>4275</v>
      </c>
      <c r="S816" s="46" t="s">
        <v>3436</v>
      </c>
    </row>
    <row r="817" spans="1:19" ht="31.5">
      <c r="A817" s="43">
        <v>813</v>
      </c>
      <c r="B817" s="43">
        <v>710</v>
      </c>
      <c r="C817" s="43">
        <v>842</v>
      </c>
      <c r="D817" s="44">
        <v>43784</v>
      </c>
      <c r="E817" s="45" t="s">
        <v>4171</v>
      </c>
      <c r="F817" s="46" t="s">
        <v>392</v>
      </c>
      <c r="G817" s="46" t="s">
        <v>1038</v>
      </c>
      <c r="H817" s="46" t="s">
        <v>1038</v>
      </c>
      <c r="I817" s="46" t="s">
        <v>519</v>
      </c>
      <c r="J817" s="46" t="s">
        <v>977</v>
      </c>
      <c r="K817" s="43">
        <v>12</v>
      </c>
      <c r="L817" s="43">
        <v>2475</v>
      </c>
      <c r="M817" s="47">
        <v>4.8465266558966073E-3</v>
      </c>
      <c r="N817" s="47">
        <v>24.3</v>
      </c>
      <c r="O817" s="46" t="s">
        <v>925</v>
      </c>
      <c r="P817" s="43">
        <v>871</v>
      </c>
      <c r="Q817" s="43">
        <v>30</v>
      </c>
      <c r="R817" s="45" t="s">
        <v>4283</v>
      </c>
      <c r="S817" s="46" t="s">
        <v>4172</v>
      </c>
    </row>
    <row r="818" spans="1:19" ht="42">
      <c r="A818" s="43">
        <v>814</v>
      </c>
      <c r="B818" s="43">
        <v>845</v>
      </c>
      <c r="C818" s="43">
        <v>900</v>
      </c>
      <c r="D818" s="44">
        <v>45764</v>
      </c>
      <c r="E818" s="45" t="s">
        <v>2488</v>
      </c>
      <c r="F818" s="46" t="s">
        <v>371</v>
      </c>
      <c r="G818" s="46" t="s">
        <v>899</v>
      </c>
      <c r="H818" s="46" t="s">
        <v>965</v>
      </c>
      <c r="I818" s="46" t="s">
        <v>526</v>
      </c>
      <c r="J818" s="46" t="s">
        <v>977</v>
      </c>
      <c r="K818" s="43">
        <v>8</v>
      </c>
      <c r="L818" s="43">
        <v>495</v>
      </c>
      <c r="M818" s="47">
        <v>1.6129032258064516E-2</v>
      </c>
      <c r="N818" s="47">
        <v>24.3</v>
      </c>
      <c r="O818" s="46" t="s">
        <v>925</v>
      </c>
      <c r="P818" s="43">
        <v>394</v>
      </c>
      <c r="Q818" s="43">
        <v>20</v>
      </c>
      <c r="R818" s="45" t="s">
        <v>4275</v>
      </c>
      <c r="S818" s="46" t="s">
        <v>2489</v>
      </c>
    </row>
    <row r="819" spans="1:19" ht="42">
      <c r="A819" s="43">
        <v>815</v>
      </c>
      <c r="B819" s="43">
        <v>808</v>
      </c>
      <c r="C819" s="43">
        <v>1020</v>
      </c>
      <c r="D819" s="44">
        <v>45570</v>
      </c>
      <c r="E819" s="45" t="s">
        <v>2886</v>
      </c>
      <c r="F819" s="46" t="s">
        <v>382</v>
      </c>
      <c r="G819" s="46" t="s">
        <v>878</v>
      </c>
      <c r="H819" s="46" t="s">
        <v>965</v>
      </c>
      <c r="I819" s="46" t="s">
        <v>515</v>
      </c>
      <c r="J819" s="46" t="s">
        <v>977</v>
      </c>
      <c r="K819" s="43">
        <v>9</v>
      </c>
      <c r="L819" s="43">
        <v>689</v>
      </c>
      <c r="M819" s="47">
        <v>1.3043478260869565E-2</v>
      </c>
      <c r="N819" s="47">
        <v>24.2</v>
      </c>
      <c r="O819" s="46" t="s">
        <v>925</v>
      </c>
      <c r="P819" s="43">
        <v>43</v>
      </c>
      <c r="Q819" s="43">
        <v>20</v>
      </c>
      <c r="R819" s="45" t="s">
        <v>4275</v>
      </c>
      <c r="S819" s="46" t="s">
        <v>2887</v>
      </c>
    </row>
    <row r="820" spans="1:19" ht="42">
      <c r="A820" s="43">
        <v>816</v>
      </c>
      <c r="B820" s="43">
        <v>809</v>
      </c>
      <c r="C820" s="43">
        <v>623</v>
      </c>
      <c r="D820" s="44">
        <v>45569</v>
      </c>
      <c r="E820" s="45" t="s">
        <v>2889</v>
      </c>
      <c r="F820" s="46" t="s">
        <v>37</v>
      </c>
      <c r="G820" s="46" t="s">
        <v>1038</v>
      </c>
      <c r="H820" s="46" t="s">
        <v>1038</v>
      </c>
      <c r="I820" s="46" t="s">
        <v>512</v>
      </c>
      <c r="J820" s="46" t="s">
        <v>977</v>
      </c>
      <c r="K820" s="43">
        <v>9</v>
      </c>
      <c r="L820" s="43">
        <v>690</v>
      </c>
      <c r="M820" s="47">
        <v>1.3024602026049204E-2</v>
      </c>
      <c r="N820" s="47">
        <v>24.2</v>
      </c>
      <c r="O820" s="46" t="s">
        <v>925</v>
      </c>
      <c r="P820" s="43">
        <v>82</v>
      </c>
      <c r="Q820" s="43">
        <v>10</v>
      </c>
      <c r="R820" s="45" t="s">
        <v>4281</v>
      </c>
      <c r="S820" s="46" t="s">
        <v>2890</v>
      </c>
    </row>
    <row r="821" spans="1:19" ht="42">
      <c r="A821" s="43">
        <v>817</v>
      </c>
      <c r="B821" s="43">
        <v>875</v>
      </c>
      <c r="C821" s="43">
        <v>779</v>
      </c>
      <c r="D821" s="44">
        <v>45881</v>
      </c>
      <c r="E821" s="45" t="s">
        <v>2219</v>
      </c>
      <c r="F821" s="46" t="s">
        <v>37</v>
      </c>
      <c r="G821" s="46" t="s">
        <v>884</v>
      </c>
      <c r="H821" s="46" t="s">
        <v>965</v>
      </c>
      <c r="I821" s="46" t="s">
        <v>519</v>
      </c>
      <c r="J821" s="46" t="s">
        <v>968</v>
      </c>
      <c r="K821" s="43">
        <v>7</v>
      </c>
      <c r="L821" s="43">
        <v>378</v>
      </c>
      <c r="M821" s="47">
        <v>1.8469656992084433E-2</v>
      </c>
      <c r="N821" s="47">
        <v>24.2</v>
      </c>
      <c r="O821" s="46" t="s">
        <v>925</v>
      </c>
      <c r="P821" s="43">
        <v>465</v>
      </c>
      <c r="Q821" s="43">
        <v>20</v>
      </c>
      <c r="R821" s="45" t="s">
        <v>4275</v>
      </c>
      <c r="S821" s="46" t="s">
        <v>2220</v>
      </c>
    </row>
    <row r="822" spans="1:19" ht="42">
      <c r="A822" s="43">
        <v>818</v>
      </c>
      <c r="B822" s="43">
        <v>810</v>
      </c>
      <c r="C822" s="43">
        <v>609</v>
      </c>
      <c r="D822" s="44">
        <v>45560</v>
      </c>
      <c r="E822" s="45" t="s">
        <v>2955</v>
      </c>
      <c r="F822" s="46" t="s">
        <v>37</v>
      </c>
      <c r="G822" s="46" t="s">
        <v>896</v>
      </c>
      <c r="H822" s="46" t="s">
        <v>965</v>
      </c>
      <c r="I822" s="46" t="s">
        <v>512</v>
      </c>
      <c r="J822" s="46" t="s">
        <v>977</v>
      </c>
      <c r="K822" s="43">
        <v>9</v>
      </c>
      <c r="L822" s="43">
        <v>699</v>
      </c>
      <c r="M822" s="47">
        <v>1.2857142857142857E-2</v>
      </c>
      <c r="N822" s="47">
        <v>24.1</v>
      </c>
      <c r="O822" s="46" t="s">
        <v>925</v>
      </c>
      <c r="P822" s="43">
        <v>471</v>
      </c>
      <c r="Q822" s="43">
        <v>10</v>
      </c>
      <c r="R822" s="45" t="s">
        <v>4281</v>
      </c>
      <c r="S822" s="46" t="s">
        <v>2956</v>
      </c>
    </row>
    <row r="823" spans="1:19" ht="42">
      <c r="A823" s="43">
        <v>819</v>
      </c>
      <c r="B823" s="43">
        <v>905</v>
      </c>
      <c r="C823" s="43">
        <v>1081</v>
      </c>
      <c r="D823" s="44">
        <v>45984</v>
      </c>
      <c r="E823" s="45" t="s">
        <v>2065</v>
      </c>
      <c r="F823" s="46" t="s">
        <v>382</v>
      </c>
      <c r="G823" s="46" t="s">
        <v>1038</v>
      </c>
      <c r="H823" s="46" t="s">
        <v>1038</v>
      </c>
      <c r="I823" s="46" t="s">
        <v>512</v>
      </c>
      <c r="J823" s="46" t="s">
        <v>968</v>
      </c>
      <c r="K823" s="43">
        <v>6</v>
      </c>
      <c r="L823" s="43">
        <v>275</v>
      </c>
      <c r="M823" s="47">
        <v>2.1739130434782608E-2</v>
      </c>
      <c r="N823" s="47">
        <v>24.1</v>
      </c>
      <c r="O823" s="46" t="s">
        <v>925</v>
      </c>
      <c r="P823" s="43">
        <v>348</v>
      </c>
      <c r="Q823" s="43">
        <v>10</v>
      </c>
      <c r="R823" s="45" t="s">
        <v>4281</v>
      </c>
      <c r="S823" s="46" t="s">
        <v>2066</v>
      </c>
    </row>
    <row r="824" spans="1:19" ht="42">
      <c r="A824" s="43">
        <v>820</v>
      </c>
      <c r="B824" s="43">
        <v>760</v>
      </c>
      <c r="C824" s="43">
        <v>33</v>
      </c>
      <c r="D824" s="44">
        <v>44680</v>
      </c>
      <c r="E824" s="45" t="s">
        <v>4033</v>
      </c>
      <c r="F824" s="46" t="s">
        <v>37</v>
      </c>
      <c r="G824" s="46" t="s">
        <v>1038</v>
      </c>
      <c r="H824" s="46" t="s">
        <v>1038</v>
      </c>
      <c r="I824" s="46" t="s">
        <v>519</v>
      </c>
      <c r="J824" s="46" t="s">
        <v>977</v>
      </c>
      <c r="K824" s="43">
        <v>11</v>
      </c>
      <c r="L824" s="43">
        <v>1579</v>
      </c>
      <c r="M824" s="47">
        <v>6.962025316455696E-3</v>
      </c>
      <c r="N824" s="47">
        <v>23.8</v>
      </c>
      <c r="O824" s="46" t="s">
        <v>925</v>
      </c>
      <c r="P824" s="43">
        <v>391</v>
      </c>
      <c r="Q824" s="43">
        <v>20</v>
      </c>
      <c r="R824" s="45" t="s">
        <v>4275</v>
      </c>
      <c r="S824" s="46" t="s">
        <v>4034</v>
      </c>
    </row>
    <row r="825" spans="1:19" ht="42">
      <c r="A825" s="43">
        <v>821</v>
      </c>
      <c r="B825" s="43">
        <v>811</v>
      </c>
      <c r="C825" s="43">
        <v>593</v>
      </c>
      <c r="D825" s="44">
        <v>45542</v>
      </c>
      <c r="E825" s="45" t="s">
        <v>2997</v>
      </c>
      <c r="F825" s="46" t="s">
        <v>37</v>
      </c>
      <c r="G825" s="46" t="s">
        <v>878</v>
      </c>
      <c r="H825" s="46" t="s">
        <v>965</v>
      </c>
      <c r="I825" s="46" t="s">
        <v>522</v>
      </c>
      <c r="J825" s="46" t="s">
        <v>968</v>
      </c>
      <c r="K825" s="43">
        <v>9</v>
      </c>
      <c r="L825" s="43">
        <v>717</v>
      </c>
      <c r="M825" s="47">
        <v>1.2534818941504178E-2</v>
      </c>
      <c r="N825" s="47">
        <v>23.8</v>
      </c>
      <c r="O825" s="46" t="s">
        <v>925</v>
      </c>
      <c r="P825" s="43">
        <v>408</v>
      </c>
      <c r="Q825" s="43">
        <v>20</v>
      </c>
      <c r="R825" s="45" t="s">
        <v>4275</v>
      </c>
      <c r="S825" s="46" t="s">
        <v>2998</v>
      </c>
    </row>
    <row r="826" spans="1:19" ht="42">
      <c r="A826" s="43">
        <v>822</v>
      </c>
      <c r="B826" s="43">
        <v>812</v>
      </c>
      <c r="C826" s="43">
        <v>590</v>
      </c>
      <c r="D826" s="44">
        <v>45539</v>
      </c>
      <c r="E826" s="45" t="s">
        <v>3003</v>
      </c>
      <c r="F826" s="46" t="s">
        <v>37</v>
      </c>
      <c r="G826" s="46" t="s">
        <v>902</v>
      </c>
      <c r="H826" s="46" t="s">
        <v>965</v>
      </c>
      <c r="I826" s="46" t="s">
        <v>522</v>
      </c>
      <c r="J826" s="46" t="s">
        <v>968</v>
      </c>
      <c r="K826" s="43">
        <v>9</v>
      </c>
      <c r="L826" s="43">
        <v>720</v>
      </c>
      <c r="M826" s="47">
        <v>1.2482662968099861E-2</v>
      </c>
      <c r="N826" s="47">
        <v>23.8</v>
      </c>
      <c r="O826" s="46" t="s">
        <v>925</v>
      </c>
      <c r="P826" s="43">
        <v>501</v>
      </c>
      <c r="Q826" s="43">
        <v>20</v>
      </c>
      <c r="R826" s="45" t="s">
        <v>4278</v>
      </c>
      <c r="S826" s="46" t="s">
        <v>3004</v>
      </c>
    </row>
    <row r="827" spans="1:19" ht="42">
      <c r="A827" s="43">
        <v>823</v>
      </c>
      <c r="B827" s="43">
        <v>787</v>
      </c>
      <c r="C827" s="43">
        <v>311</v>
      </c>
      <c r="D827" s="44">
        <v>45190</v>
      </c>
      <c r="E827" s="45" t="s">
        <v>3569</v>
      </c>
      <c r="F827" s="46" t="s">
        <v>37</v>
      </c>
      <c r="G827" s="46" t="s">
        <v>1038</v>
      </c>
      <c r="H827" s="46" t="s">
        <v>1038</v>
      </c>
      <c r="I827" s="46" t="s">
        <v>519</v>
      </c>
      <c r="J827" s="46" t="s">
        <v>977</v>
      </c>
      <c r="K827" s="43">
        <v>10</v>
      </c>
      <c r="L827" s="43">
        <v>1069</v>
      </c>
      <c r="M827" s="47">
        <v>9.3457943925233638E-3</v>
      </c>
      <c r="N827" s="47">
        <v>23.6</v>
      </c>
      <c r="O827" s="46" t="s">
        <v>925</v>
      </c>
      <c r="P827" s="43">
        <v>16</v>
      </c>
      <c r="Q827" s="43">
        <v>20</v>
      </c>
      <c r="R827" s="45" t="s">
        <v>4275</v>
      </c>
      <c r="S827" s="46" t="s">
        <v>3570</v>
      </c>
    </row>
    <row r="828" spans="1:19" ht="42">
      <c r="A828" s="43">
        <v>824</v>
      </c>
      <c r="B828" s="43">
        <v>813</v>
      </c>
      <c r="C828" s="43">
        <v>579</v>
      </c>
      <c r="D828" s="44">
        <v>45519</v>
      </c>
      <c r="E828" s="45" t="s">
        <v>3033</v>
      </c>
      <c r="F828" s="46" t="s">
        <v>37</v>
      </c>
      <c r="G828" s="46" t="s">
        <v>893</v>
      </c>
      <c r="H828" s="46" t="s">
        <v>965</v>
      </c>
      <c r="I828" s="46" t="s">
        <v>512</v>
      </c>
      <c r="J828" s="46" t="s">
        <v>968</v>
      </c>
      <c r="K828" s="43">
        <v>9</v>
      </c>
      <c r="L828" s="43">
        <v>740</v>
      </c>
      <c r="M828" s="47">
        <v>1.2145748987854251E-2</v>
      </c>
      <c r="N828" s="47">
        <v>23.6</v>
      </c>
      <c r="O828" s="46" t="s">
        <v>925</v>
      </c>
      <c r="P828" s="43">
        <v>524</v>
      </c>
      <c r="Q828" s="43">
        <v>20</v>
      </c>
      <c r="R828" s="45" t="s">
        <v>4278</v>
      </c>
      <c r="S828" s="46" t="s">
        <v>3034</v>
      </c>
    </row>
    <row r="829" spans="1:19" ht="42">
      <c r="A829" s="43">
        <v>825</v>
      </c>
      <c r="B829" s="43">
        <v>788</v>
      </c>
      <c r="C829" s="43">
        <v>250</v>
      </c>
      <c r="D829" s="44">
        <v>45150</v>
      </c>
      <c r="E829" s="45" t="s">
        <v>3675</v>
      </c>
      <c r="F829" s="46" t="s">
        <v>37</v>
      </c>
      <c r="G829" s="46" t="s">
        <v>1038</v>
      </c>
      <c r="H829" s="46" t="s">
        <v>1038</v>
      </c>
      <c r="I829" s="46" t="s">
        <v>512</v>
      </c>
      <c r="J829" s="46" t="s">
        <v>968</v>
      </c>
      <c r="K829" s="43">
        <v>10</v>
      </c>
      <c r="L829" s="43">
        <v>1109</v>
      </c>
      <c r="M829" s="47">
        <v>9.0090090090090089E-3</v>
      </c>
      <c r="N829" s="47">
        <v>23.3</v>
      </c>
      <c r="O829" s="46" t="s">
        <v>925</v>
      </c>
      <c r="P829" s="43">
        <v>399</v>
      </c>
      <c r="Q829" s="43">
        <v>20</v>
      </c>
      <c r="R829" s="45" t="s">
        <v>4275</v>
      </c>
      <c r="S829" s="46" t="s">
        <v>3676</v>
      </c>
    </row>
    <row r="830" spans="1:19" ht="42">
      <c r="A830" s="43">
        <v>826</v>
      </c>
      <c r="B830" s="43">
        <v>789</v>
      </c>
      <c r="C830" s="43">
        <v>245</v>
      </c>
      <c r="D830" s="44">
        <v>45141</v>
      </c>
      <c r="E830" s="45" t="s">
        <v>3681</v>
      </c>
      <c r="F830" s="46" t="s">
        <v>37</v>
      </c>
      <c r="G830" s="46" t="s">
        <v>1038</v>
      </c>
      <c r="H830" s="46" t="s">
        <v>1134</v>
      </c>
      <c r="I830" s="46" t="s">
        <v>515</v>
      </c>
      <c r="J830" s="46" t="s">
        <v>977</v>
      </c>
      <c r="K830" s="43">
        <v>10</v>
      </c>
      <c r="L830" s="43">
        <v>1118</v>
      </c>
      <c r="M830" s="47">
        <v>8.9365504915102766E-3</v>
      </c>
      <c r="N830" s="47">
        <v>23.3</v>
      </c>
      <c r="O830" s="46" t="s">
        <v>925</v>
      </c>
      <c r="P830" s="43">
        <v>502</v>
      </c>
      <c r="Q830" s="43">
        <v>20</v>
      </c>
      <c r="R830" s="45" t="s">
        <v>4278</v>
      </c>
      <c r="S830" s="46" t="s">
        <v>3682</v>
      </c>
    </row>
    <row r="831" spans="1:19" ht="42">
      <c r="A831" s="43">
        <v>827</v>
      </c>
      <c r="B831" s="43">
        <v>790</v>
      </c>
      <c r="C831" s="43">
        <v>243</v>
      </c>
      <c r="D831" s="44">
        <v>45140</v>
      </c>
      <c r="E831" s="45" t="s">
        <v>3687</v>
      </c>
      <c r="F831" s="46" t="s">
        <v>37</v>
      </c>
      <c r="G831" s="46" t="s">
        <v>1038</v>
      </c>
      <c r="H831" s="46" t="s">
        <v>1038</v>
      </c>
      <c r="I831" s="46" t="s">
        <v>512</v>
      </c>
      <c r="J831" s="46" t="s">
        <v>968</v>
      </c>
      <c r="K831" s="43">
        <v>10</v>
      </c>
      <c r="L831" s="43">
        <v>1119</v>
      </c>
      <c r="M831" s="47">
        <v>8.9285714285714281E-3</v>
      </c>
      <c r="N831" s="47">
        <v>23.2</v>
      </c>
      <c r="O831" s="46" t="s">
        <v>925</v>
      </c>
      <c r="P831" s="43">
        <v>51</v>
      </c>
      <c r="Q831" s="43">
        <v>10</v>
      </c>
      <c r="R831" s="45" t="s">
        <v>4281</v>
      </c>
      <c r="S831" s="46" t="s">
        <v>3688</v>
      </c>
    </row>
    <row r="832" spans="1:19" ht="31.5">
      <c r="A832" s="43">
        <v>828</v>
      </c>
      <c r="B832" s="43">
        <v>761</v>
      </c>
      <c r="C832" s="43">
        <v>127</v>
      </c>
      <c r="D832" s="44">
        <v>44503</v>
      </c>
      <c r="E832" s="45" t="s">
        <v>4141</v>
      </c>
      <c r="F832" s="46" t="s">
        <v>37</v>
      </c>
      <c r="G832" s="46" t="s">
        <v>878</v>
      </c>
      <c r="H832" s="46" t="s">
        <v>965</v>
      </c>
      <c r="I832" s="46" t="s">
        <v>515</v>
      </c>
      <c r="J832" s="46" t="s">
        <v>977</v>
      </c>
      <c r="K832" s="43">
        <v>11</v>
      </c>
      <c r="L832" s="43">
        <v>1756</v>
      </c>
      <c r="M832" s="47">
        <v>6.2606715993170177E-3</v>
      </c>
      <c r="N832" s="47">
        <v>23.1</v>
      </c>
      <c r="O832" s="46" t="s">
        <v>925</v>
      </c>
      <c r="P832" s="43">
        <v>511</v>
      </c>
      <c r="Q832" s="43">
        <v>30</v>
      </c>
      <c r="R832" s="45" t="s">
        <v>4283</v>
      </c>
      <c r="S832" s="46" t="s">
        <v>4142</v>
      </c>
    </row>
    <row r="833" spans="1:19" ht="42">
      <c r="A833" s="43">
        <v>829</v>
      </c>
      <c r="B833" s="43">
        <v>791</v>
      </c>
      <c r="C833" s="43">
        <v>229</v>
      </c>
      <c r="D833" s="44">
        <v>45122</v>
      </c>
      <c r="E833" s="45" t="s">
        <v>3720</v>
      </c>
      <c r="F833" s="46" t="s">
        <v>37</v>
      </c>
      <c r="G833" s="46" t="s">
        <v>1038</v>
      </c>
      <c r="H833" s="46" t="s">
        <v>1134</v>
      </c>
      <c r="I833" s="46" t="s">
        <v>515</v>
      </c>
      <c r="J833" s="46" t="s">
        <v>977</v>
      </c>
      <c r="K833" s="43">
        <v>10</v>
      </c>
      <c r="L833" s="43">
        <v>1137</v>
      </c>
      <c r="M833" s="47">
        <v>8.7873462214411256E-3</v>
      </c>
      <c r="N833" s="47">
        <v>23.1</v>
      </c>
      <c r="O833" s="46" t="s">
        <v>925</v>
      </c>
      <c r="P833" s="43">
        <v>483</v>
      </c>
      <c r="Q833" s="43">
        <v>10</v>
      </c>
      <c r="R833" s="45" t="s">
        <v>4281</v>
      </c>
      <c r="S833" s="46" t="s">
        <v>3721</v>
      </c>
    </row>
    <row r="834" spans="1:19" ht="42">
      <c r="A834" s="43">
        <v>830</v>
      </c>
      <c r="B834" s="43">
        <v>876</v>
      </c>
      <c r="C834" s="43">
        <v>929</v>
      </c>
      <c r="D834" s="44">
        <v>45844</v>
      </c>
      <c r="E834" s="45" t="s">
        <v>2340</v>
      </c>
      <c r="F834" s="46" t="s">
        <v>371</v>
      </c>
      <c r="G834" s="46" t="s">
        <v>899</v>
      </c>
      <c r="H834" s="46" t="s">
        <v>965</v>
      </c>
      <c r="I834" s="46" t="s">
        <v>519</v>
      </c>
      <c r="J834" s="46" t="s">
        <v>977</v>
      </c>
      <c r="K834" s="43">
        <v>7</v>
      </c>
      <c r="L834" s="43">
        <v>415</v>
      </c>
      <c r="M834" s="47">
        <v>1.6826923076923076E-2</v>
      </c>
      <c r="N834" s="47">
        <v>23</v>
      </c>
      <c r="O834" s="46" t="s">
        <v>925</v>
      </c>
      <c r="P834" s="43">
        <v>540</v>
      </c>
      <c r="Q834" s="43">
        <v>20</v>
      </c>
      <c r="R834" s="45" t="s">
        <v>4278</v>
      </c>
      <c r="S834" s="46" t="s">
        <v>2341</v>
      </c>
    </row>
    <row r="835" spans="1:19" ht="42">
      <c r="A835" s="43">
        <v>831</v>
      </c>
      <c r="B835" s="43">
        <v>814</v>
      </c>
      <c r="C835" s="43">
        <v>518</v>
      </c>
      <c r="D835" s="44">
        <v>45419</v>
      </c>
      <c r="E835" s="45" t="s">
        <v>3174</v>
      </c>
      <c r="F835" s="46" t="s">
        <v>37</v>
      </c>
      <c r="G835" s="46" t="s">
        <v>1038</v>
      </c>
      <c r="H835" s="46" t="s">
        <v>1005</v>
      </c>
      <c r="I835" s="46" t="s">
        <v>515</v>
      </c>
      <c r="J835" s="46" t="s">
        <v>968</v>
      </c>
      <c r="K835" s="43">
        <v>9</v>
      </c>
      <c r="L835" s="43">
        <v>840</v>
      </c>
      <c r="M835" s="47">
        <v>1.070154577883472E-2</v>
      </c>
      <c r="N835" s="47">
        <v>22.6</v>
      </c>
      <c r="O835" s="46" t="s">
        <v>925</v>
      </c>
      <c r="P835" s="43">
        <v>863</v>
      </c>
      <c r="Q835" s="43">
        <v>20</v>
      </c>
      <c r="R835" s="45" t="s">
        <v>4278</v>
      </c>
      <c r="S835" s="46" t="s">
        <v>3175</v>
      </c>
    </row>
    <row r="836" spans="1:19" ht="31.5">
      <c r="A836" s="43">
        <v>832</v>
      </c>
      <c r="B836" s="43">
        <v>815</v>
      </c>
      <c r="C836" s="43">
        <v>501</v>
      </c>
      <c r="D836" s="44">
        <v>45410</v>
      </c>
      <c r="E836" s="45" t="s">
        <v>3205</v>
      </c>
      <c r="F836" s="46" t="s">
        <v>37</v>
      </c>
      <c r="G836" s="46" t="s">
        <v>1038</v>
      </c>
      <c r="H836" s="46" t="s">
        <v>1038</v>
      </c>
      <c r="I836" s="46" t="s">
        <v>515</v>
      </c>
      <c r="J836" s="46" t="s">
        <v>977</v>
      </c>
      <c r="K836" s="43">
        <v>9</v>
      </c>
      <c r="L836" s="43">
        <v>849</v>
      </c>
      <c r="M836" s="47">
        <v>1.0588235294117647E-2</v>
      </c>
      <c r="N836" s="47">
        <v>22.6</v>
      </c>
      <c r="O836" s="46" t="s">
        <v>925</v>
      </c>
      <c r="P836" s="43">
        <v>613</v>
      </c>
      <c r="Q836" s="43">
        <v>30</v>
      </c>
      <c r="R836" s="45" t="s">
        <v>4283</v>
      </c>
      <c r="S836" s="46" t="s">
        <v>3206</v>
      </c>
    </row>
    <row r="837" spans="1:19" ht="42">
      <c r="A837" s="43">
        <v>833</v>
      </c>
      <c r="B837" s="43">
        <v>816</v>
      </c>
      <c r="C837" s="43">
        <v>498</v>
      </c>
      <c r="D837" s="44">
        <v>45408</v>
      </c>
      <c r="E837" s="45" t="s">
        <v>3208</v>
      </c>
      <c r="F837" s="46" t="s">
        <v>37</v>
      </c>
      <c r="G837" s="46" t="s">
        <v>1038</v>
      </c>
      <c r="H837" s="46" t="s">
        <v>1038</v>
      </c>
      <c r="I837" s="46" t="s">
        <v>530</v>
      </c>
      <c r="J837" s="46" t="s">
        <v>977</v>
      </c>
      <c r="K837" s="43">
        <v>9</v>
      </c>
      <c r="L837" s="43">
        <v>851</v>
      </c>
      <c r="M837" s="47">
        <v>1.0563380281690141E-2</v>
      </c>
      <c r="N837" s="47">
        <v>22.5</v>
      </c>
      <c r="O837" s="46" t="s">
        <v>925</v>
      </c>
      <c r="P837" s="43">
        <v>7</v>
      </c>
      <c r="Q837" s="43">
        <v>10</v>
      </c>
      <c r="R837" s="45" t="s">
        <v>4281</v>
      </c>
      <c r="S837" s="46" t="s">
        <v>3209</v>
      </c>
    </row>
    <row r="838" spans="1:19" ht="42">
      <c r="A838" s="43">
        <v>834</v>
      </c>
      <c r="B838" s="43">
        <v>846</v>
      </c>
      <c r="C838" s="43">
        <v>874</v>
      </c>
      <c r="D838" s="44">
        <v>45671</v>
      </c>
      <c r="E838" s="45" t="s">
        <v>2591</v>
      </c>
      <c r="F838" s="46" t="s">
        <v>371</v>
      </c>
      <c r="G838" s="46" t="s">
        <v>882</v>
      </c>
      <c r="H838" s="46" t="s">
        <v>1317</v>
      </c>
      <c r="I838" s="46" t="s">
        <v>515</v>
      </c>
      <c r="J838" s="46" t="s">
        <v>977</v>
      </c>
      <c r="K838" s="43">
        <v>8</v>
      </c>
      <c r="L838" s="43">
        <v>588</v>
      </c>
      <c r="M838" s="47">
        <v>1.3582342954159592E-2</v>
      </c>
      <c r="N838" s="47">
        <v>22.5</v>
      </c>
      <c r="O838" s="46" t="s">
        <v>925</v>
      </c>
      <c r="P838" s="43">
        <v>558</v>
      </c>
      <c r="Q838" s="43">
        <v>20</v>
      </c>
      <c r="R838" s="45" t="s">
        <v>4278</v>
      </c>
      <c r="S838" s="46" t="s">
        <v>2592</v>
      </c>
    </row>
    <row r="839" spans="1:19" ht="42">
      <c r="A839" s="43">
        <v>835</v>
      </c>
      <c r="B839" s="43">
        <v>847</v>
      </c>
      <c r="C839" s="43">
        <v>692</v>
      </c>
      <c r="D839" s="44">
        <v>45654</v>
      </c>
      <c r="E839" s="45" t="s">
        <v>2697</v>
      </c>
      <c r="F839" s="46" t="s">
        <v>37</v>
      </c>
      <c r="G839" s="46" t="s">
        <v>896</v>
      </c>
      <c r="H839" s="46" t="s">
        <v>965</v>
      </c>
      <c r="I839" s="46" t="s">
        <v>512</v>
      </c>
      <c r="J839" s="46" t="s">
        <v>977</v>
      </c>
      <c r="K839" s="43">
        <v>8</v>
      </c>
      <c r="L839" s="43">
        <v>605</v>
      </c>
      <c r="M839" s="47">
        <v>1.3201320132013201E-2</v>
      </c>
      <c r="N839" s="47">
        <v>22.2</v>
      </c>
      <c r="O839" s="46" t="s">
        <v>925</v>
      </c>
      <c r="P839" s="43">
        <v>10</v>
      </c>
      <c r="Q839" s="43">
        <v>20</v>
      </c>
      <c r="R839" s="45" t="s">
        <v>4275</v>
      </c>
      <c r="S839" s="46" t="s">
        <v>2698</v>
      </c>
    </row>
    <row r="840" spans="1:19" ht="42">
      <c r="A840" s="43">
        <v>836</v>
      </c>
      <c r="B840" s="43">
        <v>817</v>
      </c>
      <c r="C840" s="43">
        <v>460</v>
      </c>
      <c r="D840" s="44">
        <v>45357</v>
      </c>
      <c r="E840" s="45" t="s">
        <v>3293</v>
      </c>
      <c r="F840" s="46" t="s">
        <v>37</v>
      </c>
      <c r="G840" s="46" t="s">
        <v>887</v>
      </c>
      <c r="H840" s="46" t="s">
        <v>965</v>
      </c>
      <c r="I840" s="46" t="s">
        <v>519</v>
      </c>
      <c r="J840" s="46" t="s">
        <v>977</v>
      </c>
      <c r="K840" s="43">
        <v>9</v>
      </c>
      <c r="L840" s="43">
        <v>902</v>
      </c>
      <c r="M840" s="47">
        <v>9.9667774086378731E-3</v>
      </c>
      <c r="N840" s="47">
        <v>22.1</v>
      </c>
      <c r="O840" s="46" t="s">
        <v>925</v>
      </c>
      <c r="P840" s="43">
        <v>340</v>
      </c>
      <c r="Q840" s="43">
        <v>20</v>
      </c>
      <c r="R840" s="45" t="s">
        <v>4275</v>
      </c>
      <c r="S840" s="46" t="s">
        <v>3294</v>
      </c>
    </row>
    <row r="841" spans="1:19" ht="42">
      <c r="A841" s="43">
        <v>837</v>
      </c>
      <c r="B841" s="43">
        <v>792</v>
      </c>
      <c r="C841" s="43">
        <v>110</v>
      </c>
      <c r="D841" s="44">
        <v>44940</v>
      </c>
      <c r="E841" s="45" t="s">
        <v>3876</v>
      </c>
      <c r="F841" s="46" t="s">
        <v>37</v>
      </c>
      <c r="G841" s="46" t="s">
        <v>1038</v>
      </c>
      <c r="H841" s="46" t="s">
        <v>1484</v>
      </c>
      <c r="I841" s="46" t="s">
        <v>515</v>
      </c>
      <c r="J841" s="46" t="s">
        <v>977</v>
      </c>
      <c r="K841" s="43">
        <v>10</v>
      </c>
      <c r="L841" s="43">
        <v>1319</v>
      </c>
      <c r="M841" s="47">
        <v>7.575757575757576E-3</v>
      </c>
      <c r="N841" s="47">
        <v>21.8</v>
      </c>
      <c r="O841" s="46" t="s">
        <v>925</v>
      </c>
      <c r="P841" s="43">
        <v>611</v>
      </c>
      <c r="Q841" s="43">
        <v>20</v>
      </c>
      <c r="R841" s="45" t="s">
        <v>4278</v>
      </c>
      <c r="S841" s="46" t="s">
        <v>3877</v>
      </c>
    </row>
    <row r="842" spans="1:19" ht="42">
      <c r="A842" s="43">
        <v>838</v>
      </c>
      <c r="B842" s="43">
        <v>793</v>
      </c>
      <c r="C842" s="43">
        <v>108</v>
      </c>
      <c r="D842" s="44">
        <v>44939</v>
      </c>
      <c r="E842" s="45" t="s">
        <v>3880</v>
      </c>
      <c r="F842" s="46" t="s">
        <v>37</v>
      </c>
      <c r="G842" s="46" t="s">
        <v>892</v>
      </c>
      <c r="H842" s="46" t="s">
        <v>965</v>
      </c>
      <c r="I842" s="46" t="s">
        <v>512</v>
      </c>
      <c r="J842" s="46" t="s">
        <v>977</v>
      </c>
      <c r="K842" s="43">
        <v>10</v>
      </c>
      <c r="L842" s="43">
        <v>1320</v>
      </c>
      <c r="M842" s="47">
        <v>7.5700227100681302E-3</v>
      </c>
      <c r="N842" s="47">
        <v>21.8</v>
      </c>
      <c r="O842" s="46" t="s">
        <v>925</v>
      </c>
      <c r="P842" s="43">
        <v>207</v>
      </c>
      <c r="Q842" s="43">
        <v>10</v>
      </c>
      <c r="R842" s="45" t="s">
        <v>4281</v>
      </c>
      <c r="S842" s="46" t="s">
        <v>3881</v>
      </c>
    </row>
    <row r="843" spans="1:19" ht="42">
      <c r="A843" s="43">
        <v>839</v>
      </c>
      <c r="B843" s="43">
        <v>818</v>
      </c>
      <c r="C843" s="43">
        <v>500</v>
      </c>
      <c r="D843" s="44">
        <v>45319</v>
      </c>
      <c r="E843" s="45" t="s">
        <v>3376</v>
      </c>
      <c r="F843" s="46" t="s">
        <v>37</v>
      </c>
      <c r="G843" s="46" t="s">
        <v>1038</v>
      </c>
      <c r="H843" s="46" t="s">
        <v>1005</v>
      </c>
      <c r="I843" s="46" t="s">
        <v>512</v>
      </c>
      <c r="J843" s="46" t="s">
        <v>968</v>
      </c>
      <c r="K843" s="43">
        <v>9</v>
      </c>
      <c r="L843" s="43">
        <v>940</v>
      </c>
      <c r="M843" s="47">
        <v>9.5642933049946872E-3</v>
      </c>
      <c r="N843" s="47">
        <v>21.8</v>
      </c>
      <c r="O843" s="46" t="s">
        <v>925</v>
      </c>
      <c r="P843" s="43">
        <v>433</v>
      </c>
      <c r="Q843" s="43">
        <v>20</v>
      </c>
      <c r="R843" s="45" t="s">
        <v>4275</v>
      </c>
      <c r="S843" s="46" t="s">
        <v>3377</v>
      </c>
    </row>
    <row r="844" spans="1:19" ht="42">
      <c r="A844" s="43">
        <v>840</v>
      </c>
      <c r="B844" s="43">
        <v>794</v>
      </c>
      <c r="C844" s="43">
        <v>107</v>
      </c>
      <c r="D844" s="44">
        <v>44936</v>
      </c>
      <c r="E844" s="45" t="s">
        <v>3886</v>
      </c>
      <c r="F844" s="46" t="s">
        <v>37</v>
      </c>
      <c r="G844" s="46" t="s">
        <v>1038</v>
      </c>
      <c r="H844" s="46" t="s">
        <v>1038</v>
      </c>
      <c r="I844" s="46" t="s">
        <v>512</v>
      </c>
      <c r="J844" s="46" t="s">
        <v>977</v>
      </c>
      <c r="K844" s="43">
        <v>10</v>
      </c>
      <c r="L844" s="43">
        <v>1323</v>
      </c>
      <c r="M844" s="47">
        <v>7.5528700906344415E-3</v>
      </c>
      <c r="N844" s="47">
        <v>21.7</v>
      </c>
      <c r="O844" s="46" t="s">
        <v>925</v>
      </c>
      <c r="P844" s="43">
        <v>674</v>
      </c>
      <c r="Q844" s="43">
        <v>20</v>
      </c>
      <c r="R844" s="45" t="s">
        <v>4278</v>
      </c>
      <c r="S844" s="46" t="s">
        <v>3887</v>
      </c>
    </row>
    <row r="845" spans="1:19" ht="42">
      <c r="A845" s="43">
        <v>841</v>
      </c>
      <c r="B845" s="43">
        <v>762</v>
      </c>
      <c r="C845" s="43">
        <v>105</v>
      </c>
      <c r="D845" s="44">
        <v>44082</v>
      </c>
      <c r="E845" s="45" t="s">
        <v>4147</v>
      </c>
      <c r="F845" s="46" t="s">
        <v>37</v>
      </c>
      <c r="G845" s="46" t="s">
        <v>893</v>
      </c>
      <c r="H845" s="46" t="s">
        <v>965</v>
      </c>
      <c r="I845" s="46" t="s">
        <v>515</v>
      </c>
      <c r="J845" s="46" t="s">
        <v>977</v>
      </c>
      <c r="K845" s="43">
        <v>11</v>
      </c>
      <c r="L845" s="43">
        <v>2177</v>
      </c>
      <c r="M845" s="47">
        <v>5.0505050505050509E-3</v>
      </c>
      <c r="N845" s="47">
        <v>21.6</v>
      </c>
      <c r="O845" s="46" t="s">
        <v>925</v>
      </c>
      <c r="P845" s="43">
        <v>193</v>
      </c>
      <c r="Q845" s="43">
        <v>10</v>
      </c>
      <c r="R845" s="45" t="s">
        <v>4281</v>
      </c>
      <c r="S845" s="46" t="s">
        <v>4148</v>
      </c>
    </row>
    <row r="846" spans="1:19" ht="31.5">
      <c r="A846" s="43">
        <v>842</v>
      </c>
      <c r="B846" s="43">
        <v>819</v>
      </c>
      <c r="C846" s="43">
        <v>399</v>
      </c>
      <c r="D846" s="44">
        <v>45310</v>
      </c>
      <c r="E846" s="45" t="s">
        <v>3391</v>
      </c>
      <c r="F846" s="46" t="s">
        <v>37</v>
      </c>
      <c r="G846" s="46" t="s">
        <v>885</v>
      </c>
      <c r="H846" s="46" t="s">
        <v>1317</v>
      </c>
      <c r="I846" s="46" t="s">
        <v>526</v>
      </c>
      <c r="J846" s="46" t="s">
        <v>968</v>
      </c>
      <c r="K846" s="43">
        <v>9</v>
      </c>
      <c r="L846" s="43">
        <v>949</v>
      </c>
      <c r="M846" s="47">
        <v>9.4736842105263164E-3</v>
      </c>
      <c r="N846" s="47">
        <v>21.6</v>
      </c>
      <c r="O846" s="46" t="s">
        <v>925</v>
      </c>
      <c r="P846" s="43">
        <v>735</v>
      </c>
      <c r="Q846" s="43">
        <v>30</v>
      </c>
      <c r="R846" s="45" t="s">
        <v>4283</v>
      </c>
      <c r="S846" s="46" t="s">
        <v>3392</v>
      </c>
    </row>
    <row r="847" spans="1:19" ht="42">
      <c r="A847" s="43">
        <v>843</v>
      </c>
      <c r="B847" s="43">
        <v>820</v>
      </c>
      <c r="C847" s="43">
        <v>385</v>
      </c>
      <c r="D847" s="44">
        <v>45307</v>
      </c>
      <c r="E847" s="45" t="s">
        <v>3413</v>
      </c>
      <c r="F847" s="46" t="s">
        <v>37</v>
      </c>
      <c r="G847" s="46" t="s">
        <v>937</v>
      </c>
      <c r="H847" s="46" t="s">
        <v>1317</v>
      </c>
      <c r="I847" s="46" t="s">
        <v>515</v>
      </c>
      <c r="J847" s="46" t="s">
        <v>968</v>
      </c>
      <c r="K847" s="43">
        <v>9</v>
      </c>
      <c r="L847" s="43">
        <v>952</v>
      </c>
      <c r="M847" s="47">
        <v>9.4438614900314802E-3</v>
      </c>
      <c r="N847" s="47">
        <v>21.6</v>
      </c>
      <c r="O847" s="46" t="s">
        <v>925</v>
      </c>
      <c r="P847" s="43">
        <v>246</v>
      </c>
      <c r="Q847" s="43">
        <v>20</v>
      </c>
      <c r="R847" s="45" t="s">
        <v>4275</v>
      </c>
      <c r="S847" s="46" t="s">
        <v>3414</v>
      </c>
    </row>
    <row r="848" spans="1:19" ht="42">
      <c r="A848" s="43">
        <v>844</v>
      </c>
      <c r="B848" s="43">
        <v>763</v>
      </c>
      <c r="C848" s="43">
        <v>13</v>
      </c>
      <c r="D848" s="44">
        <v>43971</v>
      </c>
      <c r="E848" s="45" t="s">
        <v>4156</v>
      </c>
      <c r="F848" s="46" t="s">
        <v>37</v>
      </c>
      <c r="G848" s="46" t="s">
        <v>921</v>
      </c>
      <c r="H848" s="46" t="s">
        <v>965</v>
      </c>
      <c r="I848" s="46" t="s">
        <v>515</v>
      </c>
      <c r="J848" s="46" t="s">
        <v>968</v>
      </c>
      <c r="K848" s="43">
        <v>11</v>
      </c>
      <c r="L848" s="43">
        <v>2288</v>
      </c>
      <c r="M848" s="47">
        <v>4.8055919615552639E-3</v>
      </c>
      <c r="N848" s="47">
        <v>21.4</v>
      </c>
      <c r="O848" s="46" t="s">
        <v>925</v>
      </c>
      <c r="P848" s="43">
        <v>363</v>
      </c>
      <c r="Q848" s="43">
        <v>20</v>
      </c>
      <c r="R848" s="45" t="s">
        <v>4275</v>
      </c>
      <c r="S848" s="46" t="s">
        <v>4157</v>
      </c>
    </row>
    <row r="849" spans="1:19" ht="42">
      <c r="A849" s="43">
        <v>845</v>
      </c>
      <c r="B849" s="43">
        <v>848</v>
      </c>
      <c r="C849" s="43">
        <v>645</v>
      </c>
      <c r="D849" s="44">
        <v>45599</v>
      </c>
      <c r="E849" s="45" t="s">
        <v>2825</v>
      </c>
      <c r="F849" s="46" t="s">
        <v>37</v>
      </c>
      <c r="G849" s="46" t="s">
        <v>1038</v>
      </c>
      <c r="H849" s="46" t="s">
        <v>1005</v>
      </c>
      <c r="I849" s="46" t="s">
        <v>515</v>
      </c>
      <c r="J849" s="46" t="s">
        <v>968</v>
      </c>
      <c r="K849" s="43">
        <v>8</v>
      </c>
      <c r="L849" s="43">
        <v>660</v>
      </c>
      <c r="M849" s="47">
        <v>1.2102874432677761E-2</v>
      </c>
      <c r="N849" s="47">
        <v>21.4</v>
      </c>
      <c r="O849" s="46" t="s">
        <v>925</v>
      </c>
      <c r="P849" s="43">
        <v>251</v>
      </c>
      <c r="Q849" s="43">
        <v>10</v>
      </c>
      <c r="R849" s="45" t="s">
        <v>4281</v>
      </c>
      <c r="S849" s="46" t="s">
        <v>2826</v>
      </c>
    </row>
    <row r="850" spans="1:19" ht="42">
      <c r="A850" s="43">
        <v>846</v>
      </c>
      <c r="B850" s="43">
        <v>821</v>
      </c>
      <c r="C850" s="43">
        <v>331</v>
      </c>
      <c r="D850" s="44">
        <v>45246</v>
      </c>
      <c r="E850" s="45" t="s">
        <v>3534</v>
      </c>
      <c r="F850" s="46" t="s">
        <v>37</v>
      </c>
      <c r="G850" s="46" t="s">
        <v>1038</v>
      </c>
      <c r="H850" s="46" t="s">
        <v>1005</v>
      </c>
      <c r="I850" s="46" t="s">
        <v>515</v>
      </c>
      <c r="J850" s="46" t="s">
        <v>977</v>
      </c>
      <c r="K850" s="43">
        <v>9</v>
      </c>
      <c r="L850" s="43">
        <v>1013</v>
      </c>
      <c r="M850" s="47">
        <v>8.8757396449704144E-3</v>
      </c>
      <c r="N850" s="47">
        <v>21.1</v>
      </c>
      <c r="O850" s="46" t="s">
        <v>925</v>
      </c>
      <c r="P850" s="43">
        <v>862</v>
      </c>
      <c r="Q850" s="43">
        <v>20</v>
      </c>
      <c r="R850" s="45" t="s">
        <v>4278</v>
      </c>
      <c r="S850" s="46" t="s">
        <v>3535</v>
      </c>
    </row>
    <row r="851" spans="1:19" ht="42">
      <c r="A851" s="43">
        <v>847</v>
      </c>
      <c r="B851" s="43">
        <v>822</v>
      </c>
      <c r="C851" s="43">
        <v>330</v>
      </c>
      <c r="D851" s="44">
        <v>45237</v>
      </c>
      <c r="E851" s="45" t="s">
        <v>3537</v>
      </c>
      <c r="F851" s="46" t="s">
        <v>37</v>
      </c>
      <c r="G851" s="46" t="s">
        <v>884</v>
      </c>
      <c r="H851" s="46" t="s">
        <v>965</v>
      </c>
      <c r="I851" s="46" t="s">
        <v>526</v>
      </c>
      <c r="J851" s="46" t="s">
        <v>977</v>
      </c>
      <c r="K851" s="43">
        <v>9</v>
      </c>
      <c r="L851" s="43">
        <v>1022</v>
      </c>
      <c r="M851" s="47">
        <v>8.7976539589442824E-3</v>
      </c>
      <c r="N851" s="47">
        <v>21</v>
      </c>
      <c r="O851" s="46" t="s">
        <v>925</v>
      </c>
      <c r="P851" s="43">
        <v>108</v>
      </c>
      <c r="Q851" s="43">
        <v>10</v>
      </c>
      <c r="R851" s="45" t="s">
        <v>4281</v>
      </c>
      <c r="S851" s="46" t="s">
        <v>3538</v>
      </c>
    </row>
    <row r="852" spans="1:19" ht="42">
      <c r="A852" s="43">
        <v>848</v>
      </c>
      <c r="B852" s="43">
        <v>849</v>
      </c>
      <c r="C852" s="43">
        <v>602</v>
      </c>
      <c r="D852" s="44">
        <v>45560</v>
      </c>
      <c r="E852" s="45" t="s">
        <v>2952</v>
      </c>
      <c r="F852" s="46" t="s">
        <v>37</v>
      </c>
      <c r="G852" s="46" t="s">
        <v>891</v>
      </c>
      <c r="H852" s="46" t="s">
        <v>965</v>
      </c>
      <c r="I852" s="46" t="s">
        <v>512</v>
      </c>
      <c r="J852" s="46" t="s">
        <v>977</v>
      </c>
      <c r="K852" s="43">
        <v>8</v>
      </c>
      <c r="L852" s="43">
        <v>699</v>
      </c>
      <c r="M852" s="47">
        <v>1.1428571428571429E-2</v>
      </c>
      <c r="N852" s="47">
        <v>20.9</v>
      </c>
      <c r="O852" s="46" t="s">
        <v>925</v>
      </c>
      <c r="P852" s="43">
        <v>1203</v>
      </c>
      <c r="Q852" s="43">
        <v>20</v>
      </c>
      <c r="R852" s="45" t="s">
        <v>4278</v>
      </c>
      <c r="S852" s="46" t="s">
        <v>2953</v>
      </c>
    </row>
    <row r="853" spans="1:19" ht="42">
      <c r="A853" s="43">
        <v>849</v>
      </c>
      <c r="B853" s="43">
        <v>850</v>
      </c>
      <c r="C853" s="43">
        <v>607</v>
      </c>
      <c r="D853" s="44">
        <v>45560</v>
      </c>
      <c r="E853" s="45" t="s">
        <v>2961</v>
      </c>
      <c r="F853" s="46" t="s">
        <v>37</v>
      </c>
      <c r="G853" s="46" t="s">
        <v>884</v>
      </c>
      <c r="H853" s="46" t="s">
        <v>965</v>
      </c>
      <c r="I853" s="46" t="s">
        <v>526</v>
      </c>
      <c r="J853" s="46" t="s">
        <v>977</v>
      </c>
      <c r="K853" s="43">
        <v>8</v>
      </c>
      <c r="L853" s="43">
        <v>699</v>
      </c>
      <c r="M853" s="47">
        <v>1.1428571428571429E-2</v>
      </c>
      <c r="N853" s="47">
        <v>20.9</v>
      </c>
      <c r="O853" s="46" t="s">
        <v>925</v>
      </c>
      <c r="P853" s="43">
        <v>176</v>
      </c>
      <c r="Q853" s="43">
        <v>20</v>
      </c>
      <c r="R853" s="45" t="s">
        <v>4275</v>
      </c>
      <c r="S853" s="46" t="s">
        <v>2962</v>
      </c>
    </row>
    <row r="854" spans="1:19" ht="42">
      <c r="A854" s="43">
        <v>850</v>
      </c>
      <c r="B854" s="43">
        <v>851</v>
      </c>
      <c r="C854" s="43">
        <v>604</v>
      </c>
      <c r="D854" s="44">
        <v>45559</v>
      </c>
      <c r="E854" s="45" t="s">
        <v>2967</v>
      </c>
      <c r="F854" s="46" t="s">
        <v>37</v>
      </c>
      <c r="G854" s="46" t="s">
        <v>1038</v>
      </c>
      <c r="H854" s="46" t="s">
        <v>1038</v>
      </c>
      <c r="I854" s="46" t="s">
        <v>515</v>
      </c>
      <c r="J854" s="46" t="s">
        <v>968</v>
      </c>
      <c r="K854" s="43">
        <v>8</v>
      </c>
      <c r="L854" s="43">
        <v>700</v>
      </c>
      <c r="M854" s="47">
        <v>1.1412268188302425E-2</v>
      </c>
      <c r="N854" s="47">
        <v>20.8</v>
      </c>
      <c r="O854" s="46" t="s">
        <v>925</v>
      </c>
      <c r="P854" s="43">
        <v>165</v>
      </c>
      <c r="Q854" s="43">
        <v>10</v>
      </c>
      <c r="R854" s="45" t="s">
        <v>4281</v>
      </c>
      <c r="S854" s="46" t="s">
        <v>2968</v>
      </c>
    </row>
    <row r="855" spans="1:19" ht="42">
      <c r="A855" s="43">
        <v>851</v>
      </c>
      <c r="B855" s="43">
        <v>906</v>
      </c>
      <c r="C855" s="43">
        <v>1072</v>
      </c>
      <c r="D855" s="44">
        <v>45884</v>
      </c>
      <c r="E855" s="45" t="s">
        <v>2216</v>
      </c>
      <c r="F855" s="46" t="s">
        <v>382</v>
      </c>
      <c r="G855" s="46" t="s">
        <v>893</v>
      </c>
      <c r="H855" s="46" t="s">
        <v>965</v>
      </c>
      <c r="I855" s="46" t="s">
        <v>519</v>
      </c>
      <c r="J855" s="46" t="s">
        <v>977</v>
      </c>
      <c r="K855" s="43">
        <v>6</v>
      </c>
      <c r="L855" s="43">
        <v>375</v>
      </c>
      <c r="M855" s="47">
        <v>1.5957446808510637E-2</v>
      </c>
      <c r="N855" s="47">
        <v>20.8</v>
      </c>
      <c r="O855" s="46" t="s">
        <v>925</v>
      </c>
      <c r="P855" s="43">
        <v>646</v>
      </c>
      <c r="Q855" s="43">
        <v>20</v>
      </c>
      <c r="R855" s="45" t="s">
        <v>4278</v>
      </c>
      <c r="S855" s="46" t="s">
        <v>2217</v>
      </c>
    </row>
    <row r="856" spans="1:19" ht="42">
      <c r="A856" s="43">
        <v>852</v>
      </c>
      <c r="B856" s="43">
        <v>795</v>
      </c>
      <c r="C856" s="43">
        <v>4</v>
      </c>
      <c r="D856" s="44">
        <v>44645</v>
      </c>
      <c r="E856" s="45" t="s">
        <v>4082</v>
      </c>
      <c r="F856" s="46" t="s">
        <v>37</v>
      </c>
      <c r="G856" s="46" t="s">
        <v>884</v>
      </c>
      <c r="H856" s="46" t="s">
        <v>965</v>
      </c>
      <c r="I856" s="46" t="s">
        <v>526</v>
      </c>
      <c r="J856" s="46" t="s">
        <v>977</v>
      </c>
      <c r="K856" s="43">
        <v>10</v>
      </c>
      <c r="L856" s="43">
        <v>1614</v>
      </c>
      <c r="M856" s="47">
        <v>6.1919504643962852E-3</v>
      </c>
      <c r="N856" s="47">
        <v>20.5</v>
      </c>
      <c r="O856" s="46" t="s">
        <v>925</v>
      </c>
      <c r="P856" s="43">
        <v>363</v>
      </c>
      <c r="Q856" s="43">
        <v>10</v>
      </c>
      <c r="R856" s="45" t="s">
        <v>4281</v>
      </c>
      <c r="S856" s="46" t="s">
        <v>4083</v>
      </c>
    </row>
    <row r="857" spans="1:19" ht="42">
      <c r="A857" s="43">
        <v>853</v>
      </c>
      <c r="B857" s="43">
        <v>823</v>
      </c>
      <c r="C857" s="43">
        <v>237</v>
      </c>
      <c r="D857" s="44">
        <v>45137</v>
      </c>
      <c r="E857" s="45" t="s">
        <v>3702</v>
      </c>
      <c r="F857" s="46" t="s">
        <v>37</v>
      </c>
      <c r="G857" s="46" t="s">
        <v>884</v>
      </c>
      <c r="H857" s="46" t="s">
        <v>965</v>
      </c>
      <c r="I857" s="46" t="s">
        <v>526</v>
      </c>
      <c r="J857" s="46" t="s">
        <v>977</v>
      </c>
      <c r="K857" s="43">
        <v>9</v>
      </c>
      <c r="L857" s="43">
        <v>1122</v>
      </c>
      <c r="M857" s="47">
        <v>8.0142475512021364E-3</v>
      </c>
      <c r="N857" s="47">
        <v>20.3</v>
      </c>
      <c r="O857" s="46" t="s">
        <v>925</v>
      </c>
      <c r="P857" s="43">
        <v>128</v>
      </c>
      <c r="Q857" s="43">
        <v>10</v>
      </c>
      <c r="R857" s="45" t="s">
        <v>4281</v>
      </c>
      <c r="S857" s="46" t="s">
        <v>3703</v>
      </c>
    </row>
    <row r="858" spans="1:19" ht="42">
      <c r="A858" s="43">
        <v>854</v>
      </c>
      <c r="B858" s="43">
        <v>824</v>
      </c>
      <c r="C858" s="43">
        <v>213</v>
      </c>
      <c r="D858" s="44">
        <v>45094</v>
      </c>
      <c r="E858" s="45" t="s">
        <v>3738</v>
      </c>
      <c r="F858" s="46" t="s">
        <v>37</v>
      </c>
      <c r="G858" s="46" t="s">
        <v>884</v>
      </c>
      <c r="H858" s="46" t="s">
        <v>965</v>
      </c>
      <c r="I858" s="46" t="s">
        <v>533</v>
      </c>
      <c r="J858" s="46" t="s">
        <v>977</v>
      </c>
      <c r="K858" s="43">
        <v>9</v>
      </c>
      <c r="L858" s="43">
        <v>1165</v>
      </c>
      <c r="M858" s="47">
        <v>7.7186963979416811E-3</v>
      </c>
      <c r="N858" s="47">
        <v>20.100000000000001</v>
      </c>
      <c r="O858" s="46" t="s">
        <v>925</v>
      </c>
      <c r="P858" s="43">
        <v>319</v>
      </c>
      <c r="Q858" s="43">
        <v>10</v>
      </c>
      <c r="R858" s="45" t="s">
        <v>4281</v>
      </c>
      <c r="S858" s="46" t="s">
        <v>3739</v>
      </c>
    </row>
    <row r="859" spans="1:19" ht="42">
      <c r="A859" s="43">
        <v>855</v>
      </c>
      <c r="B859" s="43">
        <v>825</v>
      </c>
      <c r="C859" s="43">
        <v>207</v>
      </c>
      <c r="D859" s="44">
        <v>45092</v>
      </c>
      <c r="E859" s="45" t="s">
        <v>3750</v>
      </c>
      <c r="F859" s="46" t="s">
        <v>37</v>
      </c>
      <c r="G859" s="46" t="s">
        <v>1038</v>
      </c>
      <c r="H859" s="46" t="s">
        <v>1134</v>
      </c>
      <c r="I859" s="46" t="s">
        <v>512</v>
      </c>
      <c r="J859" s="46" t="s">
        <v>968</v>
      </c>
      <c r="K859" s="43">
        <v>9</v>
      </c>
      <c r="L859" s="43">
        <v>1167</v>
      </c>
      <c r="M859" s="47">
        <v>7.7054794520547941E-3</v>
      </c>
      <c r="N859" s="47">
        <v>20</v>
      </c>
      <c r="O859" s="46" t="s">
        <v>925</v>
      </c>
      <c r="P859" s="43">
        <v>413</v>
      </c>
      <c r="Q859" s="43">
        <v>10</v>
      </c>
      <c r="R859" s="45" t="s">
        <v>4281</v>
      </c>
      <c r="S859" s="46" t="s">
        <v>3751</v>
      </c>
    </row>
    <row r="860" spans="1:19" ht="42">
      <c r="A860" s="43">
        <v>856</v>
      </c>
      <c r="B860" s="43">
        <v>826</v>
      </c>
      <c r="C860" s="43">
        <v>184</v>
      </c>
      <c r="D860" s="44">
        <v>45081</v>
      </c>
      <c r="E860" s="45" t="s">
        <v>3798</v>
      </c>
      <c r="F860" s="46" t="s">
        <v>37</v>
      </c>
      <c r="G860" s="46" t="s">
        <v>1038</v>
      </c>
      <c r="H860" s="46" t="s">
        <v>1038</v>
      </c>
      <c r="I860" s="46" t="s">
        <v>512</v>
      </c>
      <c r="J860" s="46" t="s">
        <v>968</v>
      </c>
      <c r="K860" s="43">
        <v>9</v>
      </c>
      <c r="L860" s="43">
        <v>1178</v>
      </c>
      <c r="M860" s="47">
        <v>7.6335877862595417E-3</v>
      </c>
      <c r="N860" s="47">
        <v>19.899999999999999</v>
      </c>
      <c r="O860" s="46" t="s">
        <v>925</v>
      </c>
      <c r="P860" s="43">
        <v>235</v>
      </c>
      <c r="Q860" s="43">
        <v>20</v>
      </c>
      <c r="R860" s="45" t="s">
        <v>4275</v>
      </c>
      <c r="S860" s="46" t="s">
        <v>3799</v>
      </c>
    </row>
    <row r="861" spans="1:19" ht="42">
      <c r="A861" s="43">
        <v>857</v>
      </c>
      <c r="B861" s="43">
        <v>852</v>
      </c>
      <c r="C861" s="43">
        <v>535</v>
      </c>
      <c r="D861" s="44">
        <v>45453</v>
      </c>
      <c r="E861" s="45" t="s">
        <v>3129</v>
      </c>
      <c r="F861" s="46" t="s">
        <v>37</v>
      </c>
      <c r="G861" s="46" t="s">
        <v>1038</v>
      </c>
      <c r="H861" s="46" t="s">
        <v>1005</v>
      </c>
      <c r="I861" s="46" t="s">
        <v>512</v>
      </c>
      <c r="J861" s="46" t="s">
        <v>977</v>
      </c>
      <c r="K861" s="43">
        <v>8</v>
      </c>
      <c r="L861" s="43">
        <v>806</v>
      </c>
      <c r="M861" s="47">
        <v>9.9132589838909543E-3</v>
      </c>
      <c r="N861" s="47">
        <v>19.899999999999999</v>
      </c>
      <c r="O861" s="46" t="s">
        <v>925</v>
      </c>
      <c r="P861" s="43">
        <v>677</v>
      </c>
      <c r="Q861" s="43">
        <v>20</v>
      </c>
      <c r="R861" s="45" t="s">
        <v>4278</v>
      </c>
      <c r="S861" s="46" t="s">
        <v>3130</v>
      </c>
    </row>
    <row r="862" spans="1:19" ht="42">
      <c r="A862" s="43">
        <v>858</v>
      </c>
      <c r="B862" s="43">
        <v>827</v>
      </c>
      <c r="C862" s="43">
        <v>170</v>
      </c>
      <c r="D862" s="44">
        <v>45072</v>
      </c>
      <c r="E862" s="45" t="s">
        <v>3810</v>
      </c>
      <c r="F862" s="46" t="s">
        <v>37</v>
      </c>
      <c r="G862" s="46" t="s">
        <v>909</v>
      </c>
      <c r="H862" s="46" t="s">
        <v>965</v>
      </c>
      <c r="I862" s="46" t="s">
        <v>536</v>
      </c>
      <c r="J862" s="46" t="s">
        <v>977</v>
      </c>
      <c r="K862" s="43">
        <v>9</v>
      </c>
      <c r="L862" s="43">
        <v>1187</v>
      </c>
      <c r="M862" s="47">
        <v>7.575757575757576E-3</v>
      </c>
      <c r="N862" s="47">
        <v>19.7</v>
      </c>
      <c r="O862" s="46" t="s">
        <v>925</v>
      </c>
      <c r="P862" s="43">
        <v>255</v>
      </c>
      <c r="Q862" s="43">
        <v>10</v>
      </c>
      <c r="R862" s="45" t="s">
        <v>4281</v>
      </c>
      <c r="S862" s="46" t="s">
        <v>3811</v>
      </c>
    </row>
    <row r="863" spans="1:19" ht="31.5">
      <c r="A863" s="43">
        <v>859</v>
      </c>
      <c r="B863" s="43">
        <v>828</v>
      </c>
      <c r="C863" s="43">
        <v>159</v>
      </c>
      <c r="D863" s="44">
        <v>45069</v>
      </c>
      <c r="E863" s="45" t="s">
        <v>3834</v>
      </c>
      <c r="F863" s="46" t="s">
        <v>37</v>
      </c>
      <c r="G863" s="46" t="s">
        <v>1038</v>
      </c>
      <c r="H863" s="46" t="s">
        <v>1484</v>
      </c>
      <c r="I863" s="46" t="s">
        <v>515</v>
      </c>
      <c r="J863" s="46" t="s">
        <v>968</v>
      </c>
      <c r="K863" s="43">
        <v>9</v>
      </c>
      <c r="L863" s="43">
        <v>1190</v>
      </c>
      <c r="M863" s="47">
        <v>7.556675062972292E-3</v>
      </c>
      <c r="N863" s="47">
        <v>19.600000000000001</v>
      </c>
      <c r="O863" s="46" t="s">
        <v>925</v>
      </c>
      <c r="P863" s="43">
        <v>850</v>
      </c>
      <c r="Q863" s="43">
        <v>30</v>
      </c>
      <c r="R863" s="45" t="s">
        <v>4283</v>
      </c>
      <c r="S863" s="46" t="s">
        <v>3835</v>
      </c>
    </row>
    <row r="864" spans="1:19" ht="31.5">
      <c r="A864" s="43">
        <v>860</v>
      </c>
      <c r="B864" s="43">
        <v>853</v>
      </c>
      <c r="C864" s="43">
        <v>512</v>
      </c>
      <c r="D864" s="44">
        <v>45418</v>
      </c>
      <c r="E864" s="45" t="s">
        <v>3190</v>
      </c>
      <c r="F864" s="46" t="s">
        <v>37</v>
      </c>
      <c r="G864" s="46" t="s">
        <v>1038</v>
      </c>
      <c r="H864" s="46" t="s">
        <v>1038</v>
      </c>
      <c r="I864" s="46" t="s">
        <v>515</v>
      </c>
      <c r="J864" s="46" t="s">
        <v>968</v>
      </c>
      <c r="K864" s="43">
        <v>8</v>
      </c>
      <c r="L864" s="43">
        <v>841</v>
      </c>
      <c r="M864" s="47">
        <v>9.5011876484560574E-3</v>
      </c>
      <c r="N864" s="47">
        <v>19.5</v>
      </c>
      <c r="O864" s="46" t="s">
        <v>925</v>
      </c>
      <c r="P864" s="43">
        <v>701</v>
      </c>
      <c r="Q864" s="43">
        <v>30</v>
      </c>
      <c r="R864" s="45" t="s">
        <v>4283</v>
      </c>
      <c r="S864" s="46" t="s">
        <v>3191</v>
      </c>
    </row>
    <row r="865" spans="1:19" ht="31.5">
      <c r="A865" s="43">
        <v>861</v>
      </c>
      <c r="B865" s="43">
        <v>854</v>
      </c>
      <c r="C865" s="43">
        <v>495</v>
      </c>
      <c r="D865" s="44">
        <v>45405</v>
      </c>
      <c r="E865" s="45" t="s">
        <v>3214</v>
      </c>
      <c r="F865" s="46" t="s">
        <v>37</v>
      </c>
      <c r="G865" s="46" t="s">
        <v>905</v>
      </c>
      <c r="H865" s="46" t="s">
        <v>1317</v>
      </c>
      <c r="I865" s="46" t="s">
        <v>512</v>
      </c>
      <c r="J865" s="46" t="s">
        <v>968</v>
      </c>
      <c r="K865" s="43">
        <v>8</v>
      </c>
      <c r="L865" s="43">
        <v>854</v>
      </c>
      <c r="M865" s="47">
        <v>9.3567251461988306E-3</v>
      </c>
      <c r="N865" s="47">
        <v>19.399999999999999</v>
      </c>
      <c r="O865" s="46" t="s">
        <v>925</v>
      </c>
      <c r="P865" s="43">
        <v>757</v>
      </c>
      <c r="Q865" s="43">
        <v>30</v>
      </c>
      <c r="R865" s="45" t="s">
        <v>4283</v>
      </c>
      <c r="S865" s="46" t="s">
        <v>3215</v>
      </c>
    </row>
    <row r="866" spans="1:19" ht="42">
      <c r="A866" s="43">
        <v>862</v>
      </c>
      <c r="B866" s="43">
        <v>907</v>
      </c>
      <c r="C866" s="43">
        <v>758</v>
      </c>
      <c r="D866" s="44">
        <v>45833</v>
      </c>
      <c r="E866" s="45" t="s">
        <v>2355</v>
      </c>
      <c r="F866" s="46" t="s">
        <v>37</v>
      </c>
      <c r="G866" s="46" t="s">
        <v>884</v>
      </c>
      <c r="H866" s="46" t="s">
        <v>965</v>
      </c>
      <c r="I866" s="46" t="s">
        <v>519</v>
      </c>
      <c r="J866" s="46" t="s">
        <v>977</v>
      </c>
      <c r="K866" s="43">
        <v>6</v>
      </c>
      <c r="L866" s="43">
        <v>426</v>
      </c>
      <c r="M866" s="47">
        <v>1.405152224824356E-2</v>
      </c>
      <c r="N866" s="47">
        <v>19.399999999999999</v>
      </c>
      <c r="O866" s="46" t="s">
        <v>925</v>
      </c>
      <c r="P866" s="43">
        <v>600</v>
      </c>
      <c r="Q866" s="43">
        <v>20</v>
      </c>
      <c r="R866" s="45" t="s">
        <v>4278</v>
      </c>
      <c r="S866" s="46" t="s">
        <v>2356</v>
      </c>
    </row>
    <row r="867" spans="1:19" ht="42">
      <c r="A867" s="43">
        <v>863</v>
      </c>
      <c r="B867" s="43">
        <v>908</v>
      </c>
      <c r="C867" s="43">
        <v>919</v>
      </c>
      <c r="D867" s="44">
        <v>45822</v>
      </c>
      <c r="E867" s="45" t="s">
        <v>2396</v>
      </c>
      <c r="F867" s="46" t="s">
        <v>371</v>
      </c>
      <c r="G867" s="46" t="s">
        <v>892</v>
      </c>
      <c r="H867" s="46" t="s">
        <v>965</v>
      </c>
      <c r="I867" s="46" t="s">
        <v>522</v>
      </c>
      <c r="J867" s="46" t="s">
        <v>977</v>
      </c>
      <c r="K867" s="43">
        <v>6</v>
      </c>
      <c r="L867" s="43">
        <v>437</v>
      </c>
      <c r="M867" s="47">
        <v>1.3698630136986301E-2</v>
      </c>
      <c r="N867" s="47">
        <v>19.2</v>
      </c>
      <c r="O867" s="46" t="s">
        <v>925</v>
      </c>
      <c r="P867" s="43">
        <v>273</v>
      </c>
      <c r="Q867" s="43">
        <v>10</v>
      </c>
      <c r="R867" s="45" t="s">
        <v>4281</v>
      </c>
      <c r="S867" s="46" t="s">
        <v>2397</v>
      </c>
    </row>
    <row r="868" spans="1:19" ht="42">
      <c r="A868" s="43">
        <v>864</v>
      </c>
      <c r="B868" s="43">
        <v>829</v>
      </c>
      <c r="C868" s="43">
        <v>116</v>
      </c>
      <c r="D868" s="44">
        <v>44949</v>
      </c>
      <c r="E868" s="45" t="s">
        <v>3870</v>
      </c>
      <c r="F868" s="46" t="s">
        <v>37</v>
      </c>
      <c r="G868" s="46" t="s">
        <v>884</v>
      </c>
      <c r="H868" s="46" t="s">
        <v>1317</v>
      </c>
      <c r="I868" s="46" t="s">
        <v>512</v>
      </c>
      <c r="J868" s="46" t="s">
        <v>977</v>
      </c>
      <c r="K868" s="43">
        <v>9</v>
      </c>
      <c r="L868" s="43">
        <v>1310</v>
      </c>
      <c r="M868" s="47">
        <v>6.8649885583524023E-3</v>
      </c>
      <c r="N868" s="47">
        <v>19.100000000000001</v>
      </c>
      <c r="O868" s="46" t="s">
        <v>925</v>
      </c>
      <c r="P868" s="43">
        <v>235</v>
      </c>
      <c r="Q868" s="43">
        <v>20</v>
      </c>
      <c r="R868" s="45" t="s">
        <v>4275</v>
      </c>
      <c r="S868" s="46" t="s">
        <v>3871</v>
      </c>
    </row>
    <row r="869" spans="1:19" ht="42">
      <c r="A869" s="43">
        <v>865</v>
      </c>
      <c r="B869" s="43">
        <v>830</v>
      </c>
      <c r="C869" s="43">
        <v>111</v>
      </c>
      <c r="D869" s="44">
        <v>44948</v>
      </c>
      <c r="E869" s="45" t="s">
        <v>3873</v>
      </c>
      <c r="F869" s="46" t="s">
        <v>37</v>
      </c>
      <c r="G869" s="46" t="s">
        <v>884</v>
      </c>
      <c r="H869" s="46" t="s">
        <v>965</v>
      </c>
      <c r="I869" s="46" t="s">
        <v>522</v>
      </c>
      <c r="J869" s="46" t="s">
        <v>977</v>
      </c>
      <c r="K869" s="43">
        <v>9</v>
      </c>
      <c r="L869" s="43">
        <v>1311</v>
      </c>
      <c r="M869" s="47">
        <v>6.8597560975609756E-3</v>
      </c>
      <c r="N869" s="47">
        <v>19.100000000000001</v>
      </c>
      <c r="O869" s="46" t="s">
        <v>925</v>
      </c>
      <c r="P869" s="43">
        <v>123</v>
      </c>
      <c r="Q869" s="43">
        <v>20</v>
      </c>
      <c r="R869" s="45" t="s">
        <v>4275</v>
      </c>
      <c r="S869" s="46" t="s">
        <v>3874</v>
      </c>
    </row>
    <row r="870" spans="1:19" ht="42">
      <c r="A870" s="43">
        <v>866</v>
      </c>
      <c r="B870" s="43">
        <v>855</v>
      </c>
      <c r="C870" s="43">
        <v>481</v>
      </c>
      <c r="D870" s="44">
        <v>45377</v>
      </c>
      <c r="E870" s="45" t="s">
        <v>3248</v>
      </c>
      <c r="F870" s="46" t="s">
        <v>37</v>
      </c>
      <c r="G870" s="46" t="s">
        <v>878</v>
      </c>
      <c r="H870" s="46" t="s">
        <v>965</v>
      </c>
      <c r="I870" s="46" t="s">
        <v>533</v>
      </c>
      <c r="J870" s="46" t="s">
        <v>968</v>
      </c>
      <c r="K870" s="43">
        <v>8</v>
      </c>
      <c r="L870" s="43">
        <v>882</v>
      </c>
      <c r="M870" s="47">
        <v>9.0600226500566258E-3</v>
      </c>
      <c r="N870" s="47">
        <v>19.100000000000001</v>
      </c>
      <c r="O870" s="46" t="s">
        <v>925</v>
      </c>
      <c r="P870" s="43">
        <v>28</v>
      </c>
      <c r="Q870" s="43">
        <v>20</v>
      </c>
      <c r="R870" s="45" t="s">
        <v>4275</v>
      </c>
      <c r="S870" s="46" t="s">
        <v>3249</v>
      </c>
    </row>
    <row r="871" spans="1:19" ht="42">
      <c r="A871" s="43">
        <v>867</v>
      </c>
      <c r="B871" s="43">
        <v>877</v>
      </c>
      <c r="C871" s="43">
        <v>693</v>
      </c>
      <c r="D871" s="44">
        <v>45654</v>
      </c>
      <c r="E871" s="45" t="s">
        <v>2694</v>
      </c>
      <c r="F871" s="46" t="s">
        <v>37</v>
      </c>
      <c r="G871" s="46" t="s">
        <v>882</v>
      </c>
      <c r="H871" s="46" t="s">
        <v>965</v>
      </c>
      <c r="I871" s="46" t="s">
        <v>526</v>
      </c>
      <c r="J871" s="46" t="s">
        <v>977</v>
      </c>
      <c r="K871" s="43">
        <v>7</v>
      </c>
      <c r="L871" s="43">
        <v>605</v>
      </c>
      <c r="M871" s="47">
        <v>1.155115511551155E-2</v>
      </c>
      <c r="N871" s="47">
        <v>19.100000000000001</v>
      </c>
      <c r="O871" s="46" t="s">
        <v>925</v>
      </c>
      <c r="P871" s="43">
        <v>249</v>
      </c>
      <c r="Q871" s="43">
        <v>20</v>
      </c>
      <c r="R871" s="45" t="s">
        <v>4275</v>
      </c>
      <c r="S871" s="46" t="s">
        <v>2695</v>
      </c>
    </row>
    <row r="872" spans="1:19" ht="42">
      <c r="A872" s="43">
        <v>868</v>
      </c>
      <c r="B872" s="43">
        <v>831</v>
      </c>
      <c r="C872" s="43">
        <v>147</v>
      </c>
      <c r="D872" s="44">
        <v>44929</v>
      </c>
      <c r="E872" s="45" t="s">
        <v>3898</v>
      </c>
      <c r="F872" s="46" t="s">
        <v>37</v>
      </c>
      <c r="G872" s="46" t="s">
        <v>904</v>
      </c>
      <c r="H872" s="46" t="s">
        <v>965</v>
      </c>
      <c r="I872" s="46" t="s">
        <v>533</v>
      </c>
      <c r="J872" s="46" t="s">
        <v>968</v>
      </c>
      <c r="K872" s="43">
        <v>9</v>
      </c>
      <c r="L872" s="43">
        <v>1330</v>
      </c>
      <c r="M872" s="47">
        <v>6.7618332081141996E-3</v>
      </c>
      <c r="N872" s="47">
        <v>19</v>
      </c>
      <c r="O872" s="46" t="s">
        <v>925</v>
      </c>
      <c r="P872" s="43">
        <v>404</v>
      </c>
      <c r="Q872" s="43">
        <v>20</v>
      </c>
      <c r="R872" s="45" t="s">
        <v>4275</v>
      </c>
      <c r="S872" s="46" t="s">
        <v>3899</v>
      </c>
    </row>
    <row r="873" spans="1:19" ht="42">
      <c r="A873" s="43">
        <v>869</v>
      </c>
      <c r="B873" s="43">
        <v>856</v>
      </c>
      <c r="C873" s="43">
        <v>464</v>
      </c>
      <c r="D873" s="44">
        <v>45361</v>
      </c>
      <c r="E873" s="45" t="s">
        <v>3284</v>
      </c>
      <c r="F873" s="46" t="s">
        <v>37</v>
      </c>
      <c r="G873" s="46" t="s">
        <v>882</v>
      </c>
      <c r="H873" s="46" t="s">
        <v>965</v>
      </c>
      <c r="I873" s="46" t="s">
        <v>530</v>
      </c>
      <c r="J873" s="46" t="s">
        <v>968</v>
      </c>
      <c r="K873" s="43">
        <v>8</v>
      </c>
      <c r="L873" s="43">
        <v>898</v>
      </c>
      <c r="M873" s="47">
        <v>8.8987764182424916E-3</v>
      </c>
      <c r="N873" s="47">
        <v>18.899999999999999</v>
      </c>
      <c r="O873" s="46" t="s">
        <v>925</v>
      </c>
      <c r="P873" s="43">
        <v>408</v>
      </c>
      <c r="Q873" s="43">
        <v>10</v>
      </c>
      <c r="R873" s="45" t="s">
        <v>4281</v>
      </c>
      <c r="S873" s="46" t="s">
        <v>3285</v>
      </c>
    </row>
    <row r="874" spans="1:19" ht="42">
      <c r="A874" s="43">
        <v>870</v>
      </c>
      <c r="B874" s="43">
        <v>857</v>
      </c>
      <c r="C874" s="43">
        <v>430</v>
      </c>
      <c r="D874" s="44">
        <v>45333</v>
      </c>
      <c r="E874" s="45" t="s">
        <v>3339</v>
      </c>
      <c r="F874" s="46" t="s">
        <v>37</v>
      </c>
      <c r="G874" s="46" t="s">
        <v>915</v>
      </c>
      <c r="H874" s="46" t="s">
        <v>965</v>
      </c>
      <c r="I874" s="46" t="s">
        <v>515</v>
      </c>
      <c r="J874" s="46" t="s">
        <v>968</v>
      </c>
      <c r="K874" s="43">
        <v>8</v>
      </c>
      <c r="L874" s="43">
        <v>926</v>
      </c>
      <c r="M874" s="47">
        <v>8.6299892125134836E-3</v>
      </c>
      <c r="N874" s="47">
        <v>18.7</v>
      </c>
      <c r="O874" s="46" t="s">
        <v>925</v>
      </c>
      <c r="P874" s="43">
        <v>893</v>
      </c>
      <c r="Q874" s="43">
        <v>20</v>
      </c>
      <c r="R874" s="45" t="s">
        <v>4278</v>
      </c>
      <c r="S874" s="46" t="s">
        <v>3340</v>
      </c>
    </row>
    <row r="875" spans="1:19" ht="42">
      <c r="A875" s="43">
        <v>871</v>
      </c>
      <c r="B875" s="43">
        <v>878</v>
      </c>
      <c r="C875" s="43">
        <v>1022</v>
      </c>
      <c r="D875" s="44">
        <v>45608</v>
      </c>
      <c r="E875" s="45" t="s">
        <v>2810</v>
      </c>
      <c r="F875" s="46" t="s">
        <v>382</v>
      </c>
      <c r="G875" s="46" t="s">
        <v>878</v>
      </c>
      <c r="H875" s="46" t="s">
        <v>965</v>
      </c>
      <c r="I875" s="46" t="s">
        <v>515</v>
      </c>
      <c r="J875" s="46" t="s">
        <v>977</v>
      </c>
      <c r="K875" s="43">
        <v>7</v>
      </c>
      <c r="L875" s="43">
        <v>651</v>
      </c>
      <c r="M875" s="47">
        <v>1.0736196319018405E-2</v>
      </c>
      <c r="N875" s="47">
        <v>18.600000000000001</v>
      </c>
      <c r="O875" s="46" t="s">
        <v>925</v>
      </c>
      <c r="P875" s="43">
        <v>7</v>
      </c>
      <c r="Q875" s="43">
        <v>20</v>
      </c>
      <c r="R875" s="45" t="s">
        <v>4275</v>
      </c>
      <c r="S875" s="46" t="s">
        <v>2811</v>
      </c>
    </row>
    <row r="876" spans="1:19" ht="31.5">
      <c r="A876" s="43">
        <v>872</v>
      </c>
      <c r="B876" s="43">
        <v>858</v>
      </c>
      <c r="C876" s="43">
        <v>392</v>
      </c>
      <c r="D876" s="44">
        <v>45309</v>
      </c>
      <c r="E876" s="45" t="s">
        <v>3400</v>
      </c>
      <c r="F876" s="46" t="s">
        <v>37</v>
      </c>
      <c r="G876" s="46" t="s">
        <v>1038</v>
      </c>
      <c r="H876" s="46" t="s">
        <v>1038</v>
      </c>
      <c r="I876" s="46" t="s">
        <v>512</v>
      </c>
      <c r="J876" s="46" t="s">
        <v>977</v>
      </c>
      <c r="K876" s="43">
        <v>8</v>
      </c>
      <c r="L876" s="43">
        <v>950</v>
      </c>
      <c r="M876" s="47">
        <v>8.4121976866456359E-3</v>
      </c>
      <c r="N876" s="47">
        <v>18.5</v>
      </c>
      <c r="O876" s="46" t="s">
        <v>925</v>
      </c>
      <c r="P876" s="43">
        <v>1088</v>
      </c>
      <c r="Q876" s="43">
        <v>30</v>
      </c>
      <c r="R876" s="45" t="s">
        <v>4283</v>
      </c>
      <c r="S876" s="46" t="s">
        <v>3401</v>
      </c>
    </row>
    <row r="877" spans="1:19" ht="42">
      <c r="A877" s="43">
        <v>873</v>
      </c>
      <c r="B877" s="43">
        <v>796</v>
      </c>
      <c r="C877" s="43">
        <v>36</v>
      </c>
      <c r="D877" s="44">
        <v>43799</v>
      </c>
      <c r="E877" s="45" t="s">
        <v>4168</v>
      </c>
      <c r="F877" s="46" t="s">
        <v>37</v>
      </c>
      <c r="G877" s="46" t="s">
        <v>887</v>
      </c>
      <c r="H877" s="46" t="s">
        <v>965</v>
      </c>
      <c r="I877" s="46" t="s">
        <v>515</v>
      </c>
      <c r="J877" s="46" t="s">
        <v>977</v>
      </c>
      <c r="K877" s="43">
        <v>10</v>
      </c>
      <c r="L877" s="43">
        <v>2460</v>
      </c>
      <c r="M877" s="47">
        <v>4.0633888663145065E-3</v>
      </c>
      <c r="N877" s="47">
        <v>18.2</v>
      </c>
      <c r="O877" s="46" t="s">
        <v>925</v>
      </c>
      <c r="P877" s="43">
        <v>294</v>
      </c>
      <c r="Q877" s="43">
        <v>10</v>
      </c>
      <c r="R877" s="45" t="s">
        <v>4281</v>
      </c>
      <c r="S877" s="46" t="s">
        <v>4169</v>
      </c>
    </row>
    <row r="878" spans="1:19" ht="42">
      <c r="A878" s="43">
        <v>874</v>
      </c>
      <c r="B878" s="43">
        <v>879</v>
      </c>
      <c r="C878" s="43">
        <v>1015</v>
      </c>
      <c r="D878" s="44">
        <v>45563</v>
      </c>
      <c r="E878" s="45" t="s">
        <v>2934</v>
      </c>
      <c r="F878" s="46" t="s">
        <v>382</v>
      </c>
      <c r="G878" s="46" t="s">
        <v>878</v>
      </c>
      <c r="H878" s="46" t="s">
        <v>965</v>
      </c>
      <c r="I878" s="46" t="s">
        <v>515</v>
      </c>
      <c r="J878" s="46" t="s">
        <v>977</v>
      </c>
      <c r="K878" s="43">
        <v>7</v>
      </c>
      <c r="L878" s="43">
        <v>696</v>
      </c>
      <c r="M878" s="47">
        <v>1.0043041606886656E-2</v>
      </c>
      <c r="N878" s="47">
        <v>18.2</v>
      </c>
      <c r="O878" s="46" t="s">
        <v>925</v>
      </c>
      <c r="P878" s="43">
        <v>6</v>
      </c>
      <c r="Q878" s="43">
        <v>10</v>
      </c>
      <c r="R878" s="45" t="s">
        <v>4281</v>
      </c>
      <c r="S878" s="46" t="s">
        <v>2935</v>
      </c>
    </row>
    <row r="879" spans="1:19" ht="42">
      <c r="A879" s="43">
        <v>875</v>
      </c>
      <c r="B879" s="43">
        <v>832</v>
      </c>
      <c r="C879" s="43">
        <v>76</v>
      </c>
      <c r="D879" s="44">
        <v>44729</v>
      </c>
      <c r="E879" s="45" t="s">
        <v>3973</v>
      </c>
      <c r="F879" s="46" t="s">
        <v>37</v>
      </c>
      <c r="G879" s="46" t="s">
        <v>882</v>
      </c>
      <c r="H879" s="46" t="s">
        <v>965</v>
      </c>
      <c r="I879" s="46" t="s">
        <v>526</v>
      </c>
      <c r="J879" s="46" t="s">
        <v>977</v>
      </c>
      <c r="K879" s="43">
        <v>9</v>
      </c>
      <c r="L879" s="43">
        <v>1530</v>
      </c>
      <c r="M879" s="47">
        <v>5.8785107772697581E-3</v>
      </c>
      <c r="N879" s="47">
        <v>18.100000000000001</v>
      </c>
      <c r="O879" s="46" t="s">
        <v>925</v>
      </c>
      <c r="P879" s="43">
        <v>273</v>
      </c>
      <c r="Q879" s="43">
        <v>20</v>
      </c>
      <c r="R879" s="45" t="s">
        <v>4275</v>
      </c>
      <c r="S879" s="46" t="s">
        <v>3974</v>
      </c>
    </row>
    <row r="880" spans="1:19" ht="42">
      <c r="A880" s="43">
        <v>876</v>
      </c>
      <c r="B880" s="43">
        <v>859</v>
      </c>
      <c r="C880" s="43">
        <v>412</v>
      </c>
      <c r="D880" s="44">
        <v>45230</v>
      </c>
      <c r="E880" s="45" t="s">
        <v>3546</v>
      </c>
      <c r="F880" s="46" t="s">
        <v>37</v>
      </c>
      <c r="G880" s="46" t="s">
        <v>878</v>
      </c>
      <c r="H880" s="46" t="s">
        <v>1317</v>
      </c>
      <c r="I880" s="46" t="s">
        <v>512</v>
      </c>
      <c r="J880" s="46" t="s">
        <v>968</v>
      </c>
      <c r="K880" s="43">
        <v>8</v>
      </c>
      <c r="L880" s="43">
        <v>1029</v>
      </c>
      <c r="M880" s="47">
        <v>7.7669902912621356E-3</v>
      </c>
      <c r="N880" s="47">
        <v>17.899999999999999</v>
      </c>
      <c r="O880" s="46" t="s">
        <v>925</v>
      </c>
      <c r="P880" s="43">
        <v>262</v>
      </c>
      <c r="Q880" s="43">
        <v>10</v>
      </c>
      <c r="R880" s="45" t="s">
        <v>4281</v>
      </c>
      <c r="S880" s="46" t="s">
        <v>3547</v>
      </c>
    </row>
    <row r="881" spans="1:19" ht="42">
      <c r="A881" s="43">
        <v>877</v>
      </c>
      <c r="B881" s="43">
        <v>833</v>
      </c>
      <c r="C881" s="43">
        <v>130</v>
      </c>
      <c r="D881" s="44">
        <v>44645</v>
      </c>
      <c r="E881" s="45" t="s">
        <v>4079</v>
      </c>
      <c r="F881" s="46" t="s">
        <v>37</v>
      </c>
      <c r="G881" s="46" t="s">
        <v>878</v>
      </c>
      <c r="H881" s="46" t="s">
        <v>965</v>
      </c>
      <c r="I881" s="46" t="s">
        <v>522</v>
      </c>
      <c r="J881" s="46" t="s">
        <v>968</v>
      </c>
      <c r="K881" s="43">
        <v>9</v>
      </c>
      <c r="L881" s="43">
        <v>1614</v>
      </c>
      <c r="M881" s="47">
        <v>5.5727554179566567E-3</v>
      </c>
      <c r="N881" s="47">
        <v>17.7</v>
      </c>
      <c r="O881" s="46" t="s">
        <v>925</v>
      </c>
      <c r="P881" s="43">
        <v>222</v>
      </c>
      <c r="Q881" s="43">
        <v>10</v>
      </c>
      <c r="R881" s="45" t="s">
        <v>4281</v>
      </c>
      <c r="S881" s="46" t="s">
        <v>4080</v>
      </c>
    </row>
    <row r="882" spans="1:19" ht="42">
      <c r="A882" s="43">
        <v>878</v>
      </c>
      <c r="B882" s="43">
        <v>860</v>
      </c>
      <c r="C882" s="43">
        <v>519</v>
      </c>
      <c r="D882" s="44">
        <v>45208</v>
      </c>
      <c r="E882" s="45" t="s">
        <v>3556</v>
      </c>
      <c r="F882" s="46" t="s">
        <v>37</v>
      </c>
      <c r="G882" s="46" t="s">
        <v>878</v>
      </c>
      <c r="H882" s="46" t="s">
        <v>965</v>
      </c>
      <c r="I882" s="46" t="s">
        <v>512</v>
      </c>
      <c r="J882" s="46" t="s">
        <v>977</v>
      </c>
      <c r="K882" s="43">
        <v>8</v>
      </c>
      <c r="L882" s="43">
        <v>1051</v>
      </c>
      <c r="M882" s="47">
        <v>7.6045627376425855E-3</v>
      </c>
      <c r="N882" s="47">
        <v>17.7</v>
      </c>
      <c r="O882" s="46" t="s">
        <v>925</v>
      </c>
      <c r="P882" s="43">
        <v>402</v>
      </c>
      <c r="Q882" s="43">
        <v>10</v>
      </c>
      <c r="R882" s="45" t="s">
        <v>4281</v>
      </c>
      <c r="S882" s="46" t="s">
        <v>3557</v>
      </c>
    </row>
    <row r="883" spans="1:19" ht="42">
      <c r="A883" s="43">
        <v>879</v>
      </c>
      <c r="B883" s="43">
        <v>834</v>
      </c>
      <c r="C883" s="43">
        <v>31</v>
      </c>
      <c r="D883" s="44">
        <v>44600</v>
      </c>
      <c r="E883" s="45" t="s">
        <v>4099</v>
      </c>
      <c r="F883" s="46" t="s">
        <v>37</v>
      </c>
      <c r="G883" s="46" t="s">
        <v>878</v>
      </c>
      <c r="H883" s="46" t="s">
        <v>965</v>
      </c>
      <c r="I883" s="46" t="s">
        <v>515</v>
      </c>
      <c r="J883" s="46" t="s">
        <v>977</v>
      </c>
      <c r="K883" s="43">
        <v>9</v>
      </c>
      <c r="L883" s="43">
        <v>1659</v>
      </c>
      <c r="M883" s="47">
        <v>5.4216867469879517E-3</v>
      </c>
      <c r="N883" s="47">
        <v>17.600000000000001</v>
      </c>
      <c r="O883" s="46" t="s">
        <v>925</v>
      </c>
      <c r="P883" s="43">
        <v>982</v>
      </c>
      <c r="Q883" s="43">
        <v>20</v>
      </c>
      <c r="R883" s="45" t="s">
        <v>4278</v>
      </c>
      <c r="S883" s="46" t="s">
        <v>4100</v>
      </c>
    </row>
    <row r="884" spans="1:19" ht="42">
      <c r="A884" s="43">
        <v>880</v>
      </c>
      <c r="B884" s="43">
        <v>861</v>
      </c>
      <c r="C884" s="43">
        <v>313</v>
      </c>
      <c r="D884" s="44">
        <v>45194</v>
      </c>
      <c r="E884" s="45" t="s">
        <v>3563</v>
      </c>
      <c r="F884" s="46" t="s">
        <v>37</v>
      </c>
      <c r="G884" s="46" t="s">
        <v>889</v>
      </c>
      <c r="H884" s="46" t="s">
        <v>965</v>
      </c>
      <c r="I884" s="46" t="s">
        <v>519</v>
      </c>
      <c r="J884" s="46" t="s">
        <v>977</v>
      </c>
      <c r="K884" s="43">
        <v>8</v>
      </c>
      <c r="L884" s="43">
        <v>1065</v>
      </c>
      <c r="M884" s="47">
        <v>7.5046904315196998E-3</v>
      </c>
      <c r="N884" s="47">
        <v>17.399999999999999</v>
      </c>
      <c r="O884" s="46" t="s">
        <v>925</v>
      </c>
      <c r="P884" s="43">
        <v>412</v>
      </c>
      <c r="Q884" s="43">
        <v>10</v>
      </c>
      <c r="R884" s="45" t="s">
        <v>4281</v>
      </c>
      <c r="S884" s="46" t="s">
        <v>3564</v>
      </c>
    </row>
    <row r="885" spans="1:19" ht="42">
      <c r="A885" s="43">
        <v>881</v>
      </c>
      <c r="B885" s="43">
        <v>862</v>
      </c>
      <c r="C885" s="43">
        <v>298</v>
      </c>
      <c r="D885" s="44">
        <v>45178</v>
      </c>
      <c r="E885" s="45" t="s">
        <v>3609</v>
      </c>
      <c r="F885" s="46" t="s">
        <v>37</v>
      </c>
      <c r="G885" s="46" t="s">
        <v>882</v>
      </c>
      <c r="H885" s="46" t="s">
        <v>965</v>
      </c>
      <c r="I885" s="46" t="s">
        <v>519</v>
      </c>
      <c r="J885" s="46" t="s">
        <v>977</v>
      </c>
      <c r="K885" s="43">
        <v>8</v>
      </c>
      <c r="L885" s="43">
        <v>1081</v>
      </c>
      <c r="M885" s="47">
        <v>7.3937153419593345E-3</v>
      </c>
      <c r="N885" s="47">
        <v>17.3</v>
      </c>
      <c r="O885" s="46" t="s">
        <v>925</v>
      </c>
      <c r="P885" s="43">
        <v>95</v>
      </c>
      <c r="Q885" s="43">
        <v>10</v>
      </c>
      <c r="R885" s="45" t="s">
        <v>4281</v>
      </c>
      <c r="S885" s="46" t="s">
        <v>3610</v>
      </c>
    </row>
    <row r="886" spans="1:19" ht="42">
      <c r="A886" s="43">
        <v>882</v>
      </c>
      <c r="B886" s="43">
        <v>863</v>
      </c>
      <c r="C886" s="43">
        <v>240</v>
      </c>
      <c r="D886" s="44">
        <v>45139</v>
      </c>
      <c r="E886" s="45" t="s">
        <v>3696</v>
      </c>
      <c r="F886" s="46" t="s">
        <v>37</v>
      </c>
      <c r="G886" s="46" t="s">
        <v>1038</v>
      </c>
      <c r="H886" s="46" t="s">
        <v>1038</v>
      </c>
      <c r="I886" s="46" t="s">
        <v>533</v>
      </c>
      <c r="J886" s="46" t="s">
        <v>968</v>
      </c>
      <c r="K886" s="43">
        <v>8</v>
      </c>
      <c r="L886" s="43">
        <v>1120</v>
      </c>
      <c r="M886" s="47">
        <v>7.1364852809991082E-3</v>
      </c>
      <c r="N886" s="47">
        <v>17.100000000000001</v>
      </c>
      <c r="O886" s="46" t="s">
        <v>925</v>
      </c>
      <c r="P886" s="43">
        <v>99</v>
      </c>
      <c r="Q886" s="43">
        <v>10</v>
      </c>
      <c r="R886" s="45" t="s">
        <v>4281</v>
      </c>
      <c r="S886" s="46" t="s">
        <v>3697</v>
      </c>
    </row>
    <row r="887" spans="1:19" ht="42">
      <c r="A887" s="43">
        <v>883</v>
      </c>
      <c r="B887" s="43">
        <v>880</v>
      </c>
      <c r="C887" s="43">
        <v>542</v>
      </c>
      <c r="D887" s="44">
        <v>45463</v>
      </c>
      <c r="E887" s="45" t="s">
        <v>3105</v>
      </c>
      <c r="F887" s="46" t="s">
        <v>37</v>
      </c>
      <c r="G887" s="46" t="s">
        <v>1038</v>
      </c>
      <c r="H887" s="46" t="s">
        <v>1134</v>
      </c>
      <c r="I887" s="46" t="s">
        <v>515</v>
      </c>
      <c r="J887" s="46" t="s">
        <v>977</v>
      </c>
      <c r="K887" s="43">
        <v>7</v>
      </c>
      <c r="L887" s="43">
        <v>796</v>
      </c>
      <c r="M887" s="47">
        <v>8.7829360100376407E-3</v>
      </c>
      <c r="N887" s="47">
        <v>17</v>
      </c>
      <c r="O887" s="46" t="s">
        <v>925</v>
      </c>
      <c r="P887" s="43">
        <v>533</v>
      </c>
      <c r="Q887" s="43">
        <v>20</v>
      </c>
      <c r="R887" s="45" t="s">
        <v>4278</v>
      </c>
      <c r="S887" s="46" t="s">
        <v>3106</v>
      </c>
    </row>
    <row r="888" spans="1:19" ht="42">
      <c r="A888" s="43">
        <v>884</v>
      </c>
      <c r="B888" s="43">
        <v>864</v>
      </c>
      <c r="C888" s="43">
        <v>185</v>
      </c>
      <c r="D888" s="44">
        <v>45081</v>
      </c>
      <c r="E888" s="45" t="s">
        <v>3795</v>
      </c>
      <c r="F888" s="46" t="s">
        <v>37</v>
      </c>
      <c r="G888" s="46" t="s">
        <v>1038</v>
      </c>
      <c r="H888" s="46" t="s">
        <v>1005</v>
      </c>
      <c r="I888" s="46" t="s">
        <v>519</v>
      </c>
      <c r="J888" s="46" t="s">
        <v>968</v>
      </c>
      <c r="K888" s="43">
        <v>8</v>
      </c>
      <c r="L888" s="43">
        <v>1178</v>
      </c>
      <c r="M888" s="47">
        <v>6.7854113655640372E-3</v>
      </c>
      <c r="N888" s="47">
        <v>16.8</v>
      </c>
      <c r="O888" s="46" t="s">
        <v>925</v>
      </c>
      <c r="P888" s="43">
        <v>934</v>
      </c>
      <c r="Q888" s="43">
        <v>20</v>
      </c>
      <c r="R888" s="45" t="s">
        <v>4278</v>
      </c>
      <c r="S888" s="46" t="s">
        <v>3796</v>
      </c>
    </row>
    <row r="889" spans="1:19" ht="42">
      <c r="A889" s="43">
        <v>885</v>
      </c>
      <c r="B889" s="43">
        <v>881</v>
      </c>
      <c r="C889" s="43">
        <v>546</v>
      </c>
      <c r="D889" s="44">
        <v>45437</v>
      </c>
      <c r="E889" s="45" t="s">
        <v>3156</v>
      </c>
      <c r="F889" s="46" t="s">
        <v>37</v>
      </c>
      <c r="G889" s="46" t="s">
        <v>1038</v>
      </c>
      <c r="H889" s="46" t="s">
        <v>1038</v>
      </c>
      <c r="I889" s="46" t="s">
        <v>512</v>
      </c>
      <c r="J889" s="46" t="s">
        <v>968</v>
      </c>
      <c r="K889" s="43">
        <v>7</v>
      </c>
      <c r="L889" s="43">
        <v>822</v>
      </c>
      <c r="M889" s="47">
        <v>8.5054678007290396E-3</v>
      </c>
      <c r="N889" s="47">
        <v>16.8</v>
      </c>
      <c r="O889" s="46" t="s">
        <v>925</v>
      </c>
      <c r="P889" s="43">
        <v>251</v>
      </c>
      <c r="Q889" s="43">
        <v>10</v>
      </c>
      <c r="R889" s="45" t="s">
        <v>4281</v>
      </c>
      <c r="S889" s="46" t="s">
        <v>3157</v>
      </c>
    </row>
    <row r="890" spans="1:19" ht="42">
      <c r="A890" s="43">
        <v>886</v>
      </c>
      <c r="B890" s="43">
        <v>865</v>
      </c>
      <c r="C890" s="43">
        <v>163</v>
      </c>
      <c r="D890" s="44">
        <v>45072</v>
      </c>
      <c r="E890" s="45" t="s">
        <v>3822</v>
      </c>
      <c r="F890" s="46" t="s">
        <v>37</v>
      </c>
      <c r="G890" s="46" t="s">
        <v>923</v>
      </c>
      <c r="H890" s="46" t="s">
        <v>965</v>
      </c>
      <c r="I890" s="46" t="s">
        <v>512</v>
      </c>
      <c r="J890" s="46" t="s">
        <v>977</v>
      </c>
      <c r="K890" s="43">
        <v>8</v>
      </c>
      <c r="L890" s="43">
        <v>1187</v>
      </c>
      <c r="M890" s="47">
        <v>6.7340067340067337E-3</v>
      </c>
      <c r="N890" s="47">
        <v>16.7</v>
      </c>
      <c r="O890" s="46" t="s">
        <v>925</v>
      </c>
      <c r="P890" s="43">
        <v>377</v>
      </c>
      <c r="Q890" s="43">
        <v>10</v>
      </c>
      <c r="R890" s="45" t="s">
        <v>4281</v>
      </c>
      <c r="S890" s="46" t="s">
        <v>3823</v>
      </c>
    </row>
    <row r="891" spans="1:19" ht="42">
      <c r="A891" s="43">
        <v>887</v>
      </c>
      <c r="B891" s="43">
        <v>882</v>
      </c>
      <c r="C891" s="43">
        <v>522</v>
      </c>
      <c r="D891" s="44">
        <v>45429</v>
      </c>
      <c r="E891" s="45" t="s">
        <v>3165</v>
      </c>
      <c r="F891" s="46" t="s">
        <v>37</v>
      </c>
      <c r="G891" s="46" t="s">
        <v>1038</v>
      </c>
      <c r="H891" s="46" t="s">
        <v>1005</v>
      </c>
      <c r="I891" s="46" t="s">
        <v>512</v>
      </c>
      <c r="J891" s="46" t="s">
        <v>968</v>
      </c>
      <c r="K891" s="43">
        <v>7</v>
      </c>
      <c r="L891" s="43">
        <v>830</v>
      </c>
      <c r="M891" s="47">
        <v>8.4235860409145602E-3</v>
      </c>
      <c r="N891" s="47">
        <v>16.7</v>
      </c>
      <c r="O891" s="46" t="s">
        <v>925</v>
      </c>
      <c r="P891" s="43">
        <v>861</v>
      </c>
      <c r="Q891" s="43">
        <v>20</v>
      </c>
      <c r="R891" s="45" t="s">
        <v>4278</v>
      </c>
      <c r="S891" s="46" t="s">
        <v>3166</v>
      </c>
    </row>
    <row r="892" spans="1:19" ht="42">
      <c r="A892" s="43">
        <v>888</v>
      </c>
      <c r="B892" s="43">
        <v>883</v>
      </c>
      <c r="C892" s="43">
        <v>517</v>
      </c>
      <c r="D892" s="44">
        <v>45419</v>
      </c>
      <c r="E892" s="45" t="s">
        <v>3177</v>
      </c>
      <c r="F892" s="46" t="s">
        <v>37</v>
      </c>
      <c r="G892" s="46" t="s">
        <v>929</v>
      </c>
      <c r="H892" s="46" t="s">
        <v>1317</v>
      </c>
      <c r="I892" s="46" t="s">
        <v>519</v>
      </c>
      <c r="J892" s="46" t="s">
        <v>968</v>
      </c>
      <c r="K892" s="43">
        <v>7</v>
      </c>
      <c r="L892" s="43">
        <v>840</v>
      </c>
      <c r="M892" s="47">
        <v>8.3234244946492272E-3</v>
      </c>
      <c r="N892" s="47">
        <v>16.600000000000001</v>
      </c>
      <c r="O892" s="46" t="s">
        <v>925</v>
      </c>
      <c r="P892" s="43">
        <v>428</v>
      </c>
      <c r="Q892" s="43">
        <v>20</v>
      </c>
      <c r="R892" s="45" t="s">
        <v>4275</v>
      </c>
      <c r="S892" s="46" t="s">
        <v>3178</v>
      </c>
    </row>
    <row r="893" spans="1:19" ht="42">
      <c r="A893" s="43">
        <v>889</v>
      </c>
      <c r="B893" s="43">
        <v>932</v>
      </c>
      <c r="C893" s="43">
        <v>953</v>
      </c>
      <c r="D893" s="44">
        <v>45863</v>
      </c>
      <c r="E893" s="45" t="s">
        <v>2268</v>
      </c>
      <c r="F893" s="46" t="s">
        <v>371</v>
      </c>
      <c r="G893" s="46" t="s">
        <v>1038</v>
      </c>
      <c r="H893" s="46" t="s">
        <v>1005</v>
      </c>
      <c r="I893" s="46" t="s">
        <v>526</v>
      </c>
      <c r="J893" s="46" t="s">
        <v>968</v>
      </c>
      <c r="K893" s="43">
        <v>5</v>
      </c>
      <c r="L893" s="43">
        <v>396</v>
      </c>
      <c r="M893" s="47">
        <v>1.2594458438287154E-2</v>
      </c>
      <c r="N893" s="47">
        <v>16.600000000000001</v>
      </c>
      <c r="O893" s="46" t="s">
        <v>925</v>
      </c>
      <c r="P893" s="43">
        <v>198</v>
      </c>
      <c r="Q893" s="43">
        <v>20</v>
      </c>
      <c r="R893" s="45" t="s">
        <v>4275</v>
      </c>
      <c r="S893" s="46" t="s">
        <v>2269</v>
      </c>
    </row>
    <row r="894" spans="1:19" ht="42">
      <c r="A894" s="43">
        <v>890</v>
      </c>
      <c r="B894" s="43">
        <v>884</v>
      </c>
      <c r="C894" s="43">
        <v>497</v>
      </c>
      <c r="D894" s="44">
        <v>45406</v>
      </c>
      <c r="E894" s="45" t="s">
        <v>3211</v>
      </c>
      <c r="F894" s="46" t="s">
        <v>37</v>
      </c>
      <c r="G894" s="46" t="s">
        <v>885</v>
      </c>
      <c r="H894" s="46" t="s">
        <v>965</v>
      </c>
      <c r="I894" s="46" t="s">
        <v>526</v>
      </c>
      <c r="J894" s="46" t="s">
        <v>968</v>
      </c>
      <c r="K894" s="43">
        <v>7</v>
      </c>
      <c r="L894" s="43">
        <v>853</v>
      </c>
      <c r="M894" s="47">
        <v>8.1967213114754103E-3</v>
      </c>
      <c r="N894" s="47">
        <v>16.5</v>
      </c>
      <c r="O894" s="46" t="s">
        <v>925</v>
      </c>
      <c r="P894" s="43">
        <v>458</v>
      </c>
      <c r="Q894" s="43">
        <v>10</v>
      </c>
      <c r="R894" s="45" t="s">
        <v>4281</v>
      </c>
      <c r="S894" s="46" t="s">
        <v>3212</v>
      </c>
    </row>
    <row r="895" spans="1:19" ht="42">
      <c r="A895" s="43">
        <v>891</v>
      </c>
      <c r="B895" s="43">
        <v>909</v>
      </c>
      <c r="C895" s="43">
        <v>708</v>
      </c>
      <c r="D895" s="44">
        <v>45649</v>
      </c>
      <c r="E895" s="45" t="s">
        <v>2718</v>
      </c>
      <c r="F895" s="46" t="s">
        <v>37</v>
      </c>
      <c r="G895" s="46" t="s">
        <v>1038</v>
      </c>
      <c r="H895" s="46" t="s">
        <v>1005</v>
      </c>
      <c r="I895" s="46" t="s">
        <v>522</v>
      </c>
      <c r="J895" s="46" t="s">
        <v>977</v>
      </c>
      <c r="K895" s="43">
        <v>6</v>
      </c>
      <c r="L895" s="43">
        <v>610</v>
      </c>
      <c r="M895" s="47">
        <v>9.8199672667757774E-3</v>
      </c>
      <c r="N895" s="47">
        <v>16.3</v>
      </c>
      <c r="O895" s="46" t="s">
        <v>925</v>
      </c>
      <c r="P895" s="43">
        <v>545</v>
      </c>
      <c r="Q895" s="43">
        <v>20</v>
      </c>
      <c r="R895" s="45" t="s">
        <v>4278</v>
      </c>
      <c r="S895" s="46" t="s">
        <v>2719</v>
      </c>
    </row>
    <row r="896" spans="1:19" ht="42">
      <c r="A896" s="43">
        <v>892</v>
      </c>
      <c r="B896" s="43">
        <v>910</v>
      </c>
      <c r="C896" s="43">
        <v>677</v>
      </c>
      <c r="D896" s="44">
        <v>45641</v>
      </c>
      <c r="E896" s="45" t="s">
        <v>2743</v>
      </c>
      <c r="F896" s="46" t="s">
        <v>37</v>
      </c>
      <c r="G896" s="46" t="s">
        <v>885</v>
      </c>
      <c r="H896" s="46" t="s">
        <v>965</v>
      </c>
      <c r="I896" s="46" t="s">
        <v>512</v>
      </c>
      <c r="J896" s="46" t="s">
        <v>977</v>
      </c>
      <c r="K896" s="43">
        <v>6</v>
      </c>
      <c r="L896" s="43">
        <v>618</v>
      </c>
      <c r="M896" s="47">
        <v>9.6930533117932146E-3</v>
      </c>
      <c r="N896" s="47">
        <v>16.2</v>
      </c>
      <c r="O896" s="46" t="s">
        <v>925</v>
      </c>
      <c r="P896" s="43">
        <v>215</v>
      </c>
      <c r="Q896" s="43">
        <v>10</v>
      </c>
      <c r="R896" s="45" t="s">
        <v>4281</v>
      </c>
      <c r="S896" s="46" t="s">
        <v>2744</v>
      </c>
    </row>
    <row r="897" spans="1:19" ht="42">
      <c r="A897" s="43">
        <v>893</v>
      </c>
      <c r="B897" s="43">
        <v>885</v>
      </c>
      <c r="C897" s="43">
        <v>450</v>
      </c>
      <c r="D897" s="44">
        <v>45350</v>
      </c>
      <c r="E897" s="45" t="s">
        <v>3305</v>
      </c>
      <c r="F897" s="46" t="s">
        <v>37</v>
      </c>
      <c r="G897" s="46" t="s">
        <v>1038</v>
      </c>
      <c r="H897" s="46" t="s">
        <v>1005</v>
      </c>
      <c r="I897" s="46" t="s">
        <v>515</v>
      </c>
      <c r="J897" s="46" t="s">
        <v>968</v>
      </c>
      <c r="K897" s="43">
        <v>7</v>
      </c>
      <c r="L897" s="43">
        <v>909</v>
      </c>
      <c r="M897" s="47">
        <v>7.6923076923076927E-3</v>
      </c>
      <c r="N897" s="47">
        <v>16</v>
      </c>
      <c r="O897" s="46" t="s">
        <v>925</v>
      </c>
      <c r="P897" s="43">
        <v>393</v>
      </c>
      <c r="Q897" s="43">
        <v>20</v>
      </c>
      <c r="R897" s="45" t="s">
        <v>4275</v>
      </c>
      <c r="S897" s="46" t="s">
        <v>3306</v>
      </c>
    </row>
    <row r="898" spans="1:19" ht="42">
      <c r="A898" s="43">
        <v>894</v>
      </c>
      <c r="B898" s="43">
        <v>886</v>
      </c>
      <c r="C898" s="43">
        <v>448</v>
      </c>
      <c r="D898" s="44">
        <v>45347</v>
      </c>
      <c r="E898" s="45" t="s">
        <v>3311</v>
      </c>
      <c r="F898" s="46" t="s">
        <v>37</v>
      </c>
      <c r="G898" s="46" t="s">
        <v>887</v>
      </c>
      <c r="H898" s="46" t="s">
        <v>1317</v>
      </c>
      <c r="I898" s="46" t="s">
        <v>519</v>
      </c>
      <c r="J898" s="46" t="s">
        <v>977</v>
      </c>
      <c r="K898" s="43">
        <v>7</v>
      </c>
      <c r="L898" s="43">
        <v>912</v>
      </c>
      <c r="M898" s="47">
        <v>7.6670317634173054E-3</v>
      </c>
      <c r="N898" s="47">
        <v>16</v>
      </c>
      <c r="O898" s="46" t="s">
        <v>925</v>
      </c>
      <c r="P898" s="43">
        <v>309</v>
      </c>
      <c r="Q898" s="43">
        <v>10</v>
      </c>
      <c r="R898" s="45" t="s">
        <v>4281</v>
      </c>
      <c r="S898" s="46" t="s">
        <v>3312</v>
      </c>
    </row>
    <row r="899" spans="1:19" ht="42">
      <c r="A899" s="43">
        <v>895</v>
      </c>
      <c r="B899" s="43">
        <v>835</v>
      </c>
      <c r="C899" s="43">
        <v>838</v>
      </c>
      <c r="D899" s="44">
        <v>43784</v>
      </c>
      <c r="E899" s="45" t="s">
        <v>4177</v>
      </c>
      <c r="F899" s="46" t="s">
        <v>392</v>
      </c>
      <c r="G899" s="46" t="s">
        <v>1038</v>
      </c>
      <c r="H899" s="46" t="s">
        <v>1038</v>
      </c>
      <c r="I899" s="46" t="s">
        <v>519</v>
      </c>
      <c r="J899" s="46" t="s">
        <v>977</v>
      </c>
      <c r="K899" s="43">
        <v>9</v>
      </c>
      <c r="L899" s="43">
        <v>2475</v>
      </c>
      <c r="M899" s="47">
        <v>3.6348949919224557E-3</v>
      </c>
      <c r="N899" s="47">
        <v>15.8</v>
      </c>
      <c r="O899" s="46" t="s">
        <v>925</v>
      </c>
      <c r="P899" s="43">
        <v>306</v>
      </c>
      <c r="Q899" s="43">
        <v>20</v>
      </c>
      <c r="R899" s="45" t="s">
        <v>4275</v>
      </c>
      <c r="S899" s="46" t="s">
        <v>4178</v>
      </c>
    </row>
    <row r="900" spans="1:19" ht="42">
      <c r="A900" s="43">
        <v>896</v>
      </c>
      <c r="B900" s="43">
        <v>836</v>
      </c>
      <c r="C900" s="43">
        <v>125</v>
      </c>
      <c r="D900" s="44">
        <v>43784</v>
      </c>
      <c r="E900" s="45" t="s">
        <v>4186</v>
      </c>
      <c r="F900" s="46" t="s">
        <v>37</v>
      </c>
      <c r="G900" s="46" t="s">
        <v>1038</v>
      </c>
      <c r="H900" s="46" t="s">
        <v>1038</v>
      </c>
      <c r="I900" s="46" t="s">
        <v>512</v>
      </c>
      <c r="J900" s="46" t="s">
        <v>968</v>
      </c>
      <c r="K900" s="43">
        <v>9</v>
      </c>
      <c r="L900" s="43">
        <v>2475</v>
      </c>
      <c r="M900" s="47">
        <v>3.6348949919224557E-3</v>
      </c>
      <c r="N900" s="47">
        <v>15.8</v>
      </c>
      <c r="O900" s="46" t="s">
        <v>925</v>
      </c>
      <c r="P900" s="43">
        <v>269</v>
      </c>
      <c r="Q900" s="43">
        <v>20</v>
      </c>
      <c r="R900" s="45" t="s">
        <v>4275</v>
      </c>
      <c r="S900" s="46" t="s">
        <v>4187</v>
      </c>
    </row>
    <row r="901" spans="1:19" ht="42">
      <c r="A901" s="43">
        <v>897</v>
      </c>
      <c r="B901" s="43">
        <v>866</v>
      </c>
      <c r="C901" s="43">
        <v>66</v>
      </c>
      <c r="D901" s="44">
        <v>44774</v>
      </c>
      <c r="E901" s="45" t="s">
        <v>3925</v>
      </c>
      <c r="F901" s="46" t="s">
        <v>37</v>
      </c>
      <c r="G901" s="46" t="s">
        <v>884</v>
      </c>
      <c r="H901" s="46" t="s">
        <v>1317</v>
      </c>
      <c r="I901" s="46" t="s">
        <v>522</v>
      </c>
      <c r="J901" s="46" t="s">
        <v>977</v>
      </c>
      <c r="K901" s="43">
        <v>8</v>
      </c>
      <c r="L901" s="43">
        <v>1485</v>
      </c>
      <c r="M901" s="47">
        <v>5.3835800807537013E-3</v>
      </c>
      <c r="N901" s="47">
        <v>15.4</v>
      </c>
      <c r="O901" s="46" t="s">
        <v>925</v>
      </c>
      <c r="P901" s="43">
        <v>448</v>
      </c>
      <c r="Q901" s="43">
        <v>10</v>
      </c>
      <c r="R901" s="45" t="s">
        <v>4281</v>
      </c>
      <c r="S901" s="46" t="s">
        <v>3926</v>
      </c>
    </row>
    <row r="902" spans="1:19" ht="42">
      <c r="A902" s="43">
        <v>898</v>
      </c>
      <c r="B902" s="43">
        <v>867</v>
      </c>
      <c r="C902" s="43">
        <v>90</v>
      </c>
      <c r="D902" s="44">
        <v>44744</v>
      </c>
      <c r="E902" s="45" t="s">
        <v>3952</v>
      </c>
      <c r="F902" s="46" t="s">
        <v>37</v>
      </c>
      <c r="G902" s="46" t="s">
        <v>891</v>
      </c>
      <c r="H902" s="46" t="s">
        <v>965</v>
      </c>
      <c r="I902" s="46" t="s">
        <v>526</v>
      </c>
      <c r="J902" s="46" t="s">
        <v>977</v>
      </c>
      <c r="K902" s="43">
        <v>8</v>
      </c>
      <c r="L902" s="43">
        <v>1515</v>
      </c>
      <c r="M902" s="47">
        <v>5.2770448548812663E-3</v>
      </c>
      <c r="N902" s="47">
        <v>15.3</v>
      </c>
      <c r="O902" s="46" t="s">
        <v>925</v>
      </c>
      <c r="P902" s="43">
        <v>257</v>
      </c>
      <c r="Q902" s="43">
        <v>10</v>
      </c>
      <c r="R902" s="45" t="s">
        <v>4281</v>
      </c>
      <c r="S902" s="46" t="s">
        <v>3953</v>
      </c>
    </row>
    <row r="903" spans="1:19" ht="31.5">
      <c r="A903" s="43">
        <v>899</v>
      </c>
      <c r="B903" s="43">
        <v>868</v>
      </c>
      <c r="C903" s="43">
        <v>81</v>
      </c>
      <c r="D903" s="44">
        <v>44738</v>
      </c>
      <c r="E903" s="45" t="s">
        <v>3961</v>
      </c>
      <c r="F903" s="46" t="s">
        <v>37</v>
      </c>
      <c r="G903" s="46" t="s">
        <v>891</v>
      </c>
      <c r="H903" s="46" t="s">
        <v>965</v>
      </c>
      <c r="I903" s="46" t="s">
        <v>526</v>
      </c>
      <c r="J903" s="46" t="s">
        <v>968</v>
      </c>
      <c r="K903" s="43">
        <v>8</v>
      </c>
      <c r="L903" s="43">
        <v>1521</v>
      </c>
      <c r="M903" s="47">
        <v>5.2562417871222077E-3</v>
      </c>
      <c r="N903" s="47">
        <v>15.3</v>
      </c>
      <c r="O903" s="46" t="s">
        <v>925</v>
      </c>
      <c r="P903" s="43">
        <v>528</v>
      </c>
      <c r="Q903" s="43">
        <v>30</v>
      </c>
      <c r="R903" s="45" t="s">
        <v>4283</v>
      </c>
      <c r="S903" s="46" t="s">
        <v>3962</v>
      </c>
    </row>
    <row r="904" spans="1:19" ht="42">
      <c r="A904" s="43">
        <v>900</v>
      </c>
      <c r="B904" s="43">
        <v>887</v>
      </c>
      <c r="C904" s="43">
        <v>356</v>
      </c>
      <c r="D904" s="44">
        <v>45263</v>
      </c>
      <c r="E904" s="45" t="s">
        <v>3516</v>
      </c>
      <c r="F904" s="46" t="s">
        <v>37</v>
      </c>
      <c r="G904" s="46" t="s">
        <v>878</v>
      </c>
      <c r="H904" s="46" t="s">
        <v>1317</v>
      </c>
      <c r="I904" s="46" t="s">
        <v>519</v>
      </c>
      <c r="J904" s="46" t="s">
        <v>968</v>
      </c>
      <c r="K904" s="43">
        <v>7</v>
      </c>
      <c r="L904" s="43">
        <v>996</v>
      </c>
      <c r="M904" s="47">
        <v>7.0210631895687063E-3</v>
      </c>
      <c r="N904" s="47">
        <v>15.3</v>
      </c>
      <c r="O904" s="46" t="s">
        <v>925</v>
      </c>
      <c r="P904" s="43">
        <v>446</v>
      </c>
      <c r="Q904" s="43">
        <v>20</v>
      </c>
      <c r="R904" s="45" t="s">
        <v>4275</v>
      </c>
      <c r="S904" s="46" t="s">
        <v>3517</v>
      </c>
    </row>
    <row r="905" spans="1:19" ht="42">
      <c r="A905" s="43">
        <v>901</v>
      </c>
      <c r="B905" s="43">
        <v>911</v>
      </c>
      <c r="C905" s="43">
        <v>586</v>
      </c>
      <c r="D905" s="44">
        <v>45536</v>
      </c>
      <c r="E905" s="45" t="s">
        <v>3012</v>
      </c>
      <c r="F905" s="46" t="s">
        <v>37</v>
      </c>
      <c r="G905" s="46" t="s">
        <v>882</v>
      </c>
      <c r="H905" s="46" t="s">
        <v>965</v>
      </c>
      <c r="I905" s="46" t="s">
        <v>512</v>
      </c>
      <c r="J905" s="46" t="s">
        <v>977</v>
      </c>
      <c r="K905" s="43">
        <v>6</v>
      </c>
      <c r="L905" s="43">
        <v>723</v>
      </c>
      <c r="M905" s="47">
        <v>8.2872928176795577E-3</v>
      </c>
      <c r="N905" s="47">
        <v>14.9</v>
      </c>
      <c r="O905" s="46" t="s">
        <v>925</v>
      </c>
      <c r="P905" s="43">
        <v>192</v>
      </c>
      <c r="Q905" s="43">
        <v>10</v>
      </c>
      <c r="R905" s="45" t="s">
        <v>4281</v>
      </c>
      <c r="S905" s="46" t="s">
        <v>3013</v>
      </c>
    </row>
    <row r="906" spans="1:19" ht="42">
      <c r="A906" s="43">
        <v>902</v>
      </c>
      <c r="B906" s="43">
        <v>869</v>
      </c>
      <c r="C906" s="43">
        <v>8</v>
      </c>
      <c r="D906" s="44">
        <v>44666</v>
      </c>
      <c r="E906" s="45" t="s">
        <v>4059</v>
      </c>
      <c r="F906" s="46" t="s">
        <v>37</v>
      </c>
      <c r="G906" s="46" t="s">
        <v>1038</v>
      </c>
      <c r="H906" s="46" t="s">
        <v>1038</v>
      </c>
      <c r="I906" s="46" t="s">
        <v>512</v>
      </c>
      <c r="J906" s="46" t="s">
        <v>977</v>
      </c>
      <c r="K906" s="43">
        <v>8</v>
      </c>
      <c r="L906" s="43">
        <v>1593</v>
      </c>
      <c r="M906" s="47">
        <v>5.018820577164366E-3</v>
      </c>
      <c r="N906" s="47">
        <v>14.8</v>
      </c>
      <c r="O906" s="46" t="s">
        <v>925</v>
      </c>
      <c r="P906" s="43">
        <v>85</v>
      </c>
      <c r="Q906" s="43">
        <v>20</v>
      </c>
      <c r="R906" s="45" t="s">
        <v>4275</v>
      </c>
      <c r="S906" s="46" t="s">
        <v>4060</v>
      </c>
    </row>
    <row r="907" spans="1:19" ht="42">
      <c r="A907" s="43">
        <v>903</v>
      </c>
      <c r="B907" s="43">
        <v>870</v>
      </c>
      <c r="C907" s="43">
        <v>20</v>
      </c>
      <c r="D907" s="44">
        <v>44636</v>
      </c>
      <c r="E907" s="45" t="s">
        <v>4096</v>
      </c>
      <c r="F907" s="46" t="s">
        <v>37</v>
      </c>
      <c r="G907" s="46" t="s">
        <v>1038</v>
      </c>
      <c r="H907" s="46" t="s">
        <v>1038</v>
      </c>
      <c r="I907" s="46" t="s">
        <v>515</v>
      </c>
      <c r="J907" s="46" t="s">
        <v>977</v>
      </c>
      <c r="K907" s="43">
        <v>8</v>
      </c>
      <c r="L907" s="43">
        <v>1623</v>
      </c>
      <c r="M907" s="47">
        <v>4.9261083743842365E-3</v>
      </c>
      <c r="N907" s="47">
        <v>14.8</v>
      </c>
      <c r="O907" s="46" t="s">
        <v>925</v>
      </c>
      <c r="P907" s="43">
        <v>1386</v>
      </c>
      <c r="Q907" s="43">
        <v>20</v>
      </c>
      <c r="R907" s="45" t="s">
        <v>4278</v>
      </c>
      <c r="S907" s="46" t="s">
        <v>4097</v>
      </c>
    </row>
    <row r="908" spans="1:19" ht="42">
      <c r="A908" s="43">
        <v>904</v>
      </c>
      <c r="B908" s="43">
        <v>912</v>
      </c>
      <c r="C908" s="43">
        <v>569</v>
      </c>
      <c r="D908" s="44">
        <v>45515</v>
      </c>
      <c r="E908" s="45" t="s">
        <v>3051</v>
      </c>
      <c r="F908" s="46" t="s">
        <v>37</v>
      </c>
      <c r="G908" s="46" t="s">
        <v>892</v>
      </c>
      <c r="H908" s="46" t="s">
        <v>965</v>
      </c>
      <c r="I908" s="46" t="s">
        <v>512</v>
      </c>
      <c r="J908" s="46" t="s">
        <v>977</v>
      </c>
      <c r="K908" s="43">
        <v>6</v>
      </c>
      <c r="L908" s="43">
        <v>744</v>
      </c>
      <c r="M908" s="47">
        <v>8.0536912751677861E-3</v>
      </c>
      <c r="N908" s="47">
        <v>14.8</v>
      </c>
      <c r="O908" s="46" t="s">
        <v>925</v>
      </c>
      <c r="P908" s="43">
        <v>415</v>
      </c>
      <c r="Q908" s="43">
        <v>10</v>
      </c>
      <c r="R908" s="45" t="s">
        <v>4281</v>
      </c>
      <c r="S908" s="46" t="s">
        <v>3052</v>
      </c>
    </row>
    <row r="909" spans="1:19" ht="42">
      <c r="A909" s="43">
        <v>905</v>
      </c>
      <c r="B909" s="43">
        <v>888</v>
      </c>
      <c r="C909" s="43">
        <v>254</v>
      </c>
      <c r="D909" s="44">
        <v>45150</v>
      </c>
      <c r="E909" s="45" t="s">
        <v>3666</v>
      </c>
      <c r="F909" s="46" t="s">
        <v>37</v>
      </c>
      <c r="G909" s="46" t="s">
        <v>1038</v>
      </c>
      <c r="H909" s="46" t="s">
        <v>1005</v>
      </c>
      <c r="I909" s="46" t="s">
        <v>522</v>
      </c>
      <c r="J909" s="46" t="s">
        <v>968</v>
      </c>
      <c r="K909" s="43">
        <v>7</v>
      </c>
      <c r="L909" s="43">
        <v>1109</v>
      </c>
      <c r="M909" s="47">
        <v>6.3063063063063061E-3</v>
      </c>
      <c r="N909" s="47">
        <v>14.6</v>
      </c>
      <c r="O909" s="46" t="s">
        <v>925</v>
      </c>
      <c r="P909" s="43">
        <v>780</v>
      </c>
      <c r="Q909" s="43">
        <v>20</v>
      </c>
      <c r="R909" s="45" t="s">
        <v>4278</v>
      </c>
      <c r="S909" s="46" t="s">
        <v>3667</v>
      </c>
    </row>
    <row r="910" spans="1:19" ht="42">
      <c r="A910" s="43">
        <v>906</v>
      </c>
      <c r="B910" s="43">
        <v>913</v>
      </c>
      <c r="C910" s="43">
        <v>568</v>
      </c>
      <c r="D910" s="44">
        <v>45509</v>
      </c>
      <c r="E910" s="45" t="s">
        <v>3054</v>
      </c>
      <c r="F910" s="46" t="s">
        <v>37</v>
      </c>
      <c r="G910" s="46" t="s">
        <v>884</v>
      </c>
      <c r="H910" s="46" t="s">
        <v>965</v>
      </c>
      <c r="I910" s="46" t="s">
        <v>512</v>
      </c>
      <c r="J910" s="46" t="s">
        <v>977</v>
      </c>
      <c r="K910" s="43">
        <v>6</v>
      </c>
      <c r="L910" s="43">
        <v>750</v>
      </c>
      <c r="M910" s="47">
        <v>7.989347536617843E-3</v>
      </c>
      <c r="N910" s="47">
        <v>14.6</v>
      </c>
      <c r="O910" s="46" t="s">
        <v>925</v>
      </c>
      <c r="P910" s="43">
        <v>485</v>
      </c>
      <c r="Q910" s="43">
        <v>10</v>
      </c>
      <c r="R910" s="45" t="s">
        <v>4281</v>
      </c>
      <c r="S910" s="46" t="s">
        <v>3055</v>
      </c>
    </row>
    <row r="911" spans="1:19" ht="31.5">
      <c r="A911" s="43">
        <v>907</v>
      </c>
      <c r="B911" s="43">
        <v>871</v>
      </c>
      <c r="C911" s="43">
        <v>843</v>
      </c>
      <c r="D911" s="44">
        <v>44515</v>
      </c>
      <c r="E911" s="45" t="s">
        <v>4138</v>
      </c>
      <c r="F911" s="46" t="s">
        <v>392</v>
      </c>
      <c r="G911" s="46" t="s">
        <v>889</v>
      </c>
      <c r="H911" s="46" t="s">
        <v>965</v>
      </c>
      <c r="I911" s="46" t="s">
        <v>519</v>
      </c>
      <c r="J911" s="46" t="s">
        <v>968</v>
      </c>
      <c r="K911" s="43">
        <v>8</v>
      </c>
      <c r="L911" s="43">
        <v>1744</v>
      </c>
      <c r="M911" s="47">
        <v>4.5845272206303722E-3</v>
      </c>
      <c r="N911" s="47">
        <v>14.5</v>
      </c>
      <c r="O911" s="46" t="s">
        <v>925</v>
      </c>
      <c r="P911" s="43">
        <v>671</v>
      </c>
      <c r="Q911" s="43">
        <v>30</v>
      </c>
      <c r="R911" s="45" t="s">
        <v>4283</v>
      </c>
      <c r="S911" s="46" t="s">
        <v>4139</v>
      </c>
    </row>
    <row r="912" spans="1:19" ht="31.5">
      <c r="A912" s="43">
        <v>908</v>
      </c>
      <c r="B912" s="43">
        <v>889</v>
      </c>
      <c r="C912" s="43">
        <v>241</v>
      </c>
      <c r="D912" s="44">
        <v>45140</v>
      </c>
      <c r="E912" s="45" t="s">
        <v>3693</v>
      </c>
      <c r="F912" s="46" t="s">
        <v>37</v>
      </c>
      <c r="G912" s="46" t="s">
        <v>882</v>
      </c>
      <c r="H912" s="46" t="s">
        <v>965</v>
      </c>
      <c r="I912" s="46" t="s">
        <v>515</v>
      </c>
      <c r="J912" s="46" t="s">
        <v>977</v>
      </c>
      <c r="K912" s="43">
        <v>7</v>
      </c>
      <c r="L912" s="43">
        <v>1119</v>
      </c>
      <c r="M912" s="47">
        <v>6.2500000000000003E-3</v>
      </c>
      <c r="N912" s="47">
        <v>14.5</v>
      </c>
      <c r="O912" s="46" t="s">
        <v>925</v>
      </c>
      <c r="P912" s="43">
        <v>608</v>
      </c>
      <c r="Q912" s="43">
        <v>30</v>
      </c>
      <c r="R912" s="45" t="s">
        <v>4283</v>
      </c>
      <c r="S912" s="46" t="s">
        <v>3694</v>
      </c>
    </row>
    <row r="913" spans="1:19" ht="42">
      <c r="A913" s="43">
        <v>909</v>
      </c>
      <c r="B913" s="43">
        <v>890</v>
      </c>
      <c r="C913" s="43">
        <v>224</v>
      </c>
      <c r="D913" s="44">
        <v>45126</v>
      </c>
      <c r="E913" s="45" t="s">
        <v>3717</v>
      </c>
      <c r="F913" s="46" t="s">
        <v>37</v>
      </c>
      <c r="G913" s="46" t="s">
        <v>1038</v>
      </c>
      <c r="H913" s="46" t="s">
        <v>1484</v>
      </c>
      <c r="I913" s="46" t="s">
        <v>512</v>
      </c>
      <c r="J913" s="46" t="s">
        <v>977</v>
      </c>
      <c r="K913" s="43">
        <v>7</v>
      </c>
      <c r="L913" s="43">
        <v>1133</v>
      </c>
      <c r="M913" s="47">
        <v>6.1728395061728392E-3</v>
      </c>
      <c r="N913" s="47">
        <v>14.3</v>
      </c>
      <c r="O913" s="46" t="s">
        <v>925</v>
      </c>
      <c r="P913" s="43">
        <v>747</v>
      </c>
      <c r="Q913" s="43">
        <v>20</v>
      </c>
      <c r="R913" s="45" t="s">
        <v>4278</v>
      </c>
      <c r="S913" s="46" t="s">
        <v>3718</v>
      </c>
    </row>
    <row r="914" spans="1:19" ht="31.5">
      <c r="A914" s="43">
        <v>910</v>
      </c>
      <c r="B914" s="43">
        <v>891</v>
      </c>
      <c r="C914" s="43">
        <v>499</v>
      </c>
      <c r="D914" s="44">
        <v>45044</v>
      </c>
      <c r="E914" s="45" t="s">
        <v>3846</v>
      </c>
      <c r="F914" s="46" t="s">
        <v>37</v>
      </c>
      <c r="G914" s="46" t="s">
        <v>1038</v>
      </c>
      <c r="H914" s="46" t="s">
        <v>1038</v>
      </c>
      <c r="I914" s="46" t="s">
        <v>512</v>
      </c>
      <c r="J914" s="46" t="s">
        <v>968</v>
      </c>
      <c r="K914" s="43">
        <v>7</v>
      </c>
      <c r="L914" s="43">
        <v>1215</v>
      </c>
      <c r="M914" s="47">
        <v>5.7565789473684207E-3</v>
      </c>
      <c r="N914" s="47">
        <v>14</v>
      </c>
      <c r="O914" s="46" t="s">
        <v>925</v>
      </c>
      <c r="P914" s="43">
        <v>536</v>
      </c>
      <c r="Q914" s="43">
        <v>30</v>
      </c>
      <c r="R914" s="45" t="s">
        <v>4283</v>
      </c>
      <c r="S914" s="46" t="s">
        <v>3847</v>
      </c>
    </row>
    <row r="915" spans="1:19" ht="42">
      <c r="A915" s="43">
        <v>911</v>
      </c>
      <c r="B915" s="43">
        <v>892</v>
      </c>
      <c r="C915" s="43">
        <v>123</v>
      </c>
      <c r="D915" s="44">
        <v>45031</v>
      </c>
      <c r="E915" s="45" t="s">
        <v>3849</v>
      </c>
      <c r="F915" s="46" t="s">
        <v>37</v>
      </c>
      <c r="G915" s="46" t="s">
        <v>1038</v>
      </c>
      <c r="H915" s="46" t="s">
        <v>1038</v>
      </c>
      <c r="I915" s="46" t="s">
        <v>533</v>
      </c>
      <c r="J915" s="46" t="s">
        <v>968</v>
      </c>
      <c r="K915" s="43">
        <v>7</v>
      </c>
      <c r="L915" s="43">
        <v>1228</v>
      </c>
      <c r="M915" s="47">
        <v>5.6956875508543531E-3</v>
      </c>
      <c r="N915" s="47">
        <v>13.9</v>
      </c>
      <c r="O915" s="46" t="s">
        <v>925</v>
      </c>
      <c r="P915" s="43">
        <v>209</v>
      </c>
      <c r="Q915" s="43">
        <v>10</v>
      </c>
      <c r="R915" s="45" t="s">
        <v>4281</v>
      </c>
      <c r="S915" s="46" t="s">
        <v>3850</v>
      </c>
    </row>
    <row r="916" spans="1:19" ht="42">
      <c r="A916" s="43">
        <v>912</v>
      </c>
      <c r="B916" s="43">
        <v>914</v>
      </c>
      <c r="C916" s="43">
        <v>527</v>
      </c>
      <c r="D916" s="44">
        <v>45438</v>
      </c>
      <c r="E916" s="45" t="s">
        <v>3147</v>
      </c>
      <c r="F916" s="46" t="s">
        <v>37</v>
      </c>
      <c r="G916" s="46" t="s">
        <v>1038</v>
      </c>
      <c r="H916" s="46" t="s">
        <v>1038</v>
      </c>
      <c r="I916" s="46" t="s">
        <v>512</v>
      </c>
      <c r="J916" s="46" t="s">
        <v>968</v>
      </c>
      <c r="K916" s="43">
        <v>6</v>
      </c>
      <c r="L916" s="43">
        <v>821</v>
      </c>
      <c r="M916" s="47">
        <v>7.2992700729927005E-3</v>
      </c>
      <c r="N916" s="47">
        <v>13.8</v>
      </c>
      <c r="O916" s="46" t="s">
        <v>925</v>
      </c>
      <c r="P916" s="43">
        <v>244</v>
      </c>
      <c r="Q916" s="43">
        <v>20</v>
      </c>
      <c r="R916" s="45" t="s">
        <v>4275</v>
      </c>
      <c r="S916" s="46" t="s">
        <v>3148</v>
      </c>
    </row>
    <row r="917" spans="1:19" ht="42">
      <c r="A917" s="43">
        <v>913</v>
      </c>
      <c r="B917" s="43">
        <v>893</v>
      </c>
      <c r="C917" s="43">
        <v>109</v>
      </c>
      <c r="D917" s="44">
        <v>44938</v>
      </c>
      <c r="E917" s="45" t="s">
        <v>3883</v>
      </c>
      <c r="F917" s="46" t="s">
        <v>37</v>
      </c>
      <c r="G917" s="46" t="s">
        <v>1038</v>
      </c>
      <c r="H917" s="46" t="s">
        <v>1038</v>
      </c>
      <c r="I917" s="46" t="s">
        <v>512</v>
      </c>
      <c r="J917" s="46" t="s">
        <v>977</v>
      </c>
      <c r="K917" s="43">
        <v>7</v>
      </c>
      <c r="L917" s="43">
        <v>1321</v>
      </c>
      <c r="M917" s="47">
        <v>5.2950075642965201E-3</v>
      </c>
      <c r="N917" s="47">
        <v>13.5</v>
      </c>
      <c r="O917" s="46" t="s">
        <v>925</v>
      </c>
      <c r="P917" s="43">
        <v>688</v>
      </c>
      <c r="Q917" s="43">
        <v>20</v>
      </c>
      <c r="R917" s="45" t="s">
        <v>4278</v>
      </c>
      <c r="S917" s="46" t="s">
        <v>3884</v>
      </c>
    </row>
    <row r="918" spans="1:19" ht="42">
      <c r="A918" s="43">
        <v>914</v>
      </c>
      <c r="B918" s="43">
        <v>933</v>
      </c>
      <c r="C918" s="43">
        <v>873</v>
      </c>
      <c r="D918" s="44">
        <v>45671</v>
      </c>
      <c r="E918" s="45" t="s">
        <v>2594</v>
      </c>
      <c r="F918" s="46" t="s">
        <v>371</v>
      </c>
      <c r="G918" s="46" t="s">
        <v>882</v>
      </c>
      <c r="H918" s="46" t="s">
        <v>965</v>
      </c>
      <c r="I918" s="46" t="s">
        <v>526</v>
      </c>
      <c r="J918" s="46" t="s">
        <v>977</v>
      </c>
      <c r="K918" s="43">
        <v>5</v>
      </c>
      <c r="L918" s="43">
        <v>588</v>
      </c>
      <c r="M918" s="47">
        <v>8.4889643463497456E-3</v>
      </c>
      <c r="N918" s="47">
        <v>13.5</v>
      </c>
      <c r="O918" s="46" t="s">
        <v>925</v>
      </c>
      <c r="P918" s="43">
        <v>400</v>
      </c>
      <c r="Q918" s="43">
        <v>10</v>
      </c>
      <c r="R918" s="45" t="s">
        <v>4281</v>
      </c>
      <c r="S918" s="46" t="s">
        <v>2595</v>
      </c>
    </row>
    <row r="919" spans="1:19" ht="42">
      <c r="A919" s="43">
        <v>915</v>
      </c>
      <c r="B919" s="43">
        <v>894</v>
      </c>
      <c r="C919" s="43">
        <v>146</v>
      </c>
      <c r="D919" s="44">
        <v>44928</v>
      </c>
      <c r="E919" s="45" t="s">
        <v>3901</v>
      </c>
      <c r="F919" s="46" t="s">
        <v>37</v>
      </c>
      <c r="G919" s="46" t="s">
        <v>882</v>
      </c>
      <c r="H919" s="46" t="s">
        <v>965</v>
      </c>
      <c r="I919" s="46" t="s">
        <v>515</v>
      </c>
      <c r="J919" s="46" t="s">
        <v>977</v>
      </c>
      <c r="K919" s="43">
        <v>7</v>
      </c>
      <c r="L919" s="43">
        <v>1331</v>
      </c>
      <c r="M919" s="47">
        <v>5.2552552552552556E-3</v>
      </c>
      <c r="N919" s="47">
        <v>13.4</v>
      </c>
      <c r="O919" s="46" t="s">
        <v>925</v>
      </c>
      <c r="P919" s="43">
        <v>482</v>
      </c>
      <c r="Q919" s="43">
        <v>10</v>
      </c>
      <c r="R919" s="45" t="s">
        <v>4281</v>
      </c>
      <c r="S919" s="46" t="s">
        <v>3902</v>
      </c>
    </row>
    <row r="920" spans="1:19" ht="42">
      <c r="A920" s="43">
        <v>916</v>
      </c>
      <c r="B920" s="43">
        <v>915</v>
      </c>
      <c r="C920" s="43">
        <v>488</v>
      </c>
      <c r="D920" s="44">
        <v>45385</v>
      </c>
      <c r="E920" s="45" t="s">
        <v>3227</v>
      </c>
      <c r="F920" s="46" t="s">
        <v>37</v>
      </c>
      <c r="G920" s="46" t="s">
        <v>892</v>
      </c>
      <c r="H920" s="46" t="s">
        <v>965</v>
      </c>
      <c r="I920" s="46" t="s">
        <v>522</v>
      </c>
      <c r="J920" s="46" t="s">
        <v>977</v>
      </c>
      <c r="K920" s="43">
        <v>6</v>
      </c>
      <c r="L920" s="43">
        <v>874</v>
      </c>
      <c r="M920" s="47">
        <v>6.8571428571428568E-3</v>
      </c>
      <c r="N920" s="47">
        <v>13.4</v>
      </c>
      <c r="O920" s="46" t="s">
        <v>925</v>
      </c>
      <c r="P920" s="43">
        <v>501</v>
      </c>
      <c r="Q920" s="43">
        <v>20</v>
      </c>
      <c r="R920" s="45" t="s">
        <v>4278</v>
      </c>
      <c r="S920" s="46" t="s">
        <v>3228</v>
      </c>
    </row>
    <row r="921" spans="1:19" ht="42">
      <c r="A921" s="43">
        <v>917</v>
      </c>
      <c r="B921" s="43">
        <v>916</v>
      </c>
      <c r="C921" s="43">
        <v>482</v>
      </c>
      <c r="D921" s="44">
        <v>45378</v>
      </c>
      <c r="E921" s="45" t="s">
        <v>3245</v>
      </c>
      <c r="F921" s="46" t="s">
        <v>37</v>
      </c>
      <c r="G921" s="46" t="s">
        <v>884</v>
      </c>
      <c r="H921" s="46" t="s">
        <v>965</v>
      </c>
      <c r="I921" s="46" t="s">
        <v>519</v>
      </c>
      <c r="J921" s="46" t="s">
        <v>977</v>
      </c>
      <c r="K921" s="43">
        <v>6</v>
      </c>
      <c r="L921" s="43">
        <v>881</v>
      </c>
      <c r="M921" s="47">
        <v>6.8027210884353739E-3</v>
      </c>
      <c r="N921" s="47">
        <v>13.4</v>
      </c>
      <c r="O921" s="46" t="s">
        <v>925</v>
      </c>
      <c r="P921" s="43">
        <v>618</v>
      </c>
      <c r="Q921" s="43">
        <v>20</v>
      </c>
      <c r="R921" s="45" t="s">
        <v>4278</v>
      </c>
      <c r="S921" s="46" t="s">
        <v>3246</v>
      </c>
    </row>
    <row r="922" spans="1:19" ht="42">
      <c r="A922" s="43">
        <v>918</v>
      </c>
      <c r="B922" s="43">
        <v>917</v>
      </c>
      <c r="C922" s="43">
        <v>425</v>
      </c>
      <c r="D922" s="44">
        <v>45332</v>
      </c>
      <c r="E922" s="45" t="s">
        <v>3348</v>
      </c>
      <c r="F922" s="46" t="s">
        <v>37</v>
      </c>
      <c r="G922" s="46" t="s">
        <v>1038</v>
      </c>
      <c r="H922" s="46" t="s">
        <v>1005</v>
      </c>
      <c r="I922" s="46" t="s">
        <v>512</v>
      </c>
      <c r="J922" s="46" t="s">
        <v>968</v>
      </c>
      <c r="K922" s="43">
        <v>6</v>
      </c>
      <c r="L922" s="43">
        <v>927</v>
      </c>
      <c r="M922" s="47">
        <v>6.4655172413793103E-3</v>
      </c>
      <c r="N922" s="47">
        <v>13.1</v>
      </c>
      <c r="O922" s="46" t="s">
        <v>925</v>
      </c>
      <c r="P922" s="43">
        <v>20</v>
      </c>
      <c r="Q922" s="43">
        <v>10</v>
      </c>
      <c r="R922" s="45" t="s">
        <v>4281</v>
      </c>
      <c r="S922" s="46" t="s">
        <v>3349</v>
      </c>
    </row>
    <row r="923" spans="1:19" ht="42">
      <c r="A923" s="43">
        <v>919</v>
      </c>
      <c r="B923" s="43">
        <v>918</v>
      </c>
      <c r="C923" s="43">
        <v>422</v>
      </c>
      <c r="D923" s="44">
        <v>45332</v>
      </c>
      <c r="E923" s="45" t="s">
        <v>3354</v>
      </c>
      <c r="F923" s="46" t="s">
        <v>37</v>
      </c>
      <c r="G923" s="46" t="s">
        <v>1038</v>
      </c>
      <c r="H923" s="46" t="s">
        <v>1134</v>
      </c>
      <c r="I923" s="46" t="s">
        <v>526</v>
      </c>
      <c r="J923" s="46" t="s">
        <v>968</v>
      </c>
      <c r="K923" s="43">
        <v>6</v>
      </c>
      <c r="L923" s="43">
        <v>927</v>
      </c>
      <c r="M923" s="47">
        <v>6.4655172413793103E-3</v>
      </c>
      <c r="N923" s="47">
        <v>13.1</v>
      </c>
      <c r="O923" s="46" t="s">
        <v>925</v>
      </c>
      <c r="P923" s="43">
        <v>283</v>
      </c>
      <c r="Q923" s="43">
        <v>20</v>
      </c>
      <c r="R923" s="45" t="s">
        <v>4275</v>
      </c>
      <c r="S923" s="46" t="s">
        <v>3355</v>
      </c>
    </row>
    <row r="924" spans="1:19" ht="42">
      <c r="A924" s="43">
        <v>920</v>
      </c>
      <c r="B924" s="43">
        <v>895</v>
      </c>
      <c r="C924" s="43">
        <v>89</v>
      </c>
      <c r="D924" s="44">
        <v>44745</v>
      </c>
      <c r="E924" s="45" t="s">
        <v>3949</v>
      </c>
      <c r="F924" s="46" t="s">
        <v>37</v>
      </c>
      <c r="G924" s="46" t="s">
        <v>1038</v>
      </c>
      <c r="H924" s="46" t="s">
        <v>1005</v>
      </c>
      <c r="I924" s="46" t="s">
        <v>526</v>
      </c>
      <c r="J924" s="46" t="s">
        <v>968</v>
      </c>
      <c r="K924" s="43">
        <v>7</v>
      </c>
      <c r="L924" s="43">
        <v>1514</v>
      </c>
      <c r="M924" s="47">
        <v>4.6204620462046205E-3</v>
      </c>
      <c r="N924" s="47">
        <v>12.8</v>
      </c>
      <c r="O924" s="46" t="s">
        <v>925</v>
      </c>
      <c r="P924" s="43">
        <v>715</v>
      </c>
      <c r="Q924" s="43">
        <v>20</v>
      </c>
      <c r="R924" s="45" t="s">
        <v>4278</v>
      </c>
      <c r="S924" s="46" t="s">
        <v>3950</v>
      </c>
    </row>
    <row r="925" spans="1:19" ht="42">
      <c r="A925" s="43">
        <v>921</v>
      </c>
      <c r="B925" s="43">
        <v>896</v>
      </c>
      <c r="C925" s="43">
        <v>80</v>
      </c>
      <c r="D925" s="44">
        <v>44738</v>
      </c>
      <c r="E925" s="45" t="s">
        <v>3964</v>
      </c>
      <c r="F925" s="46" t="s">
        <v>37</v>
      </c>
      <c r="G925" s="46" t="s">
        <v>1038</v>
      </c>
      <c r="H925" s="46" t="s">
        <v>1134</v>
      </c>
      <c r="I925" s="46" t="s">
        <v>519</v>
      </c>
      <c r="J925" s="46" t="s">
        <v>968</v>
      </c>
      <c r="K925" s="43">
        <v>7</v>
      </c>
      <c r="L925" s="43">
        <v>1521</v>
      </c>
      <c r="M925" s="47">
        <v>4.5992115637319315E-3</v>
      </c>
      <c r="N925" s="47">
        <v>12.7</v>
      </c>
      <c r="O925" s="46" t="s">
        <v>925</v>
      </c>
      <c r="P925" s="43">
        <v>317</v>
      </c>
      <c r="Q925" s="43">
        <v>10</v>
      </c>
      <c r="R925" s="45" t="s">
        <v>4281</v>
      </c>
      <c r="S925" s="46" t="s">
        <v>3965</v>
      </c>
    </row>
    <row r="926" spans="1:19" ht="42">
      <c r="A926" s="43">
        <v>922</v>
      </c>
      <c r="B926" s="43">
        <v>897</v>
      </c>
      <c r="C926" s="43">
        <v>58</v>
      </c>
      <c r="D926" s="44">
        <v>44711</v>
      </c>
      <c r="E926" s="45" t="s">
        <v>4006</v>
      </c>
      <c r="F926" s="46" t="s">
        <v>37</v>
      </c>
      <c r="G926" s="46" t="s">
        <v>1038</v>
      </c>
      <c r="H926" s="46" t="s">
        <v>1038</v>
      </c>
      <c r="I926" s="46" t="s">
        <v>512</v>
      </c>
      <c r="J926" s="46" t="s">
        <v>977</v>
      </c>
      <c r="K926" s="43">
        <v>7</v>
      </c>
      <c r="L926" s="43">
        <v>1548</v>
      </c>
      <c r="M926" s="47">
        <v>4.5190445448676569E-3</v>
      </c>
      <c r="N926" s="47">
        <v>12.6</v>
      </c>
      <c r="O926" s="46" t="s">
        <v>925</v>
      </c>
      <c r="P926" s="43">
        <v>602</v>
      </c>
      <c r="Q926" s="43">
        <v>20</v>
      </c>
      <c r="R926" s="45" t="s">
        <v>4278</v>
      </c>
      <c r="S926" s="46" t="s">
        <v>4007</v>
      </c>
    </row>
    <row r="927" spans="1:19" ht="42">
      <c r="A927" s="43">
        <v>923</v>
      </c>
      <c r="B927" s="43">
        <v>958</v>
      </c>
      <c r="C927" s="43">
        <v>755</v>
      </c>
      <c r="D927" s="44">
        <v>45827</v>
      </c>
      <c r="E927" s="45" t="s">
        <v>2374</v>
      </c>
      <c r="F927" s="46" t="s">
        <v>37</v>
      </c>
      <c r="G927" s="46" t="s">
        <v>1038</v>
      </c>
      <c r="H927" s="46" t="s">
        <v>1005</v>
      </c>
      <c r="I927" s="46" t="s">
        <v>530</v>
      </c>
      <c r="J927" s="46" t="s">
        <v>977</v>
      </c>
      <c r="K927" s="43">
        <v>4</v>
      </c>
      <c r="L927" s="43">
        <v>432</v>
      </c>
      <c r="M927" s="47">
        <v>9.2378752886836026E-3</v>
      </c>
      <c r="N927" s="47">
        <v>12.6</v>
      </c>
      <c r="O927" s="46" t="s">
        <v>925</v>
      </c>
      <c r="P927" s="43">
        <v>683</v>
      </c>
      <c r="Q927" s="43">
        <v>20</v>
      </c>
      <c r="R927" s="45" t="s">
        <v>4278</v>
      </c>
      <c r="S927" s="46" t="s">
        <v>2375</v>
      </c>
    </row>
    <row r="928" spans="1:19" ht="42">
      <c r="A928" s="43">
        <v>924</v>
      </c>
      <c r="B928" s="43">
        <v>898</v>
      </c>
      <c r="C928" s="43">
        <v>52</v>
      </c>
      <c r="D928" s="44">
        <v>44706</v>
      </c>
      <c r="E928" s="45" t="s">
        <v>4018</v>
      </c>
      <c r="F928" s="46" t="s">
        <v>37</v>
      </c>
      <c r="G928" s="46" t="s">
        <v>1038</v>
      </c>
      <c r="H928" s="46" t="s">
        <v>1038</v>
      </c>
      <c r="I928" s="46" t="s">
        <v>515</v>
      </c>
      <c r="J928" s="46" t="s">
        <v>977</v>
      </c>
      <c r="K928" s="43">
        <v>7</v>
      </c>
      <c r="L928" s="43">
        <v>1553</v>
      </c>
      <c r="M928" s="47">
        <v>4.5045045045045045E-3</v>
      </c>
      <c r="N928" s="47">
        <v>12.5</v>
      </c>
      <c r="O928" s="46" t="s">
        <v>925</v>
      </c>
      <c r="P928" s="43">
        <v>350</v>
      </c>
      <c r="Q928" s="43">
        <v>10</v>
      </c>
      <c r="R928" s="45" t="s">
        <v>4281</v>
      </c>
      <c r="S928" s="46" t="s">
        <v>4019</v>
      </c>
    </row>
    <row r="929" spans="1:19" ht="42">
      <c r="A929" s="43">
        <v>925</v>
      </c>
      <c r="B929" s="43">
        <v>899</v>
      </c>
      <c r="C929" s="43">
        <v>7</v>
      </c>
      <c r="D929" s="44">
        <v>44666</v>
      </c>
      <c r="E929" s="45" t="s">
        <v>4062</v>
      </c>
      <c r="F929" s="46" t="s">
        <v>37</v>
      </c>
      <c r="G929" s="46" t="s">
        <v>1038</v>
      </c>
      <c r="H929" s="46" t="s">
        <v>1038</v>
      </c>
      <c r="I929" s="46" t="s">
        <v>512</v>
      </c>
      <c r="J929" s="46" t="s">
        <v>968</v>
      </c>
      <c r="K929" s="43">
        <v>7</v>
      </c>
      <c r="L929" s="43">
        <v>1593</v>
      </c>
      <c r="M929" s="47">
        <v>4.3914680050188204E-3</v>
      </c>
      <c r="N929" s="47">
        <v>12.4</v>
      </c>
      <c r="O929" s="46" t="s">
        <v>925</v>
      </c>
      <c r="P929" s="43">
        <v>28</v>
      </c>
      <c r="Q929" s="43">
        <v>20</v>
      </c>
      <c r="R929" s="45" t="s">
        <v>4275</v>
      </c>
      <c r="S929" s="46" t="s">
        <v>4063</v>
      </c>
    </row>
    <row r="930" spans="1:19" ht="42">
      <c r="A930" s="43">
        <v>926</v>
      </c>
      <c r="B930" s="43">
        <v>919</v>
      </c>
      <c r="C930" s="43">
        <v>307</v>
      </c>
      <c r="D930" s="44">
        <v>45184</v>
      </c>
      <c r="E930" s="45" t="s">
        <v>3584</v>
      </c>
      <c r="F930" s="46" t="s">
        <v>37</v>
      </c>
      <c r="G930" s="46" t="s">
        <v>903</v>
      </c>
      <c r="H930" s="46" t="s">
        <v>965</v>
      </c>
      <c r="I930" s="46" t="s">
        <v>522</v>
      </c>
      <c r="J930" s="46" t="s">
        <v>968</v>
      </c>
      <c r="K930" s="43">
        <v>6</v>
      </c>
      <c r="L930" s="43">
        <v>1075</v>
      </c>
      <c r="M930" s="47">
        <v>5.5762081784386614E-3</v>
      </c>
      <c r="N930" s="47">
        <v>12.1</v>
      </c>
      <c r="O930" s="46" t="s">
        <v>925</v>
      </c>
      <c r="P930" s="43">
        <v>380</v>
      </c>
      <c r="Q930" s="43">
        <v>20</v>
      </c>
      <c r="R930" s="45" t="s">
        <v>4275</v>
      </c>
      <c r="S930" s="46" t="s">
        <v>3585</v>
      </c>
    </row>
    <row r="931" spans="1:19" ht="42">
      <c r="A931" s="43">
        <v>927</v>
      </c>
      <c r="B931" s="43">
        <v>920</v>
      </c>
      <c r="C931" s="43">
        <v>270</v>
      </c>
      <c r="D931" s="44">
        <v>45164</v>
      </c>
      <c r="E931" s="45" t="s">
        <v>3645</v>
      </c>
      <c r="F931" s="46" t="s">
        <v>37</v>
      </c>
      <c r="G931" s="46" t="s">
        <v>878</v>
      </c>
      <c r="H931" s="46" t="s">
        <v>965</v>
      </c>
      <c r="I931" s="46" t="s">
        <v>515</v>
      </c>
      <c r="J931" s="46" t="s">
        <v>977</v>
      </c>
      <c r="K931" s="43">
        <v>6</v>
      </c>
      <c r="L931" s="43">
        <v>1095</v>
      </c>
      <c r="M931" s="47">
        <v>5.4744525547445258E-3</v>
      </c>
      <c r="N931" s="47">
        <v>12.1</v>
      </c>
      <c r="O931" s="46" t="s">
        <v>925</v>
      </c>
      <c r="P931" s="43">
        <v>273</v>
      </c>
      <c r="Q931" s="43">
        <v>10</v>
      </c>
      <c r="R931" s="45" t="s">
        <v>4281</v>
      </c>
      <c r="S931" s="46" t="s">
        <v>3646</v>
      </c>
    </row>
    <row r="932" spans="1:19" ht="42">
      <c r="A932" s="43">
        <v>928</v>
      </c>
      <c r="B932" s="43">
        <v>921</v>
      </c>
      <c r="C932" s="43">
        <v>269</v>
      </c>
      <c r="D932" s="44">
        <v>45162</v>
      </c>
      <c r="E932" s="45" t="s">
        <v>3648</v>
      </c>
      <c r="F932" s="46" t="s">
        <v>37</v>
      </c>
      <c r="G932" s="46" t="s">
        <v>878</v>
      </c>
      <c r="H932" s="46" t="s">
        <v>965</v>
      </c>
      <c r="I932" s="46" t="s">
        <v>515</v>
      </c>
      <c r="J932" s="46" t="s">
        <v>968</v>
      </c>
      <c r="K932" s="43">
        <v>6</v>
      </c>
      <c r="L932" s="43">
        <v>1097</v>
      </c>
      <c r="M932" s="47">
        <v>5.4644808743169399E-3</v>
      </c>
      <c r="N932" s="47">
        <v>12</v>
      </c>
      <c r="O932" s="46" t="s">
        <v>925</v>
      </c>
      <c r="P932" s="43">
        <v>290</v>
      </c>
      <c r="Q932" s="43">
        <v>10</v>
      </c>
      <c r="R932" s="45" t="s">
        <v>4281</v>
      </c>
      <c r="S932" s="46" t="s">
        <v>3649</v>
      </c>
    </row>
    <row r="933" spans="1:19" ht="31.5">
      <c r="A933" s="43">
        <v>929</v>
      </c>
      <c r="B933" s="43">
        <v>934</v>
      </c>
      <c r="C933" s="43">
        <v>576</v>
      </c>
      <c r="D933" s="44">
        <v>45518</v>
      </c>
      <c r="E933" s="45" t="s">
        <v>3039</v>
      </c>
      <c r="F933" s="46" t="s">
        <v>37</v>
      </c>
      <c r="G933" s="46" t="s">
        <v>1038</v>
      </c>
      <c r="H933" s="46" t="s">
        <v>1038</v>
      </c>
      <c r="I933" s="46" t="s">
        <v>512</v>
      </c>
      <c r="J933" s="46" t="s">
        <v>968</v>
      </c>
      <c r="K933" s="43">
        <v>5</v>
      </c>
      <c r="L933" s="43">
        <v>741</v>
      </c>
      <c r="M933" s="47">
        <v>6.7385444743935314E-3</v>
      </c>
      <c r="N933" s="47">
        <v>11.7</v>
      </c>
      <c r="O933" s="46" t="s">
        <v>925</v>
      </c>
      <c r="P933" s="43">
        <v>1452</v>
      </c>
      <c r="Q933" s="43">
        <v>30</v>
      </c>
      <c r="R933" s="45" t="s">
        <v>4283</v>
      </c>
      <c r="S933" s="46" t="s">
        <v>3040</v>
      </c>
    </row>
    <row r="934" spans="1:19" ht="42">
      <c r="A934" s="43">
        <v>930</v>
      </c>
      <c r="B934" s="43">
        <v>922</v>
      </c>
      <c r="C934" s="43">
        <v>194</v>
      </c>
      <c r="D934" s="44">
        <v>45088</v>
      </c>
      <c r="E934" s="45" t="s">
        <v>3774</v>
      </c>
      <c r="F934" s="46" t="s">
        <v>37</v>
      </c>
      <c r="G934" s="46" t="s">
        <v>1038</v>
      </c>
      <c r="H934" s="46" t="s">
        <v>1038</v>
      </c>
      <c r="I934" s="46" t="s">
        <v>533</v>
      </c>
      <c r="J934" s="46" t="s">
        <v>968</v>
      </c>
      <c r="K934" s="43">
        <v>6</v>
      </c>
      <c r="L934" s="43">
        <v>1171</v>
      </c>
      <c r="M934" s="47">
        <v>5.1194539249146756E-3</v>
      </c>
      <c r="N934" s="47">
        <v>11.6</v>
      </c>
      <c r="O934" s="46" t="s">
        <v>925</v>
      </c>
      <c r="P934" s="43">
        <v>323</v>
      </c>
      <c r="Q934" s="43">
        <v>10</v>
      </c>
      <c r="R934" s="45" t="s">
        <v>4281</v>
      </c>
      <c r="S934" s="46" t="s">
        <v>3775</v>
      </c>
    </row>
    <row r="935" spans="1:19" ht="31.5">
      <c r="A935" s="43">
        <v>931</v>
      </c>
      <c r="B935" s="43">
        <v>935</v>
      </c>
      <c r="C935" s="43">
        <v>567</v>
      </c>
      <c r="D935" s="44">
        <v>45501</v>
      </c>
      <c r="E935" s="45" t="s">
        <v>3057</v>
      </c>
      <c r="F935" s="46" t="s">
        <v>37</v>
      </c>
      <c r="G935" s="46" t="s">
        <v>912</v>
      </c>
      <c r="H935" s="46" t="s">
        <v>965</v>
      </c>
      <c r="I935" s="46" t="s">
        <v>512</v>
      </c>
      <c r="J935" s="46" t="s">
        <v>968</v>
      </c>
      <c r="K935" s="43">
        <v>5</v>
      </c>
      <c r="L935" s="43">
        <v>758</v>
      </c>
      <c r="M935" s="47">
        <v>6.587615283267457E-3</v>
      </c>
      <c r="N935" s="47">
        <v>11.6</v>
      </c>
      <c r="O935" s="46" t="s">
        <v>925</v>
      </c>
      <c r="P935" s="43">
        <v>518</v>
      </c>
      <c r="Q935" s="43">
        <v>30</v>
      </c>
      <c r="R935" s="45" t="s">
        <v>4283</v>
      </c>
      <c r="S935" s="46" t="s">
        <v>3058</v>
      </c>
    </row>
    <row r="936" spans="1:19" ht="42">
      <c r="A936" s="43">
        <v>932</v>
      </c>
      <c r="B936" s="43">
        <v>923</v>
      </c>
      <c r="C936" s="43">
        <v>190</v>
      </c>
      <c r="D936" s="44">
        <v>45085</v>
      </c>
      <c r="E936" s="45" t="s">
        <v>3783</v>
      </c>
      <c r="F936" s="46" t="s">
        <v>37</v>
      </c>
      <c r="G936" s="46" t="s">
        <v>893</v>
      </c>
      <c r="H936" s="46" t="s">
        <v>965</v>
      </c>
      <c r="I936" s="46" t="s">
        <v>512</v>
      </c>
      <c r="J936" s="46" t="s">
        <v>977</v>
      </c>
      <c r="K936" s="43">
        <v>6</v>
      </c>
      <c r="L936" s="43">
        <v>1174</v>
      </c>
      <c r="M936" s="47">
        <v>5.106382978723404E-3</v>
      </c>
      <c r="N936" s="47">
        <v>11.5</v>
      </c>
      <c r="O936" s="46" t="s">
        <v>925</v>
      </c>
      <c r="P936" s="43">
        <v>250</v>
      </c>
      <c r="Q936" s="43">
        <v>10</v>
      </c>
      <c r="R936" s="45" t="s">
        <v>4281</v>
      </c>
      <c r="S936" s="46" t="s">
        <v>3784</v>
      </c>
    </row>
    <row r="937" spans="1:19" ht="42">
      <c r="A937" s="43">
        <v>933</v>
      </c>
      <c r="B937" s="43">
        <v>936</v>
      </c>
      <c r="C937" s="43">
        <v>565</v>
      </c>
      <c r="D937" s="44">
        <v>45496</v>
      </c>
      <c r="E937" s="45" t="s">
        <v>3063</v>
      </c>
      <c r="F937" s="46" t="s">
        <v>37</v>
      </c>
      <c r="G937" s="46" t="s">
        <v>884</v>
      </c>
      <c r="H937" s="46" t="s">
        <v>965</v>
      </c>
      <c r="I937" s="46" t="s">
        <v>512</v>
      </c>
      <c r="J937" s="46" t="s">
        <v>977</v>
      </c>
      <c r="K937" s="43">
        <v>5</v>
      </c>
      <c r="L937" s="43">
        <v>763</v>
      </c>
      <c r="M937" s="47">
        <v>6.5445026178010471E-3</v>
      </c>
      <c r="N937" s="47">
        <v>11.5</v>
      </c>
      <c r="O937" s="46" t="s">
        <v>925</v>
      </c>
      <c r="P937" s="43">
        <v>148</v>
      </c>
      <c r="Q937" s="43">
        <v>10</v>
      </c>
      <c r="R937" s="45" t="s">
        <v>4281</v>
      </c>
      <c r="S937" s="46" t="s">
        <v>3064</v>
      </c>
    </row>
    <row r="938" spans="1:19" ht="42">
      <c r="A938" s="43">
        <v>934</v>
      </c>
      <c r="B938" s="43">
        <v>937</v>
      </c>
      <c r="C938" s="43">
        <v>532</v>
      </c>
      <c r="D938" s="44">
        <v>45458</v>
      </c>
      <c r="E938" s="45" t="s">
        <v>3123</v>
      </c>
      <c r="F938" s="46" t="s">
        <v>37</v>
      </c>
      <c r="G938" s="46" t="s">
        <v>1038</v>
      </c>
      <c r="H938" s="46" t="s">
        <v>1005</v>
      </c>
      <c r="I938" s="46" t="s">
        <v>512</v>
      </c>
      <c r="J938" s="46" t="s">
        <v>968</v>
      </c>
      <c r="K938" s="43">
        <v>5</v>
      </c>
      <c r="L938" s="43">
        <v>801</v>
      </c>
      <c r="M938" s="47">
        <v>6.2344139650872821E-3</v>
      </c>
      <c r="N938" s="47">
        <v>11.2</v>
      </c>
      <c r="O938" s="46" t="s">
        <v>925</v>
      </c>
      <c r="P938" s="43">
        <v>670</v>
      </c>
      <c r="Q938" s="43">
        <v>20</v>
      </c>
      <c r="R938" s="45" t="s">
        <v>4278</v>
      </c>
      <c r="S938" s="46" t="s">
        <v>3124</v>
      </c>
    </row>
    <row r="939" spans="1:19" ht="42">
      <c r="A939" s="43">
        <v>935</v>
      </c>
      <c r="B939" s="43">
        <v>1024</v>
      </c>
      <c r="C939" s="43">
        <v>1298</v>
      </c>
      <c r="D939" s="44">
        <v>46176</v>
      </c>
      <c r="E939" s="45" t="s">
        <v>1544</v>
      </c>
      <c r="F939" s="46" t="s">
        <v>360</v>
      </c>
      <c r="G939" s="46" t="s">
        <v>893</v>
      </c>
      <c r="H939" s="46" t="s">
        <v>965</v>
      </c>
      <c r="I939" s="46" t="s">
        <v>512</v>
      </c>
      <c r="J939" s="46" t="s">
        <v>977</v>
      </c>
      <c r="K939" s="43">
        <v>1</v>
      </c>
      <c r="L939" s="43">
        <v>83</v>
      </c>
      <c r="M939" s="47">
        <v>1.1904761904761904E-2</v>
      </c>
      <c r="N939" s="47">
        <v>11.2</v>
      </c>
      <c r="O939" s="46" t="s">
        <v>925</v>
      </c>
      <c r="P939" s="43">
        <v>306</v>
      </c>
      <c r="Q939" s="43">
        <v>10</v>
      </c>
      <c r="R939" s="45" t="s">
        <v>4281</v>
      </c>
      <c r="S939" s="46" t="s">
        <v>1545</v>
      </c>
    </row>
    <row r="940" spans="1:19" ht="42">
      <c r="A940" s="43">
        <v>936</v>
      </c>
      <c r="B940" s="43">
        <v>900</v>
      </c>
      <c r="C940" s="43">
        <v>126</v>
      </c>
      <c r="D940" s="44">
        <v>43784</v>
      </c>
      <c r="E940" s="45" t="s">
        <v>4183</v>
      </c>
      <c r="F940" s="46" t="s">
        <v>37</v>
      </c>
      <c r="G940" s="46" t="s">
        <v>1038</v>
      </c>
      <c r="H940" s="46" t="s">
        <v>1038</v>
      </c>
      <c r="I940" s="46" t="s">
        <v>530</v>
      </c>
      <c r="J940" s="46" t="s">
        <v>977</v>
      </c>
      <c r="K940" s="43">
        <v>7</v>
      </c>
      <c r="L940" s="43">
        <v>2475</v>
      </c>
      <c r="M940" s="47">
        <v>2.8271405492730209E-3</v>
      </c>
      <c r="N940" s="47">
        <v>10.9</v>
      </c>
      <c r="O940" s="46" t="s">
        <v>925</v>
      </c>
      <c r="P940" s="43">
        <v>0</v>
      </c>
      <c r="Q940" s="43">
        <v>20</v>
      </c>
      <c r="R940" s="45" t="s">
        <v>4275</v>
      </c>
      <c r="S940" s="46" t="s">
        <v>4184</v>
      </c>
    </row>
    <row r="941" spans="1:19" ht="42">
      <c r="A941" s="43">
        <v>937</v>
      </c>
      <c r="B941" s="43">
        <v>938</v>
      </c>
      <c r="C941" s="43">
        <v>515</v>
      </c>
      <c r="D941" s="44">
        <v>45419</v>
      </c>
      <c r="E941" s="45" t="s">
        <v>3184</v>
      </c>
      <c r="F941" s="46" t="s">
        <v>37</v>
      </c>
      <c r="G941" s="46" t="s">
        <v>882</v>
      </c>
      <c r="H941" s="46" t="s">
        <v>965</v>
      </c>
      <c r="I941" s="46" t="s">
        <v>526</v>
      </c>
      <c r="J941" s="46" t="s">
        <v>977</v>
      </c>
      <c r="K941" s="43">
        <v>5</v>
      </c>
      <c r="L941" s="43">
        <v>840</v>
      </c>
      <c r="M941" s="47">
        <v>5.945303210463734E-3</v>
      </c>
      <c r="N941" s="47">
        <v>10.9</v>
      </c>
      <c r="O941" s="46" t="s">
        <v>925</v>
      </c>
      <c r="P941" s="43">
        <v>334</v>
      </c>
      <c r="Q941" s="43">
        <v>10</v>
      </c>
      <c r="R941" s="45" t="s">
        <v>4281</v>
      </c>
      <c r="S941" s="46" t="s">
        <v>3185</v>
      </c>
    </row>
    <row r="942" spans="1:19" ht="42">
      <c r="A942" s="43">
        <v>938</v>
      </c>
      <c r="B942" s="43">
        <v>939</v>
      </c>
      <c r="C942" s="43">
        <v>510</v>
      </c>
      <c r="D942" s="44">
        <v>45413</v>
      </c>
      <c r="E942" s="45" t="s">
        <v>3193</v>
      </c>
      <c r="F942" s="46" t="s">
        <v>37</v>
      </c>
      <c r="G942" s="46" t="s">
        <v>885</v>
      </c>
      <c r="H942" s="46" t="s">
        <v>965</v>
      </c>
      <c r="I942" s="46" t="s">
        <v>522</v>
      </c>
      <c r="J942" s="46" t="s">
        <v>977</v>
      </c>
      <c r="K942" s="43">
        <v>5</v>
      </c>
      <c r="L942" s="43">
        <v>846</v>
      </c>
      <c r="M942" s="47">
        <v>5.9031877213695395E-3</v>
      </c>
      <c r="N942" s="47">
        <v>10.9</v>
      </c>
      <c r="O942" s="46" t="s">
        <v>925</v>
      </c>
      <c r="P942" s="43">
        <v>325</v>
      </c>
      <c r="Q942" s="43">
        <v>10</v>
      </c>
      <c r="R942" s="45" t="s">
        <v>4281</v>
      </c>
      <c r="S942" s="46" t="s">
        <v>3194</v>
      </c>
    </row>
    <row r="943" spans="1:19" ht="42">
      <c r="A943" s="43">
        <v>939</v>
      </c>
      <c r="B943" s="43">
        <v>940</v>
      </c>
      <c r="C943" s="43">
        <v>489</v>
      </c>
      <c r="D943" s="44">
        <v>45386</v>
      </c>
      <c r="E943" s="45" t="s">
        <v>3223</v>
      </c>
      <c r="F943" s="46" t="s">
        <v>37</v>
      </c>
      <c r="G943" s="46" t="s">
        <v>1038</v>
      </c>
      <c r="H943" s="46" t="s">
        <v>1038</v>
      </c>
      <c r="I943" s="46" t="s">
        <v>515</v>
      </c>
      <c r="J943" s="46" t="s">
        <v>968</v>
      </c>
      <c r="K943" s="43">
        <v>5</v>
      </c>
      <c r="L943" s="43">
        <v>873</v>
      </c>
      <c r="M943" s="47">
        <v>5.7208237986270021E-3</v>
      </c>
      <c r="N943" s="47">
        <v>10.7</v>
      </c>
      <c r="O943" s="46" t="s">
        <v>925</v>
      </c>
      <c r="P943" s="43">
        <v>402</v>
      </c>
      <c r="Q943" s="43">
        <v>20</v>
      </c>
      <c r="R943" s="45" t="s">
        <v>4275</v>
      </c>
      <c r="S943" s="46" t="s">
        <v>3224</v>
      </c>
    </row>
    <row r="944" spans="1:19" ht="42">
      <c r="A944" s="43">
        <v>940</v>
      </c>
      <c r="B944" s="43">
        <v>924</v>
      </c>
      <c r="C944" s="43">
        <v>32</v>
      </c>
      <c r="D944" s="44">
        <v>44668</v>
      </c>
      <c r="E944" s="45" t="s">
        <v>4048</v>
      </c>
      <c r="F944" s="46" t="s">
        <v>37</v>
      </c>
      <c r="G944" s="46" t="s">
        <v>882</v>
      </c>
      <c r="H944" s="46" t="s">
        <v>965</v>
      </c>
      <c r="I944" s="46" t="s">
        <v>522</v>
      </c>
      <c r="J944" s="46" t="s">
        <v>977</v>
      </c>
      <c r="K944" s="43">
        <v>6</v>
      </c>
      <c r="L944" s="43">
        <v>1591</v>
      </c>
      <c r="M944" s="47">
        <v>3.7688442211055275E-3</v>
      </c>
      <c r="N944" s="47">
        <v>10.199999999999999</v>
      </c>
      <c r="O944" s="46" t="s">
        <v>925</v>
      </c>
      <c r="P944" s="43">
        <v>368</v>
      </c>
      <c r="Q944" s="43">
        <v>20</v>
      </c>
      <c r="R944" s="45" t="s">
        <v>4275</v>
      </c>
      <c r="S944" s="46" t="s">
        <v>4049</v>
      </c>
    </row>
    <row r="945" spans="1:19" ht="42">
      <c r="A945" s="43">
        <v>941</v>
      </c>
      <c r="B945" s="43">
        <v>925</v>
      </c>
      <c r="C945" s="43">
        <v>17</v>
      </c>
      <c r="D945" s="44">
        <v>44556</v>
      </c>
      <c r="E945" s="45" t="s">
        <v>4117</v>
      </c>
      <c r="F945" s="46" t="s">
        <v>37</v>
      </c>
      <c r="G945" s="46" t="s">
        <v>1038</v>
      </c>
      <c r="H945" s="46" t="s">
        <v>1038</v>
      </c>
      <c r="I945" s="46" t="s">
        <v>512</v>
      </c>
      <c r="J945" s="46" t="s">
        <v>977</v>
      </c>
      <c r="K945" s="43">
        <v>6</v>
      </c>
      <c r="L945" s="43">
        <v>1703</v>
      </c>
      <c r="M945" s="47">
        <v>3.5211267605633804E-3</v>
      </c>
      <c r="N945" s="47">
        <v>10.1</v>
      </c>
      <c r="O945" s="46" t="s">
        <v>925</v>
      </c>
      <c r="P945" s="43">
        <v>2</v>
      </c>
      <c r="Q945" s="43">
        <v>20</v>
      </c>
      <c r="R945" s="45" t="s">
        <v>4275</v>
      </c>
      <c r="S945" s="46" t="s">
        <v>4118</v>
      </c>
    </row>
    <row r="946" spans="1:19" ht="42">
      <c r="A946" s="43">
        <v>942</v>
      </c>
      <c r="B946" s="43">
        <v>926</v>
      </c>
      <c r="C946" s="43">
        <v>38</v>
      </c>
      <c r="D946" s="44">
        <v>44543</v>
      </c>
      <c r="E946" s="45" t="s">
        <v>4120</v>
      </c>
      <c r="F946" s="46" t="s">
        <v>37</v>
      </c>
      <c r="G946" s="46" t="s">
        <v>909</v>
      </c>
      <c r="H946" s="46" t="s">
        <v>1317</v>
      </c>
      <c r="I946" s="46" t="s">
        <v>533</v>
      </c>
      <c r="J946" s="46" t="s">
        <v>977</v>
      </c>
      <c r="K946" s="43">
        <v>6</v>
      </c>
      <c r="L946" s="43">
        <v>1716</v>
      </c>
      <c r="M946" s="47">
        <v>3.4944670937682005E-3</v>
      </c>
      <c r="N946" s="47">
        <v>10.1</v>
      </c>
      <c r="O946" s="46" t="s">
        <v>925</v>
      </c>
      <c r="P946" s="43">
        <v>427</v>
      </c>
      <c r="Q946" s="43">
        <v>10</v>
      </c>
      <c r="R946" s="45" t="s">
        <v>4281</v>
      </c>
      <c r="S946" s="46" t="s">
        <v>4121</v>
      </c>
    </row>
    <row r="947" spans="1:19" ht="42">
      <c r="A947" s="43">
        <v>943</v>
      </c>
      <c r="B947" s="43">
        <v>941</v>
      </c>
      <c r="C947" s="43">
        <v>374</v>
      </c>
      <c r="D947" s="44">
        <v>45303</v>
      </c>
      <c r="E947" s="45" t="s">
        <v>3444</v>
      </c>
      <c r="F947" s="46" t="s">
        <v>37</v>
      </c>
      <c r="G947" s="46" t="s">
        <v>1038</v>
      </c>
      <c r="H947" s="46" t="s">
        <v>1038</v>
      </c>
      <c r="I947" s="46" t="s">
        <v>512</v>
      </c>
      <c r="J947" s="46" t="s">
        <v>968</v>
      </c>
      <c r="K947" s="43">
        <v>5</v>
      </c>
      <c r="L947" s="43">
        <v>956</v>
      </c>
      <c r="M947" s="47">
        <v>5.2246603970741903E-3</v>
      </c>
      <c r="N947" s="47">
        <v>10.1</v>
      </c>
      <c r="O947" s="46" t="s">
        <v>925</v>
      </c>
      <c r="P947" s="43">
        <v>198</v>
      </c>
      <c r="Q947" s="43">
        <v>10</v>
      </c>
      <c r="R947" s="45" t="s">
        <v>4281</v>
      </c>
      <c r="S947" s="46" t="s">
        <v>3445</v>
      </c>
    </row>
    <row r="948" spans="1:19" ht="42">
      <c r="A948" s="43">
        <v>944</v>
      </c>
      <c r="B948" s="43">
        <v>942</v>
      </c>
      <c r="C948" s="43">
        <v>373</v>
      </c>
      <c r="D948" s="44">
        <v>45303</v>
      </c>
      <c r="E948" s="45" t="s">
        <v>3447</v>
      </c>
      <c r="F948" s="46" t="s">
        <v>37</v>
      </c>
      <c r="G948" s="46" t="s">
        <v>884</v>
      </c>
      <c r="H948" s="46" t="s">
        <v>965</v>
      </c>
      <c r="I948" s="46" t="s">
        <v>530</v>
      </c>
      <c r="J948" s="46" t="s">
        <v>977</v>
      </c>
      <c r="K948" s="43">
        <v>5</v>
      </c>
      <c r="L948" s="43">
        <v>956</v>
      </c>
      <c r="M948" s="47">
        <v>5.2246603970741903E-3</v>
      </c>
      <c r="N948" s="47">
        <v>10.1</v>
      </c>
      <c r="O948" s="46" t="s">
        <v>925</v>
      </c>
      <c r="P948" s="43">
        <v>155</v>
      </c>
      <c r="Q948" s="43">
        <v>10</v>
      </c>
      <c r="R948" s="45" t="s">
        <v>4281</v>
      </c>
      <c r="S948" s="46" t="s">
        <v>3448</v>
      </c>
    </row>
    <row r="949" spans="1:19" ht="42">
      <c r="A949" s="43">
        <v>945</v>
      </c>
      <c r="B949" s="43">
        <v>927</v>
      </c>
      <c r="C949" s="43">
        <v>835</v>
      </c>
      <c r="D949" s="44">
        <v>44537</v>
      </c>
      <c r="E949" s="45" t="s">
        <v>4126</v>
      </c>
      <c r="F949" s="46" t="s">
        <v>392</v>
      </c>
      <c r="G949" s="46" t="s">
        <v>878</v>
      </c>
      <c r="H949" s="46" t="s">
        <v>965</v>
      </c>
      <c r="I949" s="46" t="s">
        <v>515</v>
      </c>
      <c r="J949" s="46" t="s">
        <v>977</v>
      </c>
      <c r="K949" s="43">
        <v>6</v>
      </c>
      <c r="L949" s="43">
        <v>1722</v>
      </c>
      <c r="M949" s="47">
        <v>3.4822983168891469E-3</v>
      </c>
      <c r="N949" s="47">
        <v>10</v>
      </c>
      <c r="O949" s="46" t="s">
        <v>925</v>
      </c>
      <c r="P949" s="43">
        <v>423</v>
      </c>
      <c r="Q949" s="43">
        <v>10</v>
      </c>
      <c r="R949" s="45" t="s">
        <v>4281</v>
      </c>
      <c r="S949" s="46" t="s">
        <v>4127</v>
      </c>
    </row>
    <row r="950" spans="1:19" ht="42">
      <c r="A950" s="43">
        <v>946</v>
      </c>
      <c r="B950" s="43">
        <v>943</v>
      </c>
      <c r="C950" s="43">
        <v>359</v>
      </c>
      <c r="D950" s="44">
        <v>45298</v>
      </c>
      <c r="E950" s="45" t="s">
        <v>3477</v>
      </c>
      <c r="F950" s="46" t="s">
        <v>37</v>
      </c>
      <c r="G950" s="46" t="s">
        <v>878</v>
      </c>
      <c r="H950" s="46" t="s">
        <v>965</v>
      </c>
      <c r="I950" s="46" t="s">
        <v>512</v>
      </c>
      <c r="J950" s="46" t="s">
        <v>977</v>
      </c>
      <c r="K950" s="43">
        <v>5</v>
      </c>
      <c r="L950" s="43">
        <v>961</v>
      </c>
      <c r="M950" s="47">
        <v>5.1975051975051978E-3</v>
      </c>
      <c r="N950" s="47">
        <v>10</v>
      </c>
      <c r="O950" s="46" t="s">
        <v>925</v>
      </c>
      <c r="P950" s="43">
        <v>327</v>
      </c>
      <c r="Q950" s="43">
        <v>10</v>
      </c>
      <c r="R950" s="45" t="s">
        <v>4281</v>
      </c>
      <c r="S950" s="46" t="s">
        <v>3478</v>
      </c>
    </row>
    <row r="951" spans="1:19" ht="42">
      <c r="A951" s="43">
        <v>947</v>
      </c>
      <c r="B951" s="43">
        <v>959</v>
      </c>
      <c r="C951" s="43">
        <v>1037</v>
      </c>
      <c r="D951" s="44">
        <v>45654</v>
      </c>
      <c r="E951" s="45" t="s">
        <v>2709</v>
      </c>
      <c r="F951" s="46" t="s">
        <v>382</v>
      </c>
      <c r="G951" s="46" t="s">
        <v>878</v>
      </c>
      <c r="H951" s="46" t="s">
        <v>965</v>
      </c>
      <c r="I951" s="46" t="s">
        <v>512</v>
      </c>
      <c r="J951" s="46" t="s">
        <v>977</v>
      </c>
      <c r="K951" s="43">
        <v>4</v>
      </c>
      <c r="L951" s="43">
        <v>605</v>
      </c>
      <c r="M951" s="47">
        <v>6.6006600660066007E-3</v>
      </c>
      <c r="N951" s="47">
        <v>10</v>
      </c>
      <c r="O951" s="46" t="s">
        <v>925</v>
      </c>
      <c r="P951" s="43">
        <v>7</v>
      </c>
      <c r="Q951" s="43">
        <v>20</v>
      </c>
      <c r="R951" s="45" t="s">
        <v>4275</v>
      </c>
      <c r="S951" s="46" t="s">
        <v>2710</v>
      </c>
    </row>
    <row r="952" spans="1:19" ht="42">
      <c r="A952" s="43">
        <v>948</v>
      </c>
      <c r="B952" s="43">
        <v>960</v>
      </c>
      <c r="C952" s="43">
        <v>661</v>
      </c>
      <c r="D952" s="44">
        <v>45621</v>
      </c>
      <c r="E952" s="45" t="s">
        <v>2786</v>
      </c>
      <c r="F952" s="46" t="s">
        <v>37</v>
      </c>
      <c r="G952" s="46" t="s">
        <v>882</v>
      </c>
      <c r="H952" s="46" t="s">
        <v>965</v>
      </c>
      <c r="I952" s="46" t="s">
        <v>519</v>
      </c>
      <c r="J952" s="46" t="s">
        <v>977</v>
      </c>
      <c r="K952" s="43">
        <v>4</v>
      </c>
      <c r="L952" s="43">
        <v>638</v>
      </c>
      <c r="M952" s="47">
        <v>6.2597809076682318E-3</v>
      </c>
      <c r="N952" s="47">
        <v>9.6999999999999993</v>
      </c>
      <c r="O952" s="46" t="s">
        <v>925</v>
      </c>
      <c r="P952" s="43">
        <v>448</v>
      </c>
      <c r="Q952" s="43">
        <v>10</v>
      </c>
      <c r="R952" s="45" t="s">
        <v>4281</v>
      </c>
      <c r="S952" s="46" t="s">
        <v>2787</v>
      </c>
    </row>
    <row r="953" spans="1:19" ht="42">
      <c r="A953" s="43">
        <v>949</v>
      </c>
      <c r="B953" s="43">
        <v>944</v>
      </c>
      <c r="C953" s="43">
        <v>312</v>
      </c>
      <c r="D953" s="44">
        <v>45194</v>
      </c>
      <c r="E953" s="45" t="s">
        <v>3566</v>
      </c>
      <c r="F953" s="46" t="s">
        <v>37</v>
      </c>
      <c r="G953" s="46" t="s">
        <v>887</v>
      </c>
      <c r="H953" s="46" t="s">
        <v>965</v>
      </c>
      <c r="I953" s="46" t="s">
        <v>519</v>
      </c>
      <c r="J953" s="46" t="s">
        <v>977</v>
      </c>
      <c r="K953" s="43">
        <v>5</v>
      </c>
      <c r="L953" s="43">
        <v>1065</v>
      </c>
      <c r="M953" s="47">
        <v>4.6904315196998128E-3</v>
      </c>
      <c r="N953" s="47">
        <v>9.6</v>
      </c>
      <c r="O953" s="46" t="s">
        <v>925</v>
      </c>
      <c r="P953" s="43">
        <v>374</v>
      </c>
      <c r="Q953" s="43">
        <v>10</v>
      </c>
      <c r="R953" s="45" t="s">
        <v>4281</v>
      </c>
      <c r="S953" s="46" t="s">
        <v>3567</v>
      </c>
    </row>
    <row r="954" spans="1:19" ht="42">
      <c r="A954" s="43">
        <v>950</v>
      </c>
      <c r="B954" s="43">
        <v>961</v>
      </c>
      <c r="C954" s="43">
        <v>1035</v>
      </c>
      <c r="D954" s="44">
        <v>45608</v>
      </c>
      <c r="E954" s="45" t="s">
        <v>2798</v>
      </c>
      <c r="F954" s="46" t="s">
        <v>382</v>
      </c>
      <c r="G954" s="46" t="s">
        <v>878</v>
      </c>
      <c r="H954" s="46" t="s">
        <v>965</v>
      </c>
      <c r="I954" s="46" t="s">
        <v>515</v>
      </c>
      <c r="J954" s="46" t="s">
        <v>977</v>
      </c>
      <c r="K954" s="43">
        <v>4</v>
      </c>
      <c r="L954" s="43">
        <v>651</v>
      </c>
      <c r="M954" s="47">
        <v>6.1349693251533744E-3</v>
      </c>
      <c r="N954" s="47">
        <v>9.5</v>
      </c>
      <c r="O954" s="46" t="s">
        <v>925</v>
      </c>
      <c r="P954" s="43">
        <v>12</v>
      </c>
      <c r="Q954" s="43">
        <v>10</v>
      </c>
      <c r="R954" s="45" t="s">
        <v>4281</v>
      </c>
      <c r="S954" s="46" t="s">
        <v>2799</v>
      </c>
    </row>
    <row r="955" spans="1:19" ht="42">
      <c r="A955" s="43">
        <v>951</v>
      </c>
      <c r="B955" s="43">
        <v>962</v>
      </c>
      <c r="C955" s="43">
        <v>1033</v>
      </c>
      <c r="D955" s="44">
        <v>45608</v>
      </c>
      <c r="E955" s="45" t="s">
        <v>2804</v>
      </c>
      <c r="F955" s="46" t="s">
        <v>382</v>
      </c>
      <c r="G955" s="46" t="s">
        <v>878</v>
      </c>
      <c r="H955" s="46" t="s">
        <v>965</v>
      </c>
      <c r="I955" s="46" t="s">
        <v>512</v>
      </c>
      <c r="J955" s="46" t="s">
        <v>977</v>
      </c>
      <c r="K955" s="43">
        <v>4</v>
      </c>
      <c r="L955" s="43">
        <v>651</v>
      </c>
      <c r="M955" s="47">
        <v>6.1349693251533744E-3</v>
      </c>
      <c r="N955" s="47">
        <v>9.5</v>
      </c>
      <c r="O955" s="46" t="s">
        <v>925</v>
      </c>
      <c r="P955" s="43">
        <v>12</v>
      </c>
      <c r="Q955" s="43">
        <v>10</v>
      </c>
      <c r="R955" s="45" t="s">
        <v>4281</v>
      </c>
      <c r="S955" s="46" t="s">
        <v>2805</v>
      </c>
    </row>
    <row r="956" spans="1:19" ht="42">
      <c r="A956" s="43">
        <v>952</v>
      </c>
      <c r="B956" s="43">
        <v>945</v>
      </c>
      <c r="C956" s="43">
        <v>275</v>
      </c>
      <c r="D956" s="44">
        <v>45165</v>
      </c>
      <c r="E956" s="45" t="s">
        <v>3639</v>
      </c>
      <c r="F956" s="46" t="s">
        <v>37</v>
      </c>
      <c r="G956" s="46" t="s">
        <v>885</v>
      </c>
      <c r="H956" s="46" t="s">
        <v>1317</v>
      </c>
      <c r="I956" s="46" t="s">
        <v>526</v>
      </c>
      <c r="J956" s="46" t="s">
        <v>968</v>
      </c>
      <c r="K956" s="43">
        <v>5</v>
      </c>
      <c r="L956" s="43">
        <v>1094</v>
      </c>
      <c r="M956" s="47">
        <v>4.5662100456621002E-3</v>
      </c>
      <c r="N956" s="47">
        <v>9.4</v>
      </c>
      <c r="O956" s="46" t="s">
        <v>925</v>
      </c>
      <c r="P956" s="43">
        <v>642</v>
      </c>
      <c r="Q956" s="43">
        <v>20</v>
      </c>
      <c r="R956" s="45" t="s">
        <v>4278</v>
      </c>
      <c r="S956" s="46" t="s">
        <v>3640</v>
      </c>
    </row>
    <row r="957" spans="1:19" ht="42">
      <c r="A957" s="43">
        <v>953</v>
      </c>
      <c r="B957" s="43">
        <v>946</v>
      </c>
      <c r="C957" s="43">
        <v>262</v>
      </c>
      <c r="D957" s="44">
        <v>45156</v>
      </c>
      <c r="E957" s="45" t="s">
        <v>3654</v>
      </c>
      <c r="F957" s="46" t="s">
        <v>37</v>
      </c>
      <c r="G957" s="46" t="s">
        <v>893</v>
      </c>
      <c r="H957" s="46" t="s">
        <v>965</v>
      </c>
      <c r="I957" s="46" t="s">
        <v>512</v>
      </c>
      <c r="J957" s="46" t="s">
        <v>977</v>
      </c>
      <c r="K957" s="43">
        <v>5</v>
      </c>
      <c r="L957" s="43">
        <v>1103</v>
      </c>
      <c r="M957" s="47">
        <v>4.528985507246377E-3</v>
      </c>
      <c r="N957" s="47">
        <v>9.4</v>
      </c>
      <c r="O957" s="46" t="s">
        <v>925</v>
      </c>
      <c r="P957" s="43">
        <v>454</v>
      </c>
      <c r="Q957" s="43">
        <v>20</v>
      </c>
      <c r="R957" s="45" t="s">
        <v>4275</v>
      </c>
      <c r="S957" s="46" t="s">
        <v>3655</v>
      </c>
    </row>
    <row r="958" spans="1:19" ht="42">
      <c r="A958" s="43">
        <v>954</v>
      </c>
      <c r="B958" s="43">
        <v>963</v>
      </c>
      <c r="C958" s="43">
        <v>625</v>
      </c>
      <c r="D958" s="44">
        <v>45575</v>
      </c>
      <c r="E958" s="45" t="s">
        <v>2880</v>
      </c>
      <c r="F958" s="46" t="s">
        <v>37</v>
      </c>
      <c r="G958" s="46" t="s">
        <v>884</v>
      </c>
      <c r="H958" s="46" t="s">
        <v>965</v>
      </c>
      <c r="I958" s="46" t="s">
        <v>515</v>
      </c>
      <c r="J958" s="46" t="s">
        <v>977</v>
      </c>
      <c r="K958" s="43">
        <v>4</v>
      </c>
      <c r="L958" s="43">
        <v>684</v>
      </c>
      <c r="M958" s="47">
        <v>5.8394160583941602E-3</v>
      </c>
      <c r="N958" s="47">
        <v>9.3000000000000007</v>
      </c>
      <c r="O958" s="46" t="s">
        <v>925</v>
      </c>
      <c r="P958" s="43">
        <v>329</v>
      </c>
      <c r="Q958" s="43">
        <v>20</v>
      </c>
      <c r="R958" s="45" t="s">
        <v>4275</v>
      </c>
      <c r="S958" s="46" t="s">
        <v>2881</v>
      </c>
    </row>
    <row r="959" spans="1:19" ht="42">
      <c r="A959" s="43">
        <v>955</v>
      </c>
      <c r="B959" s="43">
        <v>947</v>
      </c>
      <c r="C959" s="43">
        <v>249</v>
      </c>
      <c r="D959" s="44">
        <v>45148</v>
      </c>
      <c r="E959" s="45" t="s">
        <v>3678</v>
      </c>
      <c r="F959" s="46" t="s">
        <v>37</v>
      </c>
      <c r="G959" s="46" t="s">
        <v>1038</v>
      </c>
      <c r="H959" s="46" t="s">
        <v>1005</v>
      </c>
      <c r="I959" s="46" t="s">
        <v>515</v>
      </c>
      <c r="J959" s="46" t="s">
        <v>968</v>
      </c>
      <c r="K959" s="43">
        <v>5</v>
      </c>
      <c r="L959" s="43">
        <v>1111</v>
      </c>
      <c r="M959" s="47">
        <v>4.4964028776978415E-3</v>
      </c>
      <c r="N959" s="47">
        <v>9.1999999999999993</v>
      </c>
      <c r="O959" s="46" t="s">
        <v>925</v>
      </c>
      <c r="P959" s="43">
        <v>60</v>
      </c>
      <c r="Q959" s="43">
        <v>20</v>
      </c>
      <c r="R959" s="45" t="s">
        <v>4275</v>
      </c>
      <c r="S959" s="46" t="s">
        <v>3679</v>
      </c>
    </row>
    <row r="960" spans="1:19" ht="42">
      <c r="A960" s="43">
        <v>956</v>
      </c>
      <c r="B960" s="43">
        <v>928</v>
      </c>
      <c r="C960" s="43">
        <v>25</v>
      </c>
      <c r="D960" s="44">
        <v>43964</v>
      </c>
      <c r="E960" s="45" t="s">
        <v>4162</v>
      </c>
      <c r="F960" s="46" t="s">
        <v>37</v>
      </c>
      <c r="G960" s="46" t="s">
        <v>1038</v>
      </c>
      <c r="H960" s="46" t="s">
        <v>1038</v>
      </c>
      <c r="I960" s="46" t="s">
        <v>536</v>
      </c>
      <c r="J960" s="46" t="s">
        <v>977</v>
      </c>
      <c r="K960" s="43">
        <v>6</v>
      </c>
      <c r="L960" s="43">
        <v>2295</v>
      </c>
      <c r="M960" s="47">
        <v>2.6132404181184671E-3</v>
      </c>
      <c r="N960" s="47">
        <v>9.1</v>
      </c>
      <c r="O960" s="46" t="s">
        <v>925</v>
      </c>
      <c r="P960" s="43">
        <v>528</v>
      </c>
      <c r="Q960" s="43">
        <v>20</v>
      </c>
      <c r="R960" s="45" t="s">
        <v>4278</v>
      </c>
      <c r="S960" s="46" t="s">
        <v>4163</v>
      </c>
    </row>
    <row r="961" spans="1:19" ht="31.5">
      <c r="A961" s="43">
        <v>957</v>
      </c>
      <c r="B961" s="43">
        <v>948</v>
      </c>
      <c r="C961" s="43">
        <v>200</v>
      </c>
      <c r="D961" s="44">
        <v>45089</v>
      </c>
      <c r="E961" s="45" t="s">
        <v>3756</v>
      </c>
      <c r="F961" s="46" t="s">
        <v>37</v>
      </c>
      <c r="G961" s="46" t="s">
        <v>899</v>
      </c>
      <c r="H961" s="46" t="s">
        <v>965</v>
      </c>
      <c r="I961" s="46" t="s">
        <v>515</v>
      </c>
      <c r="J961" s="46" t="s">
        <v>977</v>
      </c>
      <c r="K961" s="43">
        <v>5</v>
      </c>
      <c r="L961" s="43">
        <v>1170</v>
      </c>
      <c r="M961" s="47">
        <v>4.269854824935952E-3</v>
      </c>
      <c r="N961" s="47">
        <v>9.1</v>
      </c>
      <c r="O961" s="46" t="s">
        <v>925</v>
      </c>
      <c r="P961" s="43">
        <v>663</v>
      </c>
      <c r="Q961" s="43">
        <v>30</v>
      </c>
      <c r="R961" s="45" t="s">
        <v>4283</v>
      </c>
      <c r="S961" s="46" t="s">
        <v>3757</v>
      </c>
    </row>
    <row r="962" spans="1:19" ht="42">
      <c r="A962" s="43">
        <v>958</v>
      </c>
      <c r="B962" s="43">
        <v>964</v>
      </c>
      <c r="C962" s="43">
        <v>606</v>
      </c>
      <c r="D962" s="44">
        <v>45560</v>
      </c>
      <c r="E962" s="45" t="s">
        <v>2964</v>
      </c>
      <c r="F962" s="46" t="s">
        <v>37</v>
      </c>
      <c r="G962" s="46" t="s">
        <v>1038</v>
      </c>
      <c r="H962" s="46" t="s">
        <v>1005</v>
      </c>
      <c r="I962" s="46" t="s">
        <v>512</v>
      </c>
      <c r="J962" s="46" t="s">
        <v>977</v>
      </c>
      <c r="K962" s="43">
        <v>4</v>
      </c>
      <c r="L962" s="43">
        <v>699</v>
      </c>
      <c r="M962" s="47">
        <v>5.7142857142857143E-3</v>
      </c>
      <c r="N962" s="47">
        <v>9.1</v>
      </c>
      <c r="O962" s="46" t="s">
        <v>925</v>
      </c>
      <c r="P962" s="43">
        <v>7</v>
      </c>
      <c r="Q962" s="43">
        <v>20</v>
      </c>
      <c r="R962" s="45" t="s">
        <v>4275</v>
      </c>
      <c r="S962" s="46" t="s">
        <v>2965</v>
      </c>
    </row>
    <row r="963" spans="1:19" ht="42">
      <c r="A963" s="43">
        <v>959</v>
      </c>
      <c r="B963" s="43">
        <v>984</v>
      </c>
      <c r="C963" s="43">
        <v>930</v>
      </c>
      <c r="D963" s="44">
        <v>45844</v>
      </c>
      <c r="E963" s="45" t="s">
        <v>2337</v>
      </c>
      <c r="F963" s="46" t="s">
        <v>371</v>
      </c>
      <c r="G963" s="46" t="s">
        <v>899</v>
      </c>
      <c r="H963" s="46" t="s">
        <v>965</v>
      </c>
      <c r="I963" s="46" t="s">
        <v>512</v>
      </c>
      <c r="J963" s="46" t="s">
        <v>977</v>
      </c>
      <c r="K963" s="43">
        <v>3</v>
      </c>
      <c r="L963" s="43">
        <v>415</v>
      </c>
      <c r="M963" s="47">
        <v>7.2115384615384619E-3</v>
      </c>
      <c r="N963" s="47">
        <v>9.1</v>
      </c>
      <c r="O963" s="46" t="s">
        <v>925</v>
      </c>
      <c r="P963" s="43">
        <v>560</v>
      </c>
      <c r="Q963" s="43">
        <v>20</v>
      </c>
      <c r="R963" s="45" t="s">
        <v>4278</v>
      </c>
      <c r="S963" s="46" t="s">
        <v>2338</v>
      </c>
    </row>
    <row r="964" spans="1:19" ht="42">
      <c r="A964" s="43">
        <v>960</v>
      </c>
      <c r="B964" s="43">
        <v>965</v>
      </c>
      <c r="C964" s="43">
        <v>1013</v>
      </c>
      <c r="D964" s="44">
        <v>45557</v>
      </c>
      <c r="E964" s="45" t="s">
        <v>2985</v>
      </c>
      <c r="F964" s="46" t="s">
        <v>382</v>
      </c>
      <c r="G964" s="46" t="s">
        <v>878</v>
      </c>
      <c r="H964" s="46" t="s">
        <v>965</v>
      </c>
      <c r="I964" s="46" t="s">
        <v>515</v>
      </c>
      <c r="J964" s="46" t="s">
        <v>977</v>
      </c>
      <c r="K964" s="43">
        <v>4</v>
      </c>
      <c r="L964" s="43">
        <v>702</v>
      </c>
      <c r="M964" s="47">
        <v>5.6899004267425323E-3</v>
      </c>
      <c r="N964" s="47">
        <v>9</v>
      </c>
      <c r="O964" s="46" t="s">
        <v>925</v>
      </c>
      <c r="P964" s="43">
        <v>689</v>
      </c>
      <c r="Q964" s="43">
        <v>20</v>
      </c>
      <c r="R964" s="45" t="s">
        <v>4278</v>
      </c>
      <c r="S964" s="46" t="s">
        <v>2986</v>
      </c>
    </row>
    <row r="965" spans="1:19" ht="31.5">
      <c r="A965" s="43">
        <v>961</v>
      </c>
      <c r="B965" s="43">
        <v>966</v>
      </c>
      <c r="C965" s="43">
        <v>571</v>
      </c>
      <c r="D965" s="44">
        <v>45484</v>
      </c>
      <c r="E965" s="45" t="s">
        <v>3078</v>
      </c>
      <c r="F965" s="46" t="s">
        <v>37</v>
      </c>
      <c r="G965" s="46" t="s">
        <v>1038</v>
      </c>
      <c r="H965" s="46" t="s">
        <v>1038</v>
      </c>
      <c r="I965" s="46" t="s">
        <v>530</v>
      </c>
      <c r="J965" s="46" t="s">
        <v>977</v>
      </c>
      <c r="K965" s="43">
        <v>4</v>
      </c>
      <c r="L965" s="43">
        <v>775</v>
      </c>
      <c r="M965" s="47">
        <v>5.1546391752577319E-3</v>
      </c>
      <c r="N965" s="47">
        <v>8.4</v>
      </c>
      <c r="O965" s="46" t="s">
        <v>925</v>
      </c>
      <c r="P965" s="43">
        <v>2528</v>
      </c>
      <c r="Q965" s="43">
        <v>30</v>
      </c>
      <c r="R965" s="45" t="s">
        <v>4283</v>
      </c>
      <c r="S965" s="46" t="s">
        <v>3079</v>
      </c>
    </row>
    <row r="966" spans="1:19" ht="42">
      <c r="A966" s="43">
        <v>962</v>
      </c>
      <c r="B966" s="43">
        <v>985</v>
      </c>
      <c r="C966" s="43">
        <v>907</v>
      </c>
      <c r="D966" s="44">
        <v>45790</v>
      </c>
      <c r="E966" s="45" t="s">
        <v>2430</v>
      </c>
      <c r="F966" s="46" t="s">
        <v>371</v>
      </c>
      <c r="G966" s="46" t="s">
        <v>882</v>
      </c>
      <c r="H966" s="46" t="s">
        <v>965</v>
      </c>
      <c r="I966" s="46" t="s">
        <v>530</v>
      </c>
      <c r="J966" s="46" t="s">
        <v>977</v>
      </c>
      <c r="K966" s="43">
        <v>3</v>
      </c>
      <c r="L966" s="43">
        <v>469</v>
      </c>
      <c r="M966" s="47">
        <v>6.382978723404255E-3</v>
      </c>
      <c r="N966" s="47">
        <v>8.4</v>
      </c>
      <c r="O966" s="46" t="s">
        <v>925</v>
      </c>
      <c r="P966" s="43">
        <v>137</v>
      </c>
      <c r="Q966" s="43">
        <v>10</v>
      </c>
      <c r="R966" s="45" t="s">
        <v>4281</v>
      </c>
      <c r="S966" s="46" t="s">
        <v>2431</v>
      </c>
    </row>
    <row r="967" spans="1:19" ht="42">
      <c r="A967" s="43">
        <v>963</v>
      </c>
      <c r="B967" s="43">
        <v>967</v>
      </c>
      <c r="C967" s="43">
        <v>630</v>
      </c>
      <c r="D967" s="44">
        <v>45473</v>
      </c>
      <c r="E967" s="45" t="s">
        <v>3087</v>
      </c>
      <c r="F967" s="46" t="s">
        <v>37</v>
      </c>
      <c r="G967" s="46" t="s">
        <v>1038</v>
      </c>
      <c r="H967" s="46" t="s">
        <v>1134</v>
      </c>
      <c r="I967" s="46" t="s">
        <v>512</v>
      </c>
      <c r="J967" s="46" t="s">
        <v>977</v>
      </c>
      <c r="K967" s="43">
        <v>4</v>
      </c>
      <c r="L967" s="43">
        <v>786</v>
      </c>
      <c r="M967" s="47">
        <v>5.0825921219822112E-3</v>
      </c>
      <c r="N967" s="47">
        <v>8.3000000000000007</v>
      </c>
      <c r="O967" s="46" t="s">
        <v>925</v>
      </c>
      <c r="P967" s="43">
        <v>759</v>
      </c>
      <c r="Q967" s="43">
        <v>20</v>
      </c>
      <c r="R967" s="45" t="s">
        <v>4278</v>
      </c>
      <c r="S967" s="46" t="s">
        <v>3088</v>
      </c>
    </row>
    <row r="968" spans="1:19" ht="42">
      <c r="A968" s="43">
        <v>964</v>
      </c>
      <c r="B968" s="43">
        <v>949</v>
      </c>
      <c r="C968" s="43">
        <v>54</v>
      </c>
      <c r="D968" s="44">
        <v>44708</v>
      </c>
      <c r="E968" s="45" t="s">
        <v>4015</v>
      </c>
      <c r="F968" s="46" t="s">
        <v>37</v>
      </c>
      <c r="G968" s="46" t="s">
        <v>891</v>
      </c>
      <c r="H968" s="46" t="s">
        <v>965</v>
      </c>
      <c r="I968" s="46" t="s">
        <v>526</v>
      </c>
      <c r="J968" s="46" t="s">
        <v>968</v>
      </c>
      <c r="K968" s="43">
        <v>5</v>
      </c>
      <c r="L968" s="43">
        <v>1551</v>
      </c>
      <c r="M968" s="47">
        <v>3.2216494845360823E-3</v>
      </c>
      <c r="N968" s="47">
        <v>8</v>
      </c>
      <c r="O968" s="46" t="s">
        <v>925</v>
      </c>
      <c r="P968" s="43">
        <v>353</v>
      </c>
      <c r="Q968" s="43">
        <v>10</v>
      </c>
      <c r="R968" s="45" t="s">
        <v>4281</v>
      </c>
      <c r="S968" s="46" t="s">
        <v>4016</v>
      </c>
    </row>
    <row r="969" spans="1:19" ht="42">
      <c r="A969" s="43">
        <v>965</v>
      </c>
      <c r="B969" s="43">
        <v>950</v>
      </c>
      <c r="C969" s="43">
        <v>53</v>
      </c>
      <c r="D969" s="44">
        <v>44706</v>
      </c>
      <c r="E969" s="45" t="s">
        <v>4021</v>
      </c>
      <c r="F969" s="46" t="s">
        <v>37</v>
      </c>
      <c r="G969" s="46" t="s">
        <v>893</v>
      </c>
      <c r="H969" s="46" t="s">
        <v>1317</v>
      </c>
      <c r="I969" s="46" t="s">
        <v>512</v>
      </c>
      <c r="J969" s="46" t="s">
        <v>977</v>
      </c>
      <c r="K969" s="43">
        <v>5</v>
      </c>
      <c r="L969" s="43">
        <v>1553</v>
      </c>
      <c r="M969" s="47">
        <v>3.2175032175032173E-3</v>
      </c>
      <c r="N969" s="47">
        <v>8</v>
      </c>
      <c r="O969" s="46" t="s">
        <v>925</v>
      </c>
      <c r="P969" s="43">
        <v>412</v>
      </c>
      <c r="Q969" s="43">
        <v>10</v>
      </c>
      <c r="R969" s="45" t="s">
        <v>4281</v>
      </c>
      <c r="S969" s="46" t="s">
        <v>4022</v>
      </c>
    </row>
    <row r="970" spans="1:19" ht="42">
      <c r="A970" s="43">
        <v>966</v>
      </c>
      <c r="B970" s="43">
        <v>951</v>
      </c>
      <c r="C970" s="43">
        <v>1</v>
      </c>
      <c r="D970" s="44">
        <v>44647</v>
      </c>
      <c r="E970" s="45" t="s">
        <v>4072</v>
      </c>
      <c r="F970" s="46" t="s">
        <v>37</v>
      </c>
      <c r="G970" s="46" t="s">
        <v>882</v>
      </c>
      <c r="H970" s="46" t="s">
        <v>965</v>
      </c>
      <c r="I970" s="46" t="s">
        <v>522</v>
      </c>
      <c r="J970" s="46" t="s">
        <v>977</v>
      </c>
      <c r="K970" s="43">
        <v>5</v>
      </c>
      <c r="L970" s="43">
        <v>1612</v>
      </c>
      <c r="M970" s="47">
        <v>3.0998140111593306E-3</v>
      </c>
      <c r="N970" s="47">
        <v>7.8</v>
      </c>
      <c r="O970" s="46" t="s">
        <v>925</v>
      </c>
      <c r="P970" s="43">
        <v>480</v>
      </c>
      <c r="Q970" s="43">
        <v>20</v>
      </c>
      <c r="R970" s="45" t="s">
        <v>4275</v>
      </c>
      <c r="S970" s="46" t="s">
        <v>4073</v>
      </c>
    </row>
    <row r="971" spans="1:19" ht="42">
      <c r="A971" s="43">
        <v>967</v>
      </c>
      <c r="B971" s="43">
        <v>952</v>
      </c>
      <c r="C971" s="43">
        <v>129</v>
      </c>
      <c r="D971" s="44">
        <v>44644</v>
      </c>
      <c r="E971" s="45" t="s">
        <v>4085</v>
      </c>
      <c r="F971" s="46" t="s">
        <v>37</v>
      </c>
      <c r="G971" s="46" t="s">
        <v>1038</v>
      </c>
      <c r="H971" s="46" t="s">
        <v>1134</v>
      </c>
      <c r="I971" s="46" t="s">
        <v>522</v>
      </c>
      <c r="J971" s="46" t="s">
        <v>968</v>
      </c>
      <c r="K971" s="43">
        <v>5</v>
      </c>
      <c r="L971" s="43">
        <v>1615</v>
      </c>
      <c r="M971" s="47">
        <v>3.0940594059405942E-3</v>
      </c>
      <c r="N971" s="47">
        <v>7.8</v>
      </c>
      <c r="O971" s="46" t="s">
        <v>925</v>
      </c>
      <c r="P971" s="43">
        <v>175</v>
      </c>
      <c r="Q971" s="43">
        <v>10</v>
      </c>
      <c r="R971" s="45" t="s">
        <v>4281</v>
      </c>
      <c r="S971" s="46" t="s">
        <v>4086</v>
      </c>
    </row>
    <row r="972" spans="1:19" ht="42">
      <c r="A972" s="43">
        <v>968</v>
      </c>
      <c r="B972" s="43">
        <v>953</v>
      </c>
      <c r="C972" s="43">
        <v>837</v>
      </c>
      <c r="D972" s="44">
        <v>44527</v>
      </c>
      <c r="E972" s="45" t="s">
        <v>4132</v>
      </c>
      <c r="F972" s="46" t="s">
        <v>392</v>
      </c>
      <c r="G972" s="46" t="s">
        <v>1038</v>
      </c>
      <c r="H972" s="46" t="s">
        <v>1038</v>
      </c>
      <c r="I972" s="46" t="s">
        <v>515</v>
      </c>
      <c r="J972" s="46" t="s">
        <v>977</v>
      </c>
      <c r="K972" s="43">
        <v>5</v>
      </c>
      <c r="L972" s="43">
        <v>1732</v>
      </c>
      <c r="M972" s="47">
        <v>2.8851702250432777E-3</v>
      </c>
      <c r="N972" s="47">
        <v>7.7</v>
      </c>
      <c r="O972" s="46" t="s">
        <v>925</v>
      </c>
      <c r="P972" s="43">
        <v>699</v>
      </c>
      <c r="Q972" s="43">
        <v>20</v>
      </c>
      <c r="R972" s="45" t="s">
        <v>4278</v>
      </c>
      <c r="S972" s="46" t="s">
        <v>4133</v>
      </c>
    </row>
    <row r="973" spans="1:19" ht="42">
      <c r="A973" s="43">
        <v>969</v>
      </c>
      <c r="B973" s="43">
        <v>954</v>
      </c>
      <c r="C973" s="43">
        <v>836</v>
      </c>
      <c r="D973" s="44">
        <v>44521</v>
      </c>
      <c r="E973" s="45" t="s">
        <v>4135</v>
      </c>
      <c r="F973" s="46" t="s">
        <v>392</v>
      </c>
      <c r="G973" s="46" t="s">
        <v>1038</v>
      </c>
      <c r="H973" s="46" t="s">
        <v>1484</v>
      </c>
      <c r="I973" s="46" t="s">
        <v>515</v>
      </c>
      <c r="J973" s="46" t="s">
        <v>977</v>
      </c>
      <c r="K973" s="43">
        <v>5</v>
      </c>
      <c r="L973" s="43">
        <v>1738</v>
      </c>
      <c r="M973" s="47">
        <v>2.8752156411730881E-3</v>
      </c>
      <c r="N973" s="47">
        <v>7.7</v>
      </c>
      <c r="O973" s="46" t="s">
        <v>925</v>
      </c>
      <c r="P973" s="43">
        <v>230</v>
      </c>
      <c r="Q973" s="43">
        <v>20</v>
      </c>
      <c r="R973" s="45" t="s">
        <v>4275</v>
      </c>
      <c r="S973" s="46" t="s">
        <v>4136</v>
      </c>
    </row>
    <row r="974" spans="1:19" ht="42">
      <c r="A974" s="43">
        <v>970</v>
      </c>
      <c r="B974" s="43">
        <v>968</v>
      </c>
      <c r="C974" s="43">
        <v>473</v>
      </c>
      <c r="D974" s="44">
        <v>45374</v>
      </c>
      <c r="E974" s="45" t="s">
        <v>3266</v>
      </c>
      <c r="F974" s="46" t="s">
        <v>37</v>
      </c>
      <c r="G974" s="46" t="s">
        <v>887</v>
      </c>
      <c r="H974" s="46" t="s">
        <v>965</v>
      </c>
      <c r="I974" s="46" t="s">
        <v>515</v>
      </c>
      <c r="J974" s="46" t="s">
        <v>977</v>
      </c>
      <c r="K974" s="43">
        <v>4</v>
      </c>
      <c r="L974" s="43">
        <v>885</v>
      </c>
      <c r="M974" s="47">
        <v>4.5146726862302479E-3</v>
      </c>
      <c r="N974" s="47">
        <v>7.7</v>
      </c>
      <c r="O974" s="46" t="s">
        <v>925</v>
      </c>
      <c r="P974" s="43">
        <v>338</v>
      </c>
      <c r="Q974" s="43">
        <v>10</v>
      </c>
      <c r="R974" s="45" t="s">
        <v>4281</v>
      </c>
      <c r="S974" s="46" t="s">
        <v>3267</v>
      </c>
    </row>
    <row r="975" spans="1:19" ht="42">
      <c r="A975" s="43">
        <v>971</v>
      </c>
      <c r="B975" s="43">
        <v>969</v>
      </c>
      <c r="C975" s="43">
        <v>441</v>
      </c>
      <c r="D975" s="44">
        <v>45340</v>
      </c>
      <c r="E975" s="45" t="s">
        <v>3324</v>
      </c>
      <c r="F975" s="46" t="s">
        <v>37</v>
      </c>
      <c r="G975" s="46" t="s">
        <v>882</v>
      </c>
      <c r="H975" s="46" t="s">
        <v>965</v>
      </c>
      <c r="I975" s="46" t="s">
        <v>530</v>
      </c>
      <c r="J975" s="46" t="s">
        <v>977</v>
      </c>
      <c r="K975" s="43">
        <v>4</v>
      </c>
      <c r="L975" s="43">
        <v>919</v>
      </c>
      <c r="M975" s="47">
        <v>4.3478260869565218E-3</v>
      </c>
      <c r="N975" s="47">
        <v>7.6</v>
      </c>
      <c r="O975" s="46" t="s">
        <v>925</v>
      </c>
      <c r="P975" s="43">
        <v>66</v>
      </c>
      <c r="Q975" s="43">
        <v>20</v>
      </c>
      <c r="R975" s="45" t="s">
        <v>4275</v>
      </c>
      <c r="S975" s="46" t="s">
        <v>3325</v>
      </c>
    </row>
    <row r="976" spans="1:19" ht="31.5">
      <c r="A976" s="43">
        <v>972</v>
      </c>
      <c r="B976" s="43">
        <v>970</v>
      </c>
      <c r="C976" s="43">
        <v>420</v>
      </c>
      <c r="D976" s="44">
        <v>45331</v>
      </c>
      <c r="E976" s="45" t="s">
        <v>3361</v>
      </c>
      <c r="F976" s="46" t="s">
        <v>37</v>
      </c>
      <c r="G976" s="46" t="s">
        <v>878</v>
      </c>
      <c r="H976" s="46" t="s">
        <v>965</v>
      </c>
      <c r="I976" s="46" t="s">
        <v>515</v>
      </c>
      <c r="J976" s="46" t="s">
        <v>977</v>
      </c>
      <c r="K976" s="43">
        <v>4</v>
      </c>
      <c r="L976" s="43">
        <v>928</v>
      </c>
      <c r="M976" s="47">
        <v>4.3057050592034442E-3</v>
      </c>
      <c r="N976" s="47">
        <v>7.5</v>
      </c>
      <c r="O976" s="46" t="s">
        <v>925</v>
      </c>
      <c r="P976" s="43">
        <v>537</v>
      </c>
      <c r="Q976" s="43">
        <v>30</v>
      </c>
      <c r="R976" s="45" t="s">
        <v>4283</v>
      </c>
      <c r="S976" s="46" t="s">
        <v>3362</v>
      </c>
    </row>
    <row r="977" spans="1:19" ht="42">
      <c r="A977" s="43">
        <v>973</v>
      </c>
      <c r="B977" s="43">
        <v>971</v>
      </c>
      <c r="C977" s="43">
        <v>411</v>
      </c>
      <c r="D977" s="44">
        <v>45322</v>
      </c>
      <c r="E977" s="45" t="s">
        <v>3373</v>
      </c>
      <c r="F977" s="46" t="s">
        <v>37</v>
      </c>
      <c r="G977" s="46" t="s">
        <v>1038</v>
      </c>
      <c r="H977" s="46" t="s">
        <v>1484</v>
      </c>
      <c r="I977" s="46" t="s">
        <v>530</v>
      </c>
      <c r="J977" s="46" t="s">
        <v>968</v>
      </c>
      <c r="K977" s="43">
        <v>4</v>
      </c>
      <c r="L977" s="43">
        <v>937</v>
      </c>
      <c r="M977" s="47">
        <v>4.2643923240938165E-3</v>
      </c>
      <c r="N977" s="47">
        <v>7.4</v>
      </c>
      <c r="O977" s="46" t="s">
        <v>925</v>
      </c>
      <c r="P977" s="43">
        <v>620</v>
      </c>
      <c r="Q977" s="43">
        <v>20</v>
      </c>
      <c r="R977" s="45" t="s">
        <v>4278</v>
      </c>
      <c r="S977" s="46" t="s">
        <v>3374</v>
      </c>
    </row>
    <row r="978" spans="1:19" ht="42">
      <c r="A978" s="43">
        <v>974</v>
      </c>
      <c r="B978" s="43">
        <v>972</v>
      </c>
      <c r="C978" s="43">
        <v>540</v>
      </c>
      <c r="D978" s="44">
        <v>45317</v>
      </c>
      <c r="E978" s="45" t="s">
        <v>3379</v>
      </c>
      <c r="F978" s="46" t="s">
        <v>37</v>
      </c>
      <c r="G978" s="46" t="s">
        <v>896</v>
      </c>
      <c r="H978" s="46" t="s">
        <v>965</v>
      </c>
      <c r="I978" s="46" t="s">
        <v>526</v>
      </c>
      <c r="J978" s="46" t="s">
        <v>977</v>
      </c>
      <c r="K978" s="43">
        <v>4</v>
      </c>
      <c r="L978" s="43">
        <v>942</v>
      </c>
      <c r="M978" s="47">
        <v>4.2417815482502655E-3</v>
      </c>
      <c r="N978" s="47">
        <v>7.4</v>
      </c>
      <c r="O978" s="46" t="s">
        <v>925</v>
      </c>
      <c r="P978" s="43">
        <v>756</v>
      </c>
      <c r="Q978" s="43">
        <v>20</v>
      </c>
      <c r="R978" s="45" t="s">
        <v>4278</v>
      </c>
      <c r="S978" s="46" t="s">
        <v>3380</v>
      </c>
    </row>
    <row r="979" spans="1:19" ht="42">
      <c r="A979" s="43">
        <v>975</v>
      </c>
      <c r="B979" s="43">
        <v>973</v>
      </c>
      <c r="C979" s="43">
        <v>365</v>
      </c>
      <c r="D979" s="44">
        <v>45301</v>
      </c>
      <c r="E979" s="45" t="s">
        <v>3471</v>
      </c>
      <c r="F979" s="46" t="s">
        <v>37</v>
      </c>
      <c r="G979" s="46" t="s">
        <v>894</v>
      </c>
      <c r="H979" s="46" t="s">
        <v>965</v>
      </c>
      <c r="I979" s="46" t="s">
        <v>522</v>
      </c>
      <c r="J979" s="46" t="s">
        <v>977</v>
      </c>
      <c r="K979" s="43">
        <v>4</v>
      </c>
      <c r="L979" s="43">
        <v>958</v>
      </c>
      <c r="M979" s="47">
        <v>4.1710114702815434E-3</v>
      </c>
      <c r="N979" s="47">
        <v>7.4</v>
      </c>
      <c r="O979" s="46" t="s">
        <v>925</v>
      </c>
      <c r="P979" s="43">
        <v>108</v>
      </c>
      <c r="Q979" s="43">
        <v>20</v>
      </c>
      <c r="R979" s="45" t="s">
        <v>4275</v>
      </c>
      <c r="S979" s="46" t="s">
        <v>3472</v>
      </c>
    </row>
    <row r="980" spans="1:19" ht="42">
      <c r="A980" s="43">
        <v>976</v>
      </c>
      <c r="B980" s="43">
        <v>974</v>
      </c>
      <c r="C980" s="43">
        <v>339</v>
      </c>
      <c r="D980" s="44">
        <v>45262</v>
      </c>
      <c r="E980" s="45" t="s">
        <v>3519</v>
      </c>
      <c r="F980" s="46" t="s">
        <v>37</v>
      </c>
      <c r="G980" s="46" t="s">
        <v>882</v>
      </c>
      <c r="H980" s="46" t="s">
        <v>965</v>
      </c>
      <c r="I980" s="46" t="s">
        <v>512</v>
      </c>
      <c r="J980" s="46" t="s">
        <v>977</v>
      </c>
      <c r="K980" s="43">
        <v>4</v>
      </c>
      <c r="L980" s="43">
        <v>997</v>
      </c>
      <c r="M980" s="47">
        <v>4.0080160320641279E-3</v>
      </c>
      <c r="N980" s="47">
        <v>7.3</v>
      </c>
      <c r="O980" s="46" t="s">
        <v>925</v>
      </c>
      <c r="P980" s="43">
        <v>27</v>
      </c>
      <c r="Q980" s="43">
        <v>10</v>
      </c>
      <c r="R980" s="45" t="s">
        <v>4281</v>
      </c>
      <c r="S980" s="46" t="s">
        <v>3520</v>
      </c>
    </row>
    <row r="981" spans="1:19" ht="31.5">
      <c r="A981" s="43">
        <v>977</v>
      </c>
      <c r="B981" s="43">
        <v>986</v>
      </c>
      <c r="C981" s="43">
        <v>886</v>
      </c>
      <c r="D981" s="44">
        <v>45695</v>
      </c>
      <c r="E981" s="45" t="s">
        <v>2548</v>
      </c>
      <c r="F981" s="46" t="s">
        <v>371</v>
      </c>
      <c r="G981" s="46" t="s">
        <v>902</v>
      </c>
      <c r="H981" s="46" t="s">
        <v>965</v>
      </c>
      <c r="I981" s="46" t="s">
        <v>512</v>
      </c>
      <c r="J981" s="46" t="s">
        <v>977</v>
      </c>
      <c r="K981" s="43">
        <v>3</v>
      </c>
      <c r="L981" s="43">
        <v>564</v>
      </c>
      <c r="M981" s="47">
        <v>5.3097345132743362E-3</v>
      </c>
      <c r="N981" s="47">
        <v>7.3</v>
      </c>
      <c r="O981" s="46" t="s">
        <v>925</v>
      </c>
      <c r="P981" s="43">
        <v>548</v>
      </c>
      <c r="Q981" s="43">
        <v>30</v>
      </c>
      <c r="R981" s="45" t="s">
        <v>4283</v>
      </c>
      <c r="S981" s="46" t="s">
        <v>2549</v>
      </c>
    </row>
    <row r="982" spans="1:19" ht="42">
      <c r="A982" s="43">
        <v>978</v>
      </c>
      <c r="B982" s="43">
        <v>955</v>
      </c>
      <c r="C982" s="43">
        <v>35</v>
      </c>
      <c r="D982" s="44">
        <v>43964</v>
      </c>
      <c r="E982" s="45" t="s">
        <v>4159</v>
      </c>
      <c r="F982" s="46" t="s">
        <v>37</v>
      </c>
      <c r="G982" s="46" t="s">
        <v>1038</v>
      </c>
      <c r="H982" s="46" t="s">
        <v>1038</v>
      </c>
      <c r="I982" s="46" t="s">
        <v>526</v>
      </c>
      <c r="J982" s="46" t="s">
        <v>968</v>
      </c>
      <c r="K982" s="43">
        <v>5</v>
      </c>
      <c r="L982" s="43">
        <v>2295</v>
      </c>
      <c r="M982" s="47">
        <v>2.1777003484320556E-3</v>
      </c>
      <c r="N982" s="47">
        <v>7.2</v>
      </c>
      <c r="O982" s="46" t="s">
        <v>925</v>
      </c>
      <c r="P982" s="43">
        <v>323</v>
      </c>
      <c r="Q982" s="43">
        <v>10</v>
      </c>
      <c r="R982" s="45" t="s">
        <v>4281</v>
      </c>
      <c r="S982" s="46" t="s">
        <v>4160</v>
      </c>
    </row>
    <row r="983" spans="1:19" ht="42">
      <c r="A983" s="43">
        <v>979</v>
      </c>
      <c r="B983" s="43">
        <v>956</v>
      </c>
      <c r="C983" s="43">
        <v>23</v>
      </c>
      <c r="D983" s="44">
        <v>43784</v>
      </c>
      <c r="E983" s="45" t="s">
        <v>4180</v>
      </c>
      <c r="F983" s="46" t="s">
        <v>37</v>
      </c>
      <c r="G983" s="46" t="s">
        <v>913</v>
      </c>
      <c r="H983" s="46" t="s">
        <v>965</v>
      </c>
      <c r="I983" s="46" t="s">
        <v>526</v>
      </c>
      <c r="J983" s="46" t="s">
        <v>977</v>
      </c>
      <c r="K983" s="43">
        <v>5</v>
      </c>
      <c r="L983" s="43">
        <v>2475</v>
      </c>
      <c r="M983" s="47">
        <v>2.0193861066235864E-3</v>
      </c>
      <c r="N983" s="47">
        <v>7.1</v>
      </c>
      <c r="O983" s="46" t="s">
        <v>925</v>
      </c>
      <c r="P983" s="43">
        <v>177</v>
      </c>
      <c r="Q983" s="43">
        <v>20</v>
      </c>
      <c r="R983" s="45" t="s">
        <v>4275</v>
      </c>
      <c r="S983" s="46" t="s">
        <v>4181</v>
      </c>
    </row>
    <row r="984" spans="1:19" ht="42">
      <c r="A984" s="43">
        <v>980</v>
      </c>
      <c r="B984" s="43">
        <v>975</v>
      </c>
      <c r="C984" s="43">
        <v>252</v>
      </c>
      <c r="D984" s="44">
        <v>45150</v>
      </c>
      <c r="E984" s="45" t="s">
        <v>3672</v>
      </c>
      <c r="F984" s="46" t="s">
        <v>37</v>
      </c>
      <c r="G984" s="46" t="s">
        <v>916</v>
      </c>
      <c r="H984" s="46" t="s">
        <v>965</v>
      </c>
      <c r="I984" s="46" t="s">
        <v>512</v>
      </c>
      <c r="J984" s="46" t="s">
        <v>968</v>
      </c>
      <c r="K984" s="43">
        <v>4</v>
      </c>
      <c r="L984" s="43">
        <v>1109</v>
      </c>
      <c r="M984" s="47">
        <v>3.6036036036036037E-3</v>
      </c>
      <c r="N984" s="47">
        <v>7</v>
      </c>
      <c r="O984" s="46" t="s">
        <v>925</v>
      </c>
      <c r="P984" s="43">
        <v>692</v>
      </c>
      <c r="Q984" s="43">
        <v>20</v>
      </c>
      <c r="R984" s="45" t="s">
        <v>4278</v>
      </c>
      <c r="S984" s="46" t="s">
        <v>3673</v>
      </c>
    </row>
    <row r="985" spans="1:19" ht="31.5">
      <c r="A985" s="43">
        <v>981</v>
      </c>
      <c r="B985" s="43">
        <v>976</v>
      </c>
      <c r="C985" s="43">
        <v>218</v>
      </c>
      <c r="D985" s="44">
        <v>45112</v>
      </c>
      <c r="E985" s="45" t="s">
        <v>3723</v>
      </c>
      <c r="F985" s="46" t="s">
        <v>37</v>
      </c>
      <c r="G985" s="46" t="s">
        <v>878</v>
      </c>
      <c r="H985" s="46" t="s">
        <v>965</v>
      </c>
      <c r="I985" s="46" t="s">
        <v>526</v>
      </c>
      <c r="J985" s="46" t="s">
        <v>977</v>
      </c>
      <c r="K985" s="43">
        <v>4</v>
      </c>
      <c r="L985" s="43">
        <v>1147</v>
      </c>
      <c r="M985" s="47">
        <v>3.4843205574912892E-3</v>
      </c>
      <c r="N985" s="47">
        <v>6.9</v>
      </c>
      <c r="O985" s="46" t="s">
        <v>925</v>
      </c>
      <c r="P985" s="43">
        <v>867</v>
      </c>
      <c r="Q985" s="43">
        <v>30</v>
      </c>
      <c r="R985" s="45" t="s">
        <v>4283</v>
      </c>
      <c r="S985" s="46" t="s">
        <v>3724</v>
      </c>
    </row>
    <row r="986" spans="1:19" ht="42">
      <c r="A986" s="43">
        <v>982</v>
      </c>
      <c r="B986" s="43">
        <v>987</v>
      </c>
      <c r="C986" s="43">
        <v>877</v>
      </c>
      <c r="D986" s="44">
        <v>45673</v>
      </c>
      <c r="E986" s="45" t="s">
        <v>2585</v>
      </c>
      <c r="F986" s="46" t="s">
        <v>371</v>
      </c>
      <c r="G986" s="46" t="s">
        <v>899</v>
      </c>
      <c r="H986" s="46" t="s">
        <v>965</v>
      </c>
      <c r="I986" s="46" t="s">
        <v>515</v>
      </c>
      <c r="J986" s="46" t="s">
        <v>977</v>
      </c>
      <c r="K986" s="43">
        <v>3</v>
      </c>
      <c r="L986" s="43">
        <v>586</v>
      </c>
      <c r="M986" s="47">
        <v>5.1107325383304937E-3</v>
      </c>
      <c r="N986" s="47">
        <v>6.9</v>
      </c>
      <c r="O986" s="46" t="s">
        <v>925</v>
      </c>
      <c r="P986" s="43">
        <v>804</v>
      </c>
      <c r="Q986" s="43">
        <v>20</v>
      </c>
      <c r="R986" s="45" t="s">
        <v>4278</v>
      </c>
      <c r="S986" s="46" t="s">
        <v>2586</v>
      </c>
    </row>
    <row r="987" spans="1:19" ht="42">
      <c r="A987" s="43">
        <v>983</v>
      </c>
      <c r="B987" s="43">
        <v>977</v>
      </c>
      <c r="C987" s="43">
        <v>216</v>
      </c>
      <c r="D987" s="44">
        <v>45111</v>
      </c>
      <c r="E987" s="45" t="s">
        <v>3729</v>
      </c>
      <c r="F987" s="46" t="s">
        <v>37</v>
      </c>
      <c r="G987" s="46" t="s">
        <v>1038</v>
      </c>
      <c r="H987" s="46" t="s">
        <v>1005</v>
      </c>
      <c r="I987" s="46" t="s">
        <v>519</v>
      </c>
      <c r="J987" s="46" t="s">
        <v>977</v>
      </c>
      <c r="K987" s="43">
        <v>4</v>
      </c>
      <c r="L987" s="43">
        <v>1148</v>
      </c>
      <c r="M987" s="47">
        <v>3.4812880765883376E-3</v>
      </c>
      <c r="N987" s="47">
        <v>6.8</v>
      </c>
      <c r="O987" s="46" t="s">
        <v>925</v>
      </c>
      <c r="P987" s="43">
        <v>382</v>
      </c>
      <c r="Q987" s="43">
        <v>10</v>
      </c>
      <c r="R987" s="45" t="s">
        <v>4281</v>
      </c>
      <c r="S987" s="46" t="s">
        <v>3730</v>
      </c>
    </row>
    <row r="988" spans="1:19" ht="42">
      <c r="A988" s="43">
        <v>984</v>
      </c>
      <c r="B988" s="43">
        <v>978</v>
      </c>
      <c r="C988" s="43">
        <v>192</v>
      </c>
      <c r="D988" s="44">
        <v>45087</v>
      </c>
      <c r="E988" s="45" t="s">
        <v>3780</v>
      </c>
      <c r="F988" s="46" t="s">
        <v>37</v>
      </c>
      <c r="G988" s="46" t="s">
        <v>929</v>
      </c>
      <c r="H988" s="46" t="s">
        <v>965</v>
      </c>
      <c r="I988" s="46" t="s">
        <v>522</v>
      </c>
      <c r="J988" s="46" t="s">
        <v>977</v>
      </c>
      <c r="K988" s="43">
        <v>4</v>
      </c>
      <c r="L988" s="43">
        <v>1172</v>
      </c>
      <c r="M988" s="47">
        <v>3.4100596760443308E-3</v>
      </c>
      <c r="N988" s="47">
        <v>6.7</v>
      </c>
      <c r="O988" s="46" t="s">
        <v>925</v>
      </c>
      <c r="P988" s="43">
        <v>201</v>
      </c>
      <c r="Q988" s="43">
        <v>10</v>
      </c>
      <c r="R988" s="45" t="s">
        <v>4281</v>
      </c>
      <c r="S988" s="46" t="s">
        <v>3781</v>
      </c>
    </row>
    <row r="989" spans="1:19" ht="42">
      <c r="A989" s="43">
        <v>985</v>
      </c>
      <c r="B989" s="43">
        <v>988</v>
      </c>
      <c r="C989" s="43">
        <v>702</v>
      </c>
      <c r="D989" s="44">
        <v>45658</v>
      </c>
      <c r="E989" s="45" t="s">
        <v>2663</v>
      </c>
      <c r="F989" s="46" t="s">
        <v>37</v>
      </c>
      <c r="G989" s="46" t="s">
        <v>882</v>
      </c>
      <c r="H989" s="46" t="s">
        <v>965</v>
      </c>
      <c r="I989" s="46" t="s">
        <v>530</v>
      </c>
      <c r="J989" s="46" t="s">
        <v>977</v>
      </c>
      <c r="K989" s="43">
        <v>3</v>
      </c>
      <c r="L989" s="43">
        <v>601</v>
      </c>
      <c r="M989" s="47">
        <v>4.9833887043189366E-3</v>
      </c>
      <c r="N989" s="47">
        <v>6.7</v>
      </c>
      <c r="O989" s="46" t="s">
        <v>925</v>
      </c>
      <c r="P989" s="43">
        <v>189</v>
      </c>
      <c r="Q989" s="43">
        <v>10</v>
      </c>
      <c r="R989" s="45" t="s">
        <v>4281</v>
      </c>
      <c r="S989" s="46" t="s">
        <v>2664</v>
      </c>
    </row>
    <row r="990" spans="1:19" ht="42">
      <c r="A990" s="43">
        <v>986</v>
      </c>
      <c r="B990" s="43">
        <v>979</v>
      </c>
      <c r="C990" s="43">
        <v>161</v>
      </c>
      <c r="D990" s="44">
        <v>45072</v>
      </c>
      <c r="E990" s="45" t="s">
        <v>3819</v>
      </c>
      <c r="F990" s="46" t="s">
        <v>37</v>
      </c>
      <c r="G990" s="46" t="s">
        <v>884</v>
      </c>
      <c r="H990" s="46" t="s">
        <v>965</v>
      </c>
      <c r="I990" s="46" t="s">
        <v>515</v>
      </c>
      <c r="J990" s="46" t="s">
        <v>977</v>
      </c>
      <c r="K990" s="43">
        <v>4</v>
      </c>
      <c r="L990" s="43">
        <v>1187</v>
      </c>
      <c r="M990" s="47">
        <v>3.3670033670033669E-3</v>
      </c>
      <c r="N990" s="47">
        <v>6.6</v>
      </c>
      <c r="O990" s="46" t="s">
        <v>925</v>
      </c>
      <c r="P990" s="43">
        <v>583</v>
      </c>
      <c r="Q990" s="43">
        <v>20</v>
      </c>
      <c r="R990" s="45" t="s">
        <v>4278</v>
      </c>
      <c r="S990" s="46" t="s">
        <v>3820</v>
      </c>
    </row>
    <row r="991" spans="1:19" ht="42">
      <c r="A991" s="43">
        <v>987</v>
      </c>
      <c r="B991" s="43">
        <v>980</v>
      </c>
      <c r="C991" s="43">
        <v>122</v>
      </c>
      <c r="D991" s="44">
        <v>44981</v>
      </c>
      <c r="E991" s="45" t="s">
        <v>3852</v>
      </c>
      <c r="F991" s="46" t="s">
        <v>37</v>
      </c>
      <c r="G991" s="46" t="s">
        <v>941</v>
      </c>
      <c r="H991" s="46" t="s">
        <v>965</v>
      </c>
      <c r="I991" s="46" t="s">
        <v>526</v>
      </c>
      <c r="J991" s="46" t="s">
        <v>977</v>
      </c>
      <c r="K991" s="43">
        <v>4</v>
      </c>
      <c r="L991" s="43">
        <v>1278</v>
      </c>
      <c r="M991" s="47">
        <v>3.1274433150899139E-3</v>
      </c>
      <c r="N991" s="47">
        <v>6.4</v>
      </c>
      <c r="O991" s="46" t="s">
        <v>925</v>
      </c>
      <c r="P991" s="43">
        <v>364</v>
      </c>
      <c r="Q991" s="43">
        <v>10</v>
      </c>
      <c r="R991" s="45" t="s">
        <v>4281</v>
      </c>
      <c r="S991" s="46" t="s">
        <v>3853</v>
      </c>
    </row>
    <row r="992" spans="1:19" ht="42">
      <c r="A992" s="43">
        <v>988</v>
      </c>
      <c r="B992" s="43">
        <v>981</v>
      </c>
      <c r="C992" s="43">
        <v>151</v>
      </c>
      <c r="D992" s="44">
        <v>44972</v>
      </c>
      <c r="E992" s="45" t="s">
        <v>3864</v>
      </c>
      <c r="F992" s="46" t="s">
        <v>37</v>
      </c>
      <c r="G992" s="46" t="s">
        <v>882</v>
      </c>
      <c r="H992" s="46" t="s">
        <v>965</v>
      </c>
      <c r="I992" s="46" t="s">
        <v>515</v>
      </c>
      <c r="J992" s="46" t="s">
        <v>977</v>
      </c>
      <c r="K992" s="43">
        <v>4</v>
      </c>
      <c r="L992" s="43">
        <v>1287</v>
      </c>
      <c r="M992" s="47">
        <v>3.105590062111801E-3</v>
      </c>
      <c r="N992" s="47">
        <v>6.3</v>
      </c>
      <c r="O992" s="46" t="s">
        <v>925</v>
      </c>
      <c r="P992" s="43">
        <v>419</v>
      </c>
      <c r="Q992" s="43">
        <v>20</v>
      </c>
      <c r="R992" s="45" t="s">
        <v>4275</v>
      </c>
      <c r="S992" s="46" t="s">
        <v>3865</v>
      </c>
    </row>
    <row r="993" spans="1:19" ht="42">
      <c r="A993" s="43">
        <v>989</v>
      </c>
      <c r="B993" s="43">
        <v>989</v>
      </c>
      <c r="C993" s="43">
        <v>594</v>
      </c>
      <c r="D993" s="44">
        <v>45557</v>
      </c>
      <c r="E993" s="45" t="s">
        <v>2991</v>
      </c>
      <c r="F993" s="46" t="s">
        <v>37</v>
      </c>
      <c r="G993" s="46" t="s">
        <v>878</v>
      </c>
      <c r="H993" s="46" t="s">
        <v>965</v>
      </c>
      <c r="I993" s="46" t="s">
        <v>515</v>
      </c>
      <c r="J993" s="46" t="s">
        <v>977</v>
      </c>
      <c r="K993" s="43">
        <v>3</v>
      </c>
      <c r="L993" s="43">
        <v>702</v>
      </c>
      <c r="M993" s="47">
        <v>4.2674253200568994E-3</v>
      </c>
      <c r="N993" s="47">
        <v>6</v>
      </c>
      <c r="O993" s="46" t="s">
        <v>925</v>
      </c>
      <c r="P993" s="43">
        <v>318</v>
      </c>
      <c r="Q993" s="43">
        <v>10</v>
      </c>
      <c r="R993" s="45" t="s">
        <v>4281</v>
      </c>
      <c r="S993" s="46" t="s">
        <v>2992</v>
      </c>
    </row>
    <row r="994" spans="1:19" ht="42">
      <c r="A994" s="43">
        <v>990</v>
      </c>
      <c r="B994" s="43">
        <v>982</v>
      </c>
      <c r="C994" s="43">
        <v>78</v>
      </c>
      <c r="D994" s="44">
        <v>44727</v>
      </c>
      <c r="E994" s="45" t="s">
        <v>3979</v>
      </c>
      <c r="F994" s="46" t="s">
        <v>37</v>
      </c>
      <c r="G994" s="46" t="s">
        <v>1038</v>
      </c>
      <c r="H994" s="46" t="s">
        <v>1134</v>
      </c>
      <c r="I994" s="46" t="s">
        <v>526</v>
      </c>
      <c r="J994" s="46" t="s">
        <v>977</v>
      </c>
      <c r="K994" s="43">
        <v>4</v>
      </c>
      <c r="L994" s="43">
        <v>1532</v>
      </c>
      <c r="M994" s="47">
        <v>2.6092628832354858E-3</v>
      </c>
      <c r="N994" s="47">
        <v>5.9</v>
      </c>
      <c r="O994" s="46" t="s">
        <v>925</v>
      </c>
      <c r="P994" s="43">
        <v>360</v>
      </c>
      <c r="Q994" s="43">
        <v>20</v>
      </c>
      <c r="R994" s="45" t="s">
        <v>4272</v>
      </c>
      <c r="S994" s="46" t="s">
        <v>3980</v>
      </c>
    </row>
    <row r="995" spans="1:19" ht="42">
      <c r="A995" s="43">
        <v>991</v>
      </c>
      <c r="B995" s="43">
        <v>990</v>
      </c>
      <c r="C995" s="43">
        <v>566</v>
      </c>
      <c r="D995" s="44">
        <v>45497</v>
      </c>
      <c r="E995" s="45" t="s">
        <v>3060</v>
      </c>
      <c r="F995" s="46" t="s">
        <v>37</v>
      </c>
      <c r="G995" s="46" t="s">
        <v>1038</v>
      </c>
      <c r="H995" s="46" t="s">
        <v>1038</v>
      </c>
      <c r="I995" s="46" t="s">
        <v>512</v>
      </c>
      <c r="J995" s="46" t="s">
        <v>977</v>
      </c>
      <c r="K995" s="43">
        <v>3</v>
      </c>
      <c r="L995" s="43">
        <v>762</v>
      </c>
      <c r="M995" s="47">
        <v>3.9318479685452159E-3</v>
      </c>
      <c r="N995" s="47">
        <v>5.7</v>
      </c>
      <c r="O995" s="46" t="s">
        <v>925</v>
      </c>
      <c r="P995" s="43">
        <v>101</v>
      </c>
      <c r="Q995" s="43">
        <v>10</v>
      </c>
      <c r="R995" s="45" t="s">
        <v>4281</v>
      </c>
      <c r="S995" s="46" t="s">
        <v>3061</v>
      </c>
    </row>
    <row r="996" spans="1:19" ht="42">
      <c r="A996" s="43">
        <v>992</v>
      </c>
      <c r="B996" s="43">
        <v>991</v>
      </c>
      <c r="C996" s="43">
        <v>554</v>
      </c>
      <c r="D996" s="44">
        <v>45479</v>
      </c>
      <c r="E996" s="45" t="s">
        <v>3081</v>
      </c>
      <c r="F996" s="46" t="s">
        <v>37</v>
      </c>
      <c r="G996" s="46" t="s">
        <v>1038</v>
      </c>
      <c r="H996" s="46" t="s">
        <v>1038</v>
      </c>
      <c r="I996" s="46" t="s">
        <v>515</v>
      </c>
      <c r="J996" s="46" t="s">
        <v>977</v>
      </c>
      <c r="K996" s="43">
        <v>3</v>
      </c>
      <c r="L996" s="43">
        <v>780</v>
      </c>
      <c r="M996" s="47">
        <v>3.8412291933418692E-3</v>
      </c>
      <c r="N996" s="47">
        <v>5.7</v>
      </c>
      <c r="O996" s="46" t="s">
        <v>925</v>
      </c>
      <c r="P996" s="43">
        <v>715</v>
      </c>
      <c r="Q996" s="43">
        <v>20</v>
      </c>
      <c r="R996" s="45" t="s">
        <v>4278</v>
      </c>
      <c r="S996" s="46" t="s">
        <v>3082</v>
      </c>
    </row>
    <row r="997" spans="1:19" ht="42">
      <c r="A997" s="43">
        <v>993</v>
      </c>
      <c r="B997" s="43">
        <v>992</v>
      </c>
      <c r="C997" s="43">
        <v>549</v>
      </c>
      <c r="D997" s="44">
        <v>45470</v>
      </c>
      <c r="E997" s="45" t="s">
        <v>3090</v>
      </c>
      <c r="F997" s="46" t="s">
        <v>37</v>
      </c>
      <c r="G997" s="46" t="s">
        <v>878</v>
      </c>
      <c r="H997" s="46" t="s">
        <v>965</v>
      </c>
      <c r="I997" s="46" t="s">
        <v>515</v>
      </c>
      <c r="J997" s="46" t="s">
        <v>977</v>
      </c>
      <c r="K997" s="43">
        <v>3</v>
      </c>
      <c r="L997" s="43">
        <v>789</v>
      </c>
      <c r="M997" s="47">
        <v>3.7974683544303796E-3</v>
      </c>
      <c r="N997" s="47">
        <v>5.7</v>
      </c>
      <c r="O997" s="46" t="s">
        <v>925</v>
      </c>
      <c r="P997" s="43">
        <v>802</v>
      </c>
      <c r="Q997" s="43">
        <v>20</v>
      </c>
      <c r="R997" s="45" t="s">
        <v>4278</v>
      </c>
      <c r="S997" s="46" t="s">
        <v>3091</v>
      </c>
    </row>
    <row r="998" spans="1:19" ht="31.5">
      <c r="A998" s="43">
        <v>994</v>
      </c>
      <c r="B998" s="43">
        <v>993</v>
      </c>
      <c r="C998" s="43">
        <v>490</v>
      </c>
      <c r="D998" s="44">
        <v>45387</v>
      </c>
      <c r="E998" s="45" t="s">
        <v>3220</v>
      </c>
      <c r="F998" s="46" t="s">
        <v>37</v>
      </c>
      <c r="G998" s="46" t="s">
        <v>1038</v>
      </c>
      <c r="H998" s="46" t="s">
        <v>1038</v>
      </c>
      <c r="I998" s="46" t="s">
        <v>512</v>
      </c>
      <c r="J998" s="46" t="s">
        <v>968</v>
      </c>
      <c r="K998" s="43">
        <v>3</v>
      </c>
      <c r="L998" s="43">
        <v>872</v>
      </c>
      <c r="M998" s="47">
        <v>3.4364261168384879E-3</v>
      </c>
      <c r="N998" s="47">
        <v>5.3</v>
      </c>
      <c r="O998" s="46" t="s">
        <v>925</v>
      </c>
      <c r="P998" s="43">
        <v>837</v>
      </c>
      <c r="Q998" s="43">
        <v>30</v>
      </c>
      <c r="R998" s="45" t="s">
        <v>4283</v>
      </c>
      <c r="S998" s="46" t="s">
        <v>3221</v>
      </c>
    </row>
    <row r="999" spans="1:19" ht="42">
      <c r="A999" s="43">
        <v>995</v>
      </c>
      <c r="B999" s="43">
        <v>994</v>
      </c>
      <c r="C999" s="43">
        <v>484</v>
      </c>
      <c r="D999" s="44">
        <v>45378</v>
      </c>
      <c r="E999" s="45" t="s">
        <v>3239</v>
      </c>
      <c r="F999" s="46" t="s">
        <v>37</v>
      </c>
      <c r="G999" s="46" t="s">
        <v>1038</v>
      </c>
      <c r="H999" s="46" t="s">
        <v>1484</v>
      </c>
      <c r="I999" s="46" t="s">
        <v>512</v>
      </c>
      <c r="J999" s="46" t="s">
        <v>977</v>
      </c>
      <c r="K999" s="43">
        <v>3</v>
      </c>
      <c r="L999" s="43">
        <v>881</v>
      </c>
      <c r="M999" s="47">
        <v>3.4013605442176869E-3</v>
      </c>
      <c r="N999" s="47">
        <v>5.2</v>
      </c>
      <c r="O999" s="46" t="s">
        <v>925</v>
      </c>
      <c r="P999" s="43">
        <v>1296</v>
      </c>
      <c r="Q999" s="43">
        <v>20</v>
      </c>
      <c r="R999" s="45" t="s">
        <v>4278</v>
      </c>
      <c r="S999" s="46" t="s">
        <v>3240</v>
      </c>
    </row>
    <row r="1000" spans="1:19" ht="42">
      <c r="A1000" s="43">
        <v>996</v>
      </c>
      <c r="B1000" s="43">
        <v>995</v>
      </c>
      <c r="C1000" s="43">
        <v>442</v>
      </c>
      <c r="D1000" s="44">
        <v>45340</v>
      </c>
      <c r="E1000" s="45" t="s">
        <v>3321</v>
      </c>
      <c r="F1000" s="46" t="s">
        <v>37</v>
      </c>
      <c r="G1000" s="46" t="s">
        <v>1038</v>
      </c>
      <c r="H1000" s="46" t="s">
        <v>1038</v>
      </c>
      <c r="I1000" s="46" t="s">
        <v>512</v>
      </c>
      <c r="J1000" s="46" t="s">
        <v>977</v>
      </c>
      <c r="K1000" s="43">
        <v>3</v>
      </c>
      <c r="L1000" s="43">
        <v>919</v>
      </c>
      <c r="M1000" s="47">
        <v>3.2608695652173911E-3</v>
      </c>
      <c r="N1000" s="47">
        <v>5.0999999999999996</v>
      </c>
      <c r="O1000" s="46" t="s">
        <v>925</v>
      </c>
      <c r="P1000" s="43">
        <v>7</v>
      </c>
      <c r="Q1000" s="43">
        <v>10</v>
      </c>
      <c r="R1000" s="45" t="s">
        <v>4281</v>
      </c>
      <c r="S1000" s="46" t="s">
        <v>3322</v>
      </c>
    </row>
    <row r="1001" spans="1:19" ht="31.5">
      <c r="A1001" s="43">
        <v>997</v>
      </c>
      <c r="B1001" s="43">
        <v>996</v>
      </c>
      <c r="C1001" s="43">
        <v>382</v>
      </c>
      <c r="D1001" s="44">
        <v>45306</v>
      </c>
      <c r="E1001" s="45" t="s">
        <v>3420</v>
      </c>
      <c r="F1001" s="46" t="s">
        <v>37</v>
      </c>
      <c r="G1001" s="46" t="s">
        <v>1038</v>
      </c>
      <c r="H1001" s="46" t="s">
        <v>1005</v>
      </c>
      <c r="I1001" s="46" t="s">
        <v>512</v>
      </c>
      <c r="J1001" s="46" t="s">
        <v>968</v>
      </c>
      <c r="K1001" s="43">
        <v>3</v>
      </c>
      <c r="L1001" s="43">
        <v>953</v>
      </c>
      <c r="M1001" s="47">
        <v>3.1446540880503146E-3</v>
      </c>
      <c r="N1001" s="47">
        <v>4.9000000000000004</v>
      </c>
      <c r="O1001" s="46" t="s">
        <v>925</v>
      </c>
      <c r="P1001" s="43">
        <v>500</v>
      </c>
      <c r="Q1001" s="43">
        <v>30</v>
      </c>
      <c r="R1001" s="45" t="s">
        <v>4283</v>
      </c>
      <c r="S1001" s="46" t="s">
        <v>3421</v>
      </c>
    </row>
    <row r="1002" spans="1:19" ht="31.5">
      <c r="A1002" s="43">
        <v>998</v>
      </c>
      <c r="B1002" s="43">
        <v>997</v>
      </c>
      <c r="C1002" s="43">
        <v>233</v>
      </c>
      <c r="D1002" s="44">
        <v>45136</v>
      </c>
      <c r="E1002" s="45" t="s">
        <v>3705</v>
      </c>
      <c r="F1002" s="46" t="s">
        <v>37</v>
      </c>
      <c r="G1002" s="46" t="s">
        <v>878</v>
      </c>
      <c r="H1002" s="46" t="s">
        <v>965</v>
      </c>
      <c r="I1002" s="46" t="s">
        <v>522</v>
      </c>
      <c r="J1002" s="46" t="s">
        <v>977</v>
      </c>
      <c r="K1002" s="43">
        <v>3</v>
      </c>
      <c r="L1002" s="43">
        <v>1123</v>
      </c>
      <c r="M1002" s="47">
        <v>2.6690391459074734E-3</v>
      </c>
      <c r="N1002" s="47">
        <v>4.5999999999999996</v>
      </c>
      <c r="O1002" s="46" t="s">
        <v>925</v>
      </c>
      <c r="P1002" s="43">
        <v>661</v>
      </c>
      <c r="Q1002" s="43">
        <v>30</v>
      </c>
      <c r="R1002" s="45" t="s">
        <v>4283</v>
      </c>
      <c r="S1002" s="46" t="s">
        <v>3706</v>
      </c>
    </row>
    <row r="1003" spans="1:19" ht="42">
      <c r="A1003" s="43">
        <v>999</v>
      </c>
      <c r="B1003" s="43">
        <v>1008</v>
      </c>
      <c r="C1003" s="43">
        <v>1049</v>
      </c>
      <c r="D1003" s="44">
        <v>45759</v>
      </c>
      <c r="E1003" s="45" t="s">
        <v>2491</v>
      </c>
      <c r="F1003" s="46" t="s">
        <v>382</v>
      </c>
      <c r="G1003" s="46" t="s">
        <v>913</v>
      </c>
      <c r="H1003" s="46" t="s">
        <v>1317</v>
      </c>
      <c r="I1003" s="46" t="s">
        <v>526</v>
      </c>
      <c r="J1003" s="46" t="s">
        <v>977</v>
      </c>
      <c r="K1003" s="43">
        <v>2</v>
      </c>
      <c r="L1003" s="43">
        <v>500</v>
      </c>
      <c r="M1003" s="47">
        <v>3.9920159680638719E-3</v>
      </c>
      <c r="N1003" s="47">
        <v>4.5999999999999996</v>
      </c>
      <c r="O1003" s="46" t="s">
        <v>925</v>
      </c>
      <c r="P1003" s="43">
        <v>549</v>
      </c>
      <c r="Q1003" s="43">
        <v>20</v>
      </c>
      <c r="R1003" s="45" t="s">
        <v>4278</v>
      </c>
      <c r="S1003" s="46" t="s">
        <v>2492</v>
      </c>
    </row>
    <row r="1004" spans="1:19" ht="42">
      <c r="A1004" s="43">
        <v>1000</v>
      </c>
      <c r="B1004" s="43">
        <v>998</v>
      </c>
      <c r="C1004" s="43">
        <v>230</v>
      </c>
      <c r="D1004" s="44">
        <v>45135</v>
      </c>
      <c r="E1004" s="45" t="s">
        <v>3708</v>
      </c>
      <c r="F1004" s="46" t="s">
        <v>37</v>
      </c>
      <c r="G1004" s="46" t="s">
        <v>882</v>
      </c>
      <c r="H1004" s="46" t="s">
        <v>965</v>
      </c>
      <c r="I1004" s="46" t="s">
        <v>522</v>
      </c>
      <c r="J1004" s="46" t="s">
        <v>977</v>
      </c>
      <c r="K1004" s="43">
        <v>3</v>
      </c>
      <c r="L1004" s="43">
        <v>1124</v>
      </c>
      <c r="M1004" s="47">
        <v>2.6666666666666666E-3</v>
      </c>
      <c r="N1004" s="47">
        <v>4.5</v>
      </c>
      <c r="O1004" s="46" t="s">
        <v>925</v>
      </c>
      <c r="P1004" s="43">
        <v>292</v>
      </c>
      <c r="Q1004" s="43">
        <v>10</v>
      </c>
      <c r="R1004" s="45" t="s">
        <v>4281</v>
      </c>
      <c r="S1004" s="46" t="s">
        <v>3709</v>
      </c>
    </row>
    <row r="1005" spans="1:19" ht="42">
      <c r="A1005" s="43">
        <v>1001</v>
      </c>
      <c r="B1005" s="43">
        <v>999</v>
      </c>
      <c r="C1005" s="43">
        <v>164</v>
      </c>
      <c r="D1005" s="44">
        <v>45072</v>
      </c>
      <c r="E1005" s="45" t="s">
        <v>3816</v>
      </c>
      <c r="F1005" s="46" t="s">
        <v>37</v>
      </c>
      <c r="G1005" s="46" t="s">
        <v>1038</v>
      </c>
      <c r="H1005" s="46" t="s">
        <v>1038</v>
      </c>
      <c r="I1005" s="46" t="s">
        <v>512</v>
      </c>
      <c r="J1005" s="46" t="s">
        <v>977</v>
      </c>
      <c r="K1005" s="43">
        <v>3</v>
      </c>
      <c r="L1005" s="43">
        <v>1187</v>
      </c>
      <c r="M1005" s="47">
        <v>2.5252525252525255E-3</v>
      </c>
      <c r="N1005" s="47">
        <v>4.4000000000000004</v>
      </c>
      <c r="O1005" s="46" t="s">
        <v>925</v>
      </c>
      <c r="P1005" s="43">
        <v>74</v>
      </c>
      <c r="Q1005" s="43">
        <v>20</v>
      </c>
      <c r="R1005" s="45" t="s">
        <v>4275</v>
      </c>
      <c r="S1005" s="46" t="s">
        <v>3817</v>
      </c>
    </row>
    <row r="1006" spans="1:19" ht="31.5">
      <c r="A1006" s="43">
        <v>1002</v>
      </c>
      <c r="B1006" s="43">
        <v>1000</v>
      </c>
      <c r="C1006" s="43">
        <v>119</v>
      </c>
      <c r="D1006" s="44">
        <v>44973</v>
      </c>
      <c r="E1006" s="45" t="s">
        <v>3861</v>
      </c>
      <c r="F1006" s="46" t="s">
        <v>37</v>
      </c>
      <c r="G1006" s="46" t="s">
        <v>916</v>
      </c>
      <c r="H1006" s="46" t="s">
        <v>965</v>
      </c>
      <c r="I1006" s="46" t="s">
        <v>512</v>
      </c>
      <c r="J1006" s="46" t="s">
        <v>977</v>
      </c>
      <c r="K1006" s="43">
        <v>3</v>
      </c>
      <c r="L1006" s="43">
        <v>1286</v>
      </c>
      <c r="M1006" s="47">
        <v>2.331002331002331E-3</v>
      </c>
      <c r="N1006" s="47">
        <v>4.3</v>
      </c>
      <c r="O1006" s="46" t="s">
        <v>925</v>
      </c>
      <c r="P1006" s="43">
        <v>553</v>
      </c>
      <c r="Q1006" s="43">
        <v>30</v>
      </c>
      <c r="R1006" s="45" t="s">
        <v>4283</v>
      </c>
      <c r="S1006" s="46" t="s">
        <v>3862</v>
      </c>
    </row>
    <row r="1007" spans="1:19" ht="42">
      <c r="A1007" s="43">
        <v>1003</v>
      </c>
      <c r="B1007" s="43">
        <v>1001</v>
      </c>
      <c r="C1007" s="43">
        <v>149</v>
      </c>
      <c r="D1007" s="44">
        <v>44933</v>
      </c>
      <c r="E1007" s="45" t="s">
        <v>3895</v>
      </c>
      <c r="F1007" s="46" t="s">
        <v>37</v>
      </c>
      <c r="G1007" s="46" t="s">
        <v>878</v>
      </c>
      <c r="H1007" s="46" t="s">
        <v>965</v>
      </c>
      <c r="I1007" s="46" t="s">
        <v>512</v>
      </c>
      <c r="J1007" s="46" t="s">
        <v>977</v>
      </c>
      <c r="K1007" s="43">
        <v>3</v>
      </c>
      <c r="L1007" s="43">
        <v>1326</v>
      </c>
      <c r="M1007" s="47">
        <v>2.2607385079125848E-3</v>
      </c>
      <c r="N1007" s="47">
        <v>4.2</v>
      </c>
      <c r="O1007" s="46" t="s">
        <v>925</v>
      </c>
      <c r="P1007" s="43">
        <v>349</v>
      </c>
      <c r="Q1007" s="43">
        <v>20</v>
      </c>
      <c r="R1007" s="45" t="s">
        <v>4275</v>
      </c>
      <c r="S1007" s="46" t="s">
        <v>3896</v>
      </c>
    </row>
    <row r="1008" spans="1:19" ht="42">
      <c r="A1008" s="43">
        <v>1004</v>
      </c>
      <c r="B1008" s="43">
        <v>1002</v>
      </c>
      <c r="C1008" s="43">
        <v>94</v>
      </c>
      <c r="D1008" s="44">
        <v>44886</v>
      </c>
      <c r="E1008" s="45" t="s">
        <v>3916</v>
      </c>
      <c r="F1008" s="46" t="s">
        <v>37</v>
      </c>
      <c r="G1008" s="46" t="s">
        <v>882</v>
      </c>
      <c r="H1008" s="46" t="s">
        <v>965</v>
      </c>
      <c r="I1008" s="46" t="s">
        <v>515</v>
      </c>
      <c r="J1008" s="46" t="s">
        <v>968</v>
      </c>
      <c r="K1008" s="43">
        <v>3</v>
      </c>
      <c r="L1008" s="43">
        <v>1373</v>
      </c>
      <c r="M1008" s="47">
        <v>2.1834061135371178E-3</v>
      </c>
      <c r="N1008" s="47">
        <v>4.2</v>
      </c>
      <c r="O1008" s="46" t="s">
        <v>925</v>
      </c>
      <c r="P1008" s="43">
        <v>161</v>
      </c>
      <c r="Q1008" s="43">
        <v>10</v>
      </c>
      <c r="R1008" s="45" t="s">
        <v>4281</v>
      </c>
      <c r="S1008" s="46" t="s">
        <v>3917</v>
      </c>
    </row>
    <row r="1009" spans="1:19" ht="42">
      <c r="A1009" s="43">
        <v>1005</v>
      </c>
      <c r="B1009" s="43">
        <v>1003</v>
      </c>
      <c r="C1009" s="43">
        <v>88</v>
      </c>
      <c r="D1009" s="44">
        <v>44722</v>
      </c>
      <c r="E1009" s="45" t="s">
        <v>3988</v>
      </c>
      <c r="F1009" s="46" t="s">
        <v>37</v>
      </c>
      <c r="G1009" s="46" t="s">
        <v>896</v>
      </c>
      <c r="H1009" s="46" t="s">
        <v>965</v>
      </c>
      <c r="I1009" s="46" t="s">
        <v>512</v>
      </c>
      <c r="J1009" s="46" t="s">
        <v>977</v>
      </c>
      <c r="K1009" s="43">
        <v>3</v>
      </c>
      <c r="L1009" s="43">
        <v>1537</v>
      </c>
      <c r="M1009" s="47">
        <v>1.9505851755526658E-3</v>
      </c>
      <c r="N1009" s="47">
        <v>4</v>
      </c>
      <c r="O1009" s="46" t="s">
        <v>925</v>
      </c>
      <c r="P1009" s="43">
        <v>669</v>
      </c>
      <c r="Q1009" s="43">
        <v>20</v>
      </c>
      <c r="R1009" s="45" t="s">
        <v>4278</v>
      </c>
      <c r="S1009" s="46" t="s">
        <v>3989</v>
      </c>
    </row>
    <row r="1010" spans="1:19" ht="42">
      <c r="A1010" s="43">
        <v>1006</v>
      </c>
      <c r="B1010" s="43">
        <v>1004</v>
      </c>
      <c r="C1010" s="43">
        <v>59</v>
      </c>
      <c r="D1010" s="44">
        <v>44714</v>
      </c>
      <c r="E1010" s="45" t="s">
        <v>3994</v>
      </c>
      <c r="F1010" s="46" t="s">
        <v>37</v>
      </c>
      <c r="G1010" s="46" t="s">
        <v>1038</v>
      </c>
      <c r="H1010" s="46" t="s">
        <v>1038</v>
      </c>
      <c r="I1010" s="46" t="s">
        <v>512</v>
      </c>
      <c r="J1010" s="46" t="s">
        <v>977</v>
      </c>
      <c r="K1010" s="43">
        <v>3</v>
      </c>
      <c r="L1010" s="43">
        <v>1545</v>
      </c>
      <c r="M1010" s="47">
        <v>1.9404915912031048E-3</v>
      </c>
      <c r="N1010" s="47">
        <v>4</v>
      </c>
      <c r="O1010" s="46" t="s">
        <v>925</v>
      </c>
      <c r="P1010" s="43">
        <v>273</v>
      </c>
      <c r="Q1010" s="43">
        <v>10</v>
      </c>
      <c r="R1010" s="45" t="s">
        <v>4281</v>
      </c>
      <c r="S1010" s="46" t="s">
        <v>3995</v>
      </c>
    </row>
    <row r="1011" spans="1:19" ht="42">
      <c r="A1011" s="43">
        <v>1007</v>
      </c>
      <c r="B1011" s="43">
        <v>1005</v>
      </c>
      <c r="C1011" s="43">
        <v>28</v>
      </c>
      <c r="D1011" s="44">
        <v>44675</v>
      </c>
      <c r="E1011" s="45" t="s">
        <v>4039</v>
      </c>
      <c r="F1011" s="46" t="s">
        <v>37</v>
      </c>
      <c r="G1011" s="46" t="s">
        <v>927</v>
      </c>
      <c r="H1011" s="46" t="s">
        <v>965</v>
      </c>
      <c r="I1011" s="46" t="s">
        <v>522</v>
      </c>
      <c r="J1011" s="46" t="s">
        <v>977</v>
      </c>
      <c r="K1011" s="43">
        <v>3</v>
      </c>
      <c r="L1011" s="43">
        <v>1584</v>
      </c>
      <c r="M1011" s="47">
        <v>1.8927444794952682E-3</v>
      </c>
      <c r="N1011" s="47">
        <v>3.9</v>
      </c>
      <c r="O1011" s="46" t="s">
        <v>925</v>
      </c>
      <c r="P1011" s="43">
        <v>807</v>
      </c>
      <c r="Q1011" s="43">
        <v>20</v>
      </c>
      <c r="R1011" s="45" t="s">
        <v>4278</v>
      </c>
      <c r="S1011" s="46" t="s">
        <v>4040</v>
      </c>
    </row>
    <row r="1012" spans="1:19" ht="42">
      <c r="A1012" s="43">
        <v>1008</v>
      </c>
      <c r="B1012" s="43">
        <v>1006</v>
      </c>
      <c r="C1012" s="43">
        <v>3</v>
      </c>
      <c r="D1012" s="44">
        <v>44643</v>
      </c>
      <c r="E1012" s="45" t="s">
        <v>4079</v>
      </c>
      <c r="F1012" s="46" t="s">
        <v>37</v>
      </c>
      <c r="G1012" s="46" t="s">
        <v>878</v>
      </c>
      <c r="H1012" s="46" t="s">
        <v>965</v>
      </c>
      <c r="I1012" s="46" t="s">
        <v>526</v>
      </c>
      <c r="J1012" s="46" t="s">
        <v>968</v>
      </c>
      <c r="K1012" s="43">
        <v>3</v>
      </c>
      <c r="L1012" s="43">
        <v>1616</v>
      </c>
      <c r="M1012" s="47">
        <v>1.8552875695732839E-3</v>
      </c>
      <c r="N1012" s="47">
        <v>3.9</v>
      </c>
      <c r="O1012" s="46" t="s">
        <v>925</v>
      </c>
      <c r="P1012" s="43">
        <v>267</v>
      </c>
      <c r="Q1012" s="43">
        <v>10</v>
      </c>
      <c r="R1012" s="45" t="s">
        <v>4281</v>
      </c>
      <c r="S1012" s="46" t="s">
        <v>4088</v>
      </c>
    </row>
    <row r="1013" spans="1:19" ht="42">
      <c r="A1013" s="43">
        <v>1009</v>
      </c>
      <c r="B1013" s="43">
        <v>1009</v>
      </c>
      <c r="C1013" s="43">
        <v>711</v>
      </c>
      <c r="D1013" s="44">
        <v>45661</v>
      </c>
      <c r="E1013" s="45" t="s">
        <v>2642</v>
      </c>
      <c r="F1013" s="46" t="s">
        <v>37</v>
      </c>
      <c r="G1013" s="46" t="s">
        <v>892</v>
      </c>
      <c r="H1013" s="46" t="s">
        <v>1317</v>
      </c>
      <c r="I1013" s="46" t="s">
        <v>522</v>
      </c>
      <c r="J1013" s="46" t="s">
        <v>977</v>
      </c>
      <c r="K1013" s="43">
        <v>2</v>
      </c>
      <c r="L1013" s="43">
        <v>598</v>
      </c>
      <c r="M1013" s="47">
        <v>3.3388981636060101E-3</v>
      </c>
      <c r="N1013" s="47">
        <v>3.9</v>
      </c>
      <c r="O1013" s="46" t="s">
        <v>925</v>
      </c>
      <c r="P1013" s="43">
        <v>442</v>
      </c>
      <c r="Q1013" s="43">
        <v>10</v>
      </c>
      <c r="R1013" s="45" t="s">
        <v>4281</v>
      </c>
      <c r="S1013" s="46" t="s">
        <v>2643</v>
      </c>
    </row>
    <row r="1014" spans="1:19" ht="42">
      <c r="A1014" s="43">
        <v>1010</v>
      </c>
      <c r="B1014" s="43">
        <v>1010</v>
      </c>
      <c r="C1014" s="43">
        <v>679</v>
      </c>
      <c r="D1014" s="44">
        <v>45643</v>
      </c>
      <c r="E1014" s="45" t="s">
        <v>2734</v>
      </c>
      <c r="F1014" s="46" t="s">
        <v>37</v>
      </c>
      <c r="G1014" s="46" t="s">
        <v>885</v>
      </c>
      <c r="H1014" s="46" t="s">
        <v>1317</v>
      </c>
      <c r="I1014" s="46" t="s">
        <v>519</v>
      </c>
      <c r="J1014" s="46" t="s">
        <v>968</v>
      </c>
      <c r="K1014" s="43">
        <v>2</v>
      </c>
      <c r="L1014" s="43">
        <v>616</v>
      </c>
      <c r="M1014" s="47">
        <v>3.2414910858995136E-3</v>
      </c>
      <c r="N1014" s="47">
        <v>3.9</v>
      </c>
      <c r="O1014" s="46" t="s">
        <v>925</v>
      </c>
      <c r="P1014" s="43">
        <v>575</v>
      </c>
      <c r="Q1014" s="43">
        <v>20</v>
      </c>
      <c r="R1014" s="45" t="s">
        <v>4278</v>
      </c>
      <c r="S1014" s="46" t="s">
        <v>2735</v>
      </c>
    </row>
    <row r="1015" spans="1:19" ht="31.5">
      <c r="A1015" s="43">
        <v>1011</v>
      </c>
      <c r="B1015" s="43">
        <v>1007</v>
      </c>
      <c r="C1015" s="43">
        <v>21</v>
      </c>
      <c r="D1015" s="44">
        <v>44565</v>
      </c>
      <c r="E1015" s="45" t="s">
        <v>4111</v>
      </c>
      <c r="F1015" s="46" t="s">
        <v>37</v>
      </c>
      <c r="G1015" s="46" t="s">
        <v>1038</v>
      </c>
      <c r="H1015" s="46" t="s">
        <v>1038</v>
      </c>
      <c r="I1015" s="46" t="s">
        <v>536</v>
      </c>
      <c r="J1015" s="46" t="s">
        <v>977</v>
      </c>
      <c r="K1015" s="43">
        <v>3</v>
      </c>
      <c r="L1015" s="43">
        <v>1694</v>
      </c>
      <c r="M1015" s="47">
        <v>1.7699115044247787E-3</v>
      </c>
      <c r="N1015" s="47">
        <v>3.8</v>
      </c>
      <c r="O1015" s="46" t="s">
        <v>925</v>
      </c>
      <c r="P1015" s="43">
        <v>504</v>
      </c>
      <c r="Q1015" s="43">
        <v>30</v>
      </c>
      <c r="R1015" s="45" t="s">
        <v>4283</v>
      </c>
      <c r="S1015" s="46" t="s">
        <v>4112</v>
      </c>
    </row>
    <row r="1016" spans="1:19" ht="42">
      <c r="A1016" s="43">
        <v>1012</v>
      </c>
      <c r="B1016" s="43">
        <v>1011</v>
      </c>
      <c r="C1016" s="43">
        <v>1034</v>
      </c>
      <c r="D1016" s="44">
        <v>45608</v>
      </c>
      <c r="E1016" s="45" t="s">
        <v>2801</v>
      </c>
      <c r="F1016" s="46" t="s">
        <v>382</v>
      </c>
      <c r="G1016" s="46" t="s">
        <v>878</v>
      </c>
      <c r="H1016" s="46" t="s">
        <v>965</v>
      </c>
      <c r="I1016" s="46" t="s">
        <v>512</v>
      </c>
      <c r="J1016" s="46" t="s">
        <v>968</v>
      </c>
      <c r="K1016" s="43">
        <v>2</v>
      </c>
      <c r="L1016" s="43">
        <v>651</v>
      </c>
      <c r="M1016" s="47">
        <v>3.0674846625766872E-3</v>
      </c>
      <c r="N1016" s="47">
        <v>3.6</v>
      </c>
      <c r="O1016" s="46" t="s">
        <v>925</v>
      </c>
      <c r="P1016" s="43">
        <v>12</v>
      </c>
      <c r="Q1016" s="43">
        <v>10</v>
      </c>
      <c r="R1016" s="45" t="s">
        <v>4281</v>
      </c>
      <c r="S1016" s="46" t="s">
        <v>2802</v>
      </c>
    </row>
    <row r="1017" spans="1:19" ht="42">
      <c r="A1017" s="43">
        <v>1013</v>
      </c>
      <c r="B1017" s="43">
        <v>1012</v>
      </c>
      <c r="C1017" s="43">
        <v>543</v>
      </c>
      <c r="D1017" s="44">
        <v>45465</v>
      </c>
      <c r="E1017" s="45" t="s">
        <v>3102</v>
      </c>
      <c r="F1017" s="46" t="s">
        <v>37</v>
      </c>
      <c r="G1017" s="46" t="s">
        <v>1038</v>
      </c>
      <c r="H1017" s="46" t="s">
        <v>1005</v>
      </c>
      <c r="I1017" s="46" t="s">
        <v>515</v>
      </c>
      <c r="J1017" s="46" t="s">
        <v>968</v>
      </c>
      <c r="K1017" s="43">
        <v>2</v>
      </c>
      <c r="L1017" s="43">
        <v>794</v>
      </c>
      <c r="M1017" s="47">
        <v>2.5157232704402514E-3</v>
      </c>
      <c r="N1017" s="47">
        <v>3.2</v>
      </c>
      <c r="O1017" s="46" t="s">
        <v>925</v>
      </c>
      <c r="P1017" s="43">
        <v>39</v>
      </c>
      <c r="Q1017" s="43">
        <v>20</v>
      </c>
      <c r="R1017" s="45" t="s">
        <v>4275</v>
      </c>
      <c r="S1017" s="46" t="s">
        <v>3103</v>
      </c>
    </row>
    <row r="1018" spans="1:19" ht="42">
      <c r="A1018" s="43">
        <v>1014</v>
      </c>
      <c r="B1018" s="43">
        <v>1013</v>
      </c>
      <c r="C1018" s="43">
        <v>541</v>
      </c>
      <c r="D1018" s="44">
        <v>45459</v>
      </c>
      <c r="E1018" s="45" t="s">
        <v>3108</v>
      </c>
      <c r="F1018" s="46" t="s">
        <v>37</v>
      </c>
      <c r="G1018" s="46" t="s">
        <v>1038</v>
      </c>
      <c r="H1018" s="46" t="s">
        <v>1038</v>
      </c>
      <c r="I1018" s="46" t="s">
        <v>515</v>
      </c>
      <c r="J1018" s="46" t="s">
        <v>977</v>
      </c>
      <c r="K1018" s="43">
        <v>2</v>
      </c>
      <c r="L1018" s="43">
        <v>800</v>
      </c>
      <c r="M1018" s="47">
        <v>2.4968789013732834E-3</v>
      </c>
      <c r="N1018" s="47">
        <v>3.2</v>
      </c>
      <c r="O1018" s="46" t="s">
        <v>925</v>
      </c>
      <c r="P1018" s="43">
        <v>783</v>
      </c>
      <c r="Q1018" s="43">
        <v>20</v>
      </c>
      <c r="R1018" s="45" t="s">
        <v>4278</v>
      </c>
      <c r="S1018" s="46" t="s">
        <v>3109</v>
      </c>
    </row>
    <row r="1019" spans="1:19" ht="42">
      <c r="A1019" s="43">
        <v>1015</v>
      </c>
      <c r="B1019" s="43">
        <v>1014</v>
      </c>
      <c r="C1019" s="43">
        <v>531</v>
      </c>
      <c r="D1019" s="44">
        <v>45457</v>
      </c>
      <c r="E1019" s="45" t="s">
        <v>3126</v>
      </c>
      <c r="F1019" s="46" t="s">
        <v>37</v>
      </c>
      <c r="G1019" s="46" t="s">
        <v>937</v>
      </c>
      <c r="H1019" s="46" t="s">
        <v>965</v>
      </c>
      <c r="I1019" s="46" t="s">
        <v>526</v>
      </c>
      <c r="J1019" s="46" t="s">
        <v>968</v>
      </c>
      <c r="K1019" s="43">
        <v>2</v>
      </c>
      <c r="L1019" s="43">
        <v>802</v>
      </c>
      <c r="M1019" s="47">
        <v>2.4906600249066002E-3</v>
      </c>
      <c r="N1019" s="47">
        <v>3.1</v>
      </c>
      <c r="O1019" s="46" t="s">
        <v>925</v>
      </c>
      <c r="P1019" s="43">
        <v>561</v>
      </c>
      <c r="Q1019" s="43">
        <v>20</v>
      </c>
      <c r="R1019" s="45" t="s">
        <v>4278</v>
      </c>
      <c r="S1019" s="46" t="s">
        <v>3127</v>
      </c>
    </row>
    <row r="1020" spans="1:19" ht="31.5">
      <c r="A1020" s="43">
        <v>1016</v>
      </c>
      <c r="B1020" s="43">
        <v>1015</v>
      </c>
      <c r="C1020" s="43">
        <v>369</v>
      </c>
      <c r="D1020" s="44">
        <v>45303</v>
      </c>
      <c r="E1020" s="45" t="s">
        <v>3459</v>
      </c>
      <c r="F1020" s="46" t="s">
        <v>37</v>
      </c>
      <c r="G1020" s="46" t="s">
        <v>882</v>
      </c>
      <c r="H1020" s="46" t="s">
        <v>965</v>
      </c>
      <c r="I1020" s="46" t="s">
        <v>526</v>
      </c>
      <c r="J1020" s="46" t="s">
        <v>977</v>
      </c>
      <c r="K1020" s="43">
        <v>2</v>
      </c>
      <c r="L1020" s="43">
        <v>956</v>
      </c>
      <c r="M1020" s="47">
        <v>2.0898641588296763E-3</v>
      </c>
      <c r="N1020" s="47">
        <v>2.9</v>
      </c>
      <c r="O1020" s="46" t="s">
        <v>925</v>
      </c>
      <c r="P1020" s="43">
        <v>500</v>
      </c>
      <c r="Q1020" s="43">
        <v>30</v>
      </c>
      <c r="R1020" s="45" t="s">
        <v>4283</v>
      </c>
      <c r="S1020" s="46" t="s">
        <v>3460</v>
      </c>
    </row>
    <row r="1021" spans="1:19" ht="42">
      <c r="A1021" s="43">
        <v>1017</v>
      </c>
      <c r="B1021" s="43">
        <v>1016</v>
      </c>
      <c r="C1021" s="43">
        <v>319</v>
      </c>
      <c r="D1021" s="44">
        <v>45214</v>
      </c>
      <c r="E1021" s="45" t="s">
        <v>3549</v>
      </c>
      <c r="F1021" s="46" t="s">
        <v>37</v>
      </c>
      <c r="G1021" s="46" t="s">
        <v>884</v>
      </c>
      <c r="H1021" s="46" t="s">
        <v>965</v>
      </c>
      <c r="I1021" s="46" t="s">
        <v>512</v>
      </c>
      <c r="J1021" s="46" t="s">
        <v>977</v>
      </c>
      <c r="K1021" s="43">
        <v>2</v>
      </c>
      <c r="L1021" s="43">
        <v>1045</v>
      </c>
      <c r="M1021" s="47">
        <v>1.9120458891013384E-3</v>
      </c>
      <c r="N1021" s="47">
        <v>2.8</v>
      </c>
      <c r="O1021" s="46" t="s">
        <v>925</v>
      </c>
      <c r="P1021" s="43">
        <v>602</v>
      </c>
      <c r="Q1021" s="43">
        <v>20</v>
      </c>
      <c r="R1021" s="45" t="s">
        <v>4278</v>
      </c>
      <c r="S1021" s="46" t="s">
        <v>3550</v>
      </c>
    </row>
    <row r="1022" spans="1:19" ht="31.5">
      <c r="A1022" s="43">
        <v>1018</v>
      </c>
      <c r="B1022" s="43">
        <v>1017</v>
      </c>
      <c r="C1022" s="43">
        <v>395</v>
      </c>
      <c r="D1022" s="44">
        <v>45188</v>
      </c>
      <c r="E1022" s="45" t="s">
        <v>3575</v>
      </c>
      <c r="F1022" s="46" t="s">
        <v>37</v>
      </c>
      <c r="G1022" s="46" t="s">
        <v>878</v>
      </c>
      <c r="H1022" s="46" t="s">
        <v>965</v>
      </c>
      <c r="I1022" s="46" t="s">
        <v>519</v>
      </c>
      <c r="J1022" s="46" t="s">
        <v>968</v>
      </c>
      <c r="K1022" s="43">
        <v>2</v>
      </c>
      <c r="L1022" s="43">
        <v>1071</v>
      </c>
      <c r="M1022" s="47">
        <v>1.8656716417910447E-3</v>
      </c>
      <c r="N1022" s="47">
        <v>2.7</v>
      </c>
      <c r="O1022" s="46" t="s">
        <v>925</v>
      </c>
      <c r="P1022" s="43">
        <v>566</v>
      </c>
      <c r="Q1022" s="43">
        <v>30</v>
      </c>
      <c r="R1022" s="45" t="s">
        <v>4283</v>
      </c>
      <c r="S1022" s="46" t="s">
        <v>3576</v>
      </c>
    </row>
    <row r="1023" spans="1:19" ht="42">
      <c r="A1023" s="43">
        <v>1019</v>
      </c>
      <c r="B1023" s="43">
        <v>1018</v>
      </c>
      <c r="C1023" s="43">
        <v>301</v>
      </c>
      <c r="D1023" s="44">
        <v>45179</v>
      </c>
      <c r="E1023" s="45" t="s">
        <v>3600</v>
      </c>
      <c r="F1023" s="46" t="s">
        <v>37</v>
      </c>
      <c r="G1023" s="46" t="s">
        <v>891</v>
      </c>
      <c r="H1023" s="46" t="s">
        <v>965</v>
      </c>
      <c r="I1023" s="46" t="s">
        <v>533</v>
      </c>
      <c r="J1023" s="46" t="s">
        <v>968</v>
      </c>
      <c r="K1023" s="43">
        <v>2</v>
      </c>
      <c r="L1023" s="43">
        <v>1080</v>
      </c>
      <c r="M1023" s="47">
        <v>1.8501387604070306E-3</v>
      </c>
      <c r="N1023" s="47">
        <v>2.6</v>
      </c>
      <c r="O1023" s="46" t="s">
        <v>925</v>
      </c>
      <c r="P1023" s="43">
        <v>291</v>
      </c>
      <c r="Q1023" s="43">
        <v>10</v>
      </c>
      <c r="R1023" s="45" t="s">
        <v>4281</v>
      </c>
      <c r="S1023" s="46" t="s">
        <v>3601</v>
      </c>
    </row>
    <row r="1024" spans="1:19" ht="42">
      <c r="A1024" s="43">
        <v>1020</v>
      </c>
      <c r="B1024" s="43">
        <v>1019</v>
      </c>
      <c r="C1024" s="43">
        <v>214</v>
      </c>
      <c r="D1024" s="44">
        <v>45094</v>
      </c>
      <c r="E1024" s="45" t="s">
        <v>3735</v>
      </c>
      <c r="F1024" s="46" t="s">
        <v>37</v>
      </c>
      <c r="G1024" s="46" t="s">
        <v>1038</v>
      </c>
      <c r="H1024" s="46" t="s">
        <v>1038</v>
      </c>
      <c r="I1024" s="46" t="s">
        <v>533</v>
      </c>
      <c r="J1024" s="46" t="s">
        <v>968</v>
      </c>
      <c r="K1024" s="43">
        <v>2</v>
      </c>
      <c r="L1024" s="43">
        <v>1165</v>
      </c>
      <c r="M1024" s="47">
        <v>1.7152658662092624E-3</v>
      </c>
      <c r="N1024" s="47">
        <v>2.6</v>
      </c>
      <c r="O1024" s="46" t="s">
        <v>925</v>
      </c>
      <c r="P1024" s="43">
        <v>119</v>
      </c>
      <c r="Q1024" s="43">
        <v>20</v>
      </c>
      <c r="R1024" s="45" t="s">
        <v>4275</v>
      </c>
      <c r="S1024" s="46" t="s">
        <v>3736</v>
      </c>
    </row>
    <row r="1025" spans="1:19" ht="42">
      <c r="A1025" s="43">
        <v>1021</v>
      </c>
      <c r="B1025" s="43">
        <v>1020</v>
      </c>
      <c r="C1025" s="43">
        <v>67</v>
      </c>
      <c r="D1025" s="44">
        <v>44770</v>
      </c>
      <c r="E1025" s="45" t="s">
        <v>3931</v>
      </c>
      <c r="F1025" s="46" t="s">
        <v>37</v>
      </c>
      <c r="G1025" s="46" t="s">
        <v>884</v>
      </c>
      <c r="H1025" s="46" t="s">
        <v>965</v>
      </c>
      <c r="I1025" s="46" t="s">
        <v>526</v>
      </c>
      <c r="J1025" s="46" t="s">
        <v>977</v>
      </c>
      <c r="K1025" s="43">
        <v>2</v>
      </c>
      <c r="L1025" s="43">
        <v>1489</v>
      </c>
      <c r="M1025" s="47">
        <v>1.3422818791946308E-3</v>
      </c>
      <c r="N1025" s="47">
        <v>2.4</v>
      </c>
      <c r="O1025" s="46" t="s">
        <v>925</v>
      </c>
      <c r="P1025" s="43">
        <v>257</v>
      </c>
      <c r="Q1025" s="43">
        <v>10</v>
      </c>
      <c r="R1025" s="45" t="s">
        <v>4281</v>
      </c>
      <c r="S1025" s="46" t="s">
        <v>3932</v>
      </c>
    </row>
    <row r="1026" spans="1:19" ht="42">
      <c r="A1026" s="43">
        <v>1022</v>
      </c>
      <c r="B1026" s="43">
        <v>1021</v>
      </c>
      <c r="C1026" s="43">
        <v>77</v>
      </c>
      <c r="D1026" s="44">
        <v>44730</v>
      </c>
      <c r="E1026" s="45" t="s">
        <v>3970</v>
      </c>
      <c r="F1026" s="46" t="s">
        <v>37</v>
      </c>
      <c r="G1026" s="46" t="s">
        <v>1038</v>
      </c>
      <c r="H1026" s="46" t="s">
        <v>1038</v>
      </c>
      <c r="I1026" s="46" t="s">
        <v>526</v>
      </c>
      <c r="J1026" s="46" t="s">
        <v>977</v>
      </c>
      <c r="K1026" s="43">
        <v>2</v>
      </c>
      <c r="L1026" s="43">
        <v>1529</v>
      </c>
      <c r="M1026" s="47">
        <v>1.30718954248366E-3</v>
      </c>
      <c r="N1026" s="47">
        <v>2.4</v>
      </c>
      <c r="O1026" s="46" t="s">
        <v>925</v>
      </c>
      <c r="P1026" s="43">
        <v>615</v>
      </c>
      <c r="Q1026" s="43">
        <v>20</v>
      </c>
      <c r="R1026" s="45" t="s">
        <v>4278</v>
      </c>
      <c r="S1026" s="46" t="s">
        <v>3971</v>
      </c>
    </row>
    <row r="1027" spans="1:19" ht="42">
      <c r="A1027" s="43">
        <v>1023</v>
      </c>
      <c r="B1027" s="43">
        <v>1022</v>
      </c>
      <c r="C1027" s="43">
        <v>138</v>
      </c>
      <c r="D1027" s="44">
        <v>44714</v>
      </c>
      <c r="E1027" s="45" t="s">
        <v>3997</v>
      </c>
      <c r="F1027" s="46" t="s">
        <v>37</v>
      </c>
      <c r="G1027" s="46" t="s">
        <v>1038</v>
      </c>
      <c r="H1027" s="46" t="s">
        <v>1038</v>
      </c>
      <c r="I1027" s="46" t="s">
        <v>512</v>
      </c>
      <c r="J1027" s="46" t="s">
        <v>968</v>
      </c>
      <c r="K1027" s="43">
        <v>2</v>
      </c>
      <c r="L1027" s="43">
        <v>1545</v>
      </c>
      <c r="M1027" s="47">
        <v>1.29366106080207E-3</v>
      </c>
      <c r="N1027" s="47">
        <v>2.4</v>
      </c>
      <c r="O1027" s="46" t="s">
        <v>925</v>
      </c>
      <c r="P1027" s="43">
        <v>277</v>
      </c>
      <c r="Q1027" s="43">
        <v>20</v>
      </c>
      <c r="R1027" s="45" t="s">
        <v>4275</v>
      </c>
      <c r="S1027" s="46" t="s">
        <v>3998</v>
      </c>
    </row>
    <row r="1028" spans="1:19" ht="42">
      <c r="A1028" s="43">
        <v>1024</v>
      </c>
      <c r="B1028" s="43">
        <v>1023</v>
      </c>
      <c r="C1028" s="43">
        <v>135</v>
      </c>
      <c r="D1028" s="44">
        <v>44680</v>
      </c>
      <c r="E1028" s="45" t="s">
        <v>4030</v>
      </c>
      <c r="F1028" s="46" t="s">
        <v>37</v>
      </c>
      <c r="G1028" s="46" t="s">
        <v>1038</v>
      </c>
      <c r="H1028" s="46" t="s">
        <v>1038</v>
      </c>
      <c r="I1028" s="46" t="s">
        <v>526</v>
      </c>
      <c r="J1028" s="46" t="s">
        <v>977</v>
      </c>
      <c r="K1028" s="43">
        <v>2</v>
      </c>
      <c r="L1028" s="43">
        <v>1579</v>
      </c>
      <c r="M1028" s="47">
        <v>1.2658227848101266E-3</v>
      </c>
      <c r="N1028" s="47">
        <v>2.2999999999999998</v>
      </c>
      <c r="O1028" s="46" t="s">
        <v>925</v>
      </c>
      <c r="P1028" s="43">
        <v>605</v>
      </c>
      <c r="Q1028" s="43">
        <v>20</v>
      </c>
      <c r="R1028" s="45" t="s">
        <v>4278</v>
      </c>
      <c r="S1028" s="46" t="s">
        <v>4031</v>
      </c>
    </row>
    <row r="1029" spans="1:19" ht="42">
      <c r="A1029" s="43">
        <v>1025</v>
      </c>
      <c r="B1029" s="43">
        <v>1025</v>
      </c>
      <c r="C1029" s="43">
        <v>627</v>
      </c>
      <c r="D1029" s="44">
        <v>45575</v>
      </c>
      <c r="E1029" s="45" t="s">
        <v>2874</v>
      </c>
      <c r="F1029" s="46" t="s">
        <v>37</v>
      </c>
      <c r="G1029" s="46" t="s">
        <v>884</v>
      </c>
      <c r="H1029" s="46" t="s">
        <v>965</v>
      </c>
      <c r="I1029" s="46" t="s">
        <v>512</v>
      </c>
      <c r="J1029" s="46" t="s">
        <v>977</v>
      </c>
      <c r="K1029" s="43">
        <v>1</v>
      </c>
      <c r="L1029" s="43">
        <v>684</v>
      </c>
      <c r="M1029" s="47">
        <v>1.4598540145985401E-3</v>
      </c>
      <c r="N1029" s="47">
        <v>1.7</v>
      </c>
      <c r="O1029" s="46" t="s">
        <v>925</v>
      </c>
      <c r="P1029" s="43">
        <v>257</v>
      </c>
      <c r="Q1029" s="43">
        <v>10</v>
      </c>
      <c r="R1029" s="45" t="s">
        <v>4281</v>
      </c>
      <c r="S1029" s="46" t="s">
        <v>2875</v>
      </c>
    </row>
    <row r="1030" spans="1:19" ht="42">
      <c r="A1030" s="43">
        <v>1026</v>
      </c>
      <c r="B1030" s="43">
        <v>1026</v>
      </c>
      <c r="C1030" s="43">
        <v>608</v>
      </c>
      <c r="D1030" s="44">
        <v>45560</v>
      </c>
      <c r="E1030" s="45" t="s">
        <v>2958</v>
      </c>
      <c r="F1030" s="46" t="s">
        <v>37</v>
      </c>
      <c r="G1030" s="46" t="s">
        <v>884</v>
      </c>
      <c r="H1030" s="46" t="s">
        <v>965</v>
      </c>
      <c r="I1030" s="46" t="s">
        <v>530</v>
      </c>
      <c r="J1030" s="46" t="s">
        <v>977</v>
      </c>
      <c r="K1030" s="43">
        <v>1</v>
      </c>
      <c r="L1030" s="43">
        <v>699</v>
      </c>
      <c r="M1030" s="47">
        <v>1.4285714285714286E-3</v>
      </c>
      <c r="N1030" s="47">
        <v>1.7</v>
      </c>
      <c r="O1030" s="46" t="s">
        <v>925</v>
      </c>
      <c r="P1030" s="43">
        <v>271</v>
      </c>
      <c r="Q1030" s="43">
        <v>10</v>
      </c>
      <c r="R1030" s="45" t="s">
        <v>4281</v>
      </c>
      <c r="S1030" s="46" t="s">
        <v>2959</v>
      </c>
    </row>
    <row r="1031" spans="1:19" ht="42">
      <c r="A1031" s="43">
        <v>1027</v>
      </c>
      <c r="B1031" s="43">
        <v>1027</v>
      </c>
      <c r="C1031" s="43">
        <v>526</v>
      </c>
      <c r="D1031" s="44">
        <v>45438</v>
      </c>
      <c r="E1031" s="45" t="s">
        <v>3150</v>
      </c>
      <c r="F1031" s="46" t="s">
        <v>37</v>
      </c>
      <c r="G1031" s="46" t="s">
        <v>903</v>
      </c>
      <c r="H1031" s="46" t="s">
        <v>965</v>
      </c>
      <c r="I1031" s="46" t="s">
        <v>512</v>
      </c>
      <c r="J1031" s="46" t="s">
        <v>977</v>
      </c>
      <c r="K1031" s="43">
        <v>1</v>
      </c>
      <c r="L1031" s="43">
        <v>821</v>
      </c>
      <c r="M1031" s="47">
        <v>1.2165450121654502E-3</v>
      </c>
      <c r="N1031" s="47">
        <v>1.5</v>
      </c>
      <c r="O1031" s="46" t="s">
        <v>925</v>
      </c>
      <c r="P1031" s="43">
        <v>1021</v>
      </c>
      <c r="Q1031" s="43">
        <v>20</v>
      </c>
      <c r="R1031" s="45" t="s">
        <v>4278</v>
      </c>
      <c r="S1031" s="46" t="s">
        <v>3151</v>
      </c>
    </row>
    <row r="1032" spans="1:19" ht="42">
      <c r="A1032" s="43">
        <v>1028</v>
      </c>
      <c r="B1032" s="43">
        <v>1028</v>
      </c>
      <c r="C1032" s="43">
        <v>487</v>
      </c>
      <c r="D1032" s="44">
        <v>45382</v>
      </c>
      <c r="E1032" s="45" t="s">
        <v>3230</v>
      </c>
      <c r="F1032" s="46" t="s">
        <v>37</v>
      </c>
      <c r="G1032" s="46" t="s">
        <v>909</v>
      </c>
      <c r="H1032" s="46" t="s">
        <v>965</v>
      </c>
      <c r="I1032" s="46" t="s">
        <v>526</v>
      </c>
      <c r="J1032" s="46" t="s">
        <v>977</v>
      </c>
      <c r="K1032" s="43">
        <v>1</v>
      </c>
      <c r="L1032" s="43">
        <v>877</v>
      </c>
      <c r="M1032" s="47">
        <v>1.1389521640091116E-3</v>
      </c>
      <c r="N1032" s="47">
        <v>1.5</v>
      </c>
      <c r="O1032" s="46" t="s">
        <v>925</v>
      </c>
      <c r="P1032" s="43">
        <v>478</v>
      </c>
      <c r="Q1032" s="43">
        <v>20</v>
      </c>
      <c r="R1032" s="45" t="s">
        <v>4275</v>
      </c>
      <c r="S1032" s="46" t="s">
        <v>3231</v>
      </c>
    </row>
    <row r="1033" spans="1:19" ht="42">
      <c r="A1033" s="43">
        <v>1029</v>
      </c>
      <c r="B1033" s="43">
        <v>1029</v>
      </c>
      <c r="C1033" s="43">
        <v>343</v>
      </c>
      <c r="D1033" s="44">
        <v>45270</v>
      </c>
      <c r="E1033" s="45" t="s">
        <v>3504</v>
      </c>
      <c r="F1033" s="46" t="s">
        <v>37</v>
      </c>
      <c r="G1033" s="46" t="s">
        <v>1038</v>
      </c>
      <c r="H1033" s="46" t="s">
        <v>1038</v>
      </c>
      <c r="I1033" s="46" t="s">
        <v>515</v>
      </c>
      <c r="J1033" s="46" t="s">
        <v>968</v>
      </c>
      <c r="K1033" s="43">
        <v>1</v>
      </c>
      <c r="L1033" s="43">
        <v>989</v>
      </c>
      <c r="M1033" s="47">
        <v>1.0101010101010101E-3</v>
      </c>
      <c r="N1033" s="47">
        <v>1.4</v>
      </c>
      <c r="O1033" s="46" t="s">
        <v>925</v>
      </c>
      <c r="P1033" s="43">
        <v>322</v>
      </c>
      <c r="Q1033" s="43">
        <v>10</v>
      </c>
      <c r="R1033" s="45" t="s">
        <v>4281</v>
      </c>
      <c r="S1033" s="46" t="s">
        <v>3505</v>
      </c>
    </row>
    <row r="1034" spans="1:19" ht="42">
      <c r="A1034" s="43">
        <v>1030</v>
      </c>
      <c r="B1034" s="43">
        <v>1030</v>
      </c>
      <c r="C1034" s="43">
        <v>198</v>
      </c>
      <c r="D1034" s="44">
        <v>45089</v>
      </c>
      <c r="E1034" s="45" t="s">
        <v>3762</v>
      </c>
      <c r="F1034" s="46" t="s">
        <v>37</v>
      </c>
      <c r="G1034" s="46" t="s">
        <v>1038</v>
      </c>
      <c r="H1034" s="46" t="s">
        <v>1005</v>
      </c>
      <c r="I1034" s="46" t="s">
        <v>519</v>
      </c>
      <c r="J1034" s="46" t="s">
        <v>968</v>
      </c>
      <c r="K1034" s="43">
        <v>1</v>
      </c>
      <c r="L1034" s="43">
        <v>1170</v>
      </c>
      <c r="M1034" s="47">
        <v>8.5397096498719043E-4</v>
      </c>
      <c r="N1034" s="47">
        <v>1.4</v>
      </c>
      <c r="O1034" s="46" t="s">
        <v>925</v>
      </c>
      <c r="P1034" s="43">
        <v>134</v>
      </c>
      <c r="Q1034" s="43">
        <v>20</v>
      </c>
      <c r="R1034" s="45" t="s">
        <v>4275</v>
      </c>
      <c r="S1034" s="46" t="s">
        <v>3763</v>
      </c>
    </row>
    <row r="1035" spans="1:19" ht="42">
      <c r="A1035" s="43">
        <v>1031</v>
      </c>
      <c r="B1035" s="43">
        <v>1031</v>
      </c>
      <c r="C1035" s="43">
        <v>153</v>
      </c>
      <c r="D1035" s="44">
        <v>44978</v>
      </c>
      <c r="E1035" s="45" t="s">
        <v>3855</v>
      </c>
      <c r="F1035" s="46" t="s">
        <v>37</v>
      </c>
      <c r="G1035" s="46" t="s">
        <v>882</v>
      </c>
      <c r="H1035" s="46" t="s">
        <v>965</v>
      </c>
      <c r="I1035" s="46" t="s">
        <v>512</v>
      </c>
      <c r="J1035" s="46" t="s">
        <v>977</v>
      </c>
      <c r="K1035" s="43">
        <v>1</v>
      </c>
      <c r="L1035" s="43">
        <v>1281</v>
      </c>
      <c r="M1035" s="47">
        <v>7.8003120124804995E-4</v>
      </c>
      <c r="N1035" s="47">
        <v>1.4</v>
      </c>
      <c r="O1035" s="46" t="s">
        <v>925</v>
      </c>
      <c r="P1035" s="43">
        <v>17</v>
      </c>
      <c r="Q1035" s="43">
        <v>10</v>
      </c>
      <c r="R1035" s="45" t="s">
        <v>4281</v>
      </c>
      <c r="S1035" s="46" t="s">
        <v>3856</v>
      </c>
    </row>
    <row r="1036" spans="1:19" ht="42">
      <c r="A1036" s="43">
        <v>1032</v>
      </c>
      <c r="B1036" s="43">
        <v>1032</v>
      </c>
      <c r="C1036" s="43">
        <v>150</v>
      </c>
      <c r="D1036" s="44">
        <v>44934</v>
      </c>
      <c r="E1036" s="45" t="s">
        <v>3892</v>
      </c>
      <c r="F1036" s="46" t="s">
        <v>37</v>
      </c>
      <c r="G1036" s="46" t="s">
        <v>878</v>
      </c>
      <c r="H1036" s="46" t="s">
        <v>965</v>
      </c>
      <c r="I1036" s="46" t="s">
        <v>512</v>
      </c>
      <c r="J1036" s="46" t="s">
        <v>977</v>
      </c>
      <c r="K1036" s="43">
        <v>1</v>
      </c>
      <c r="L1036" s="43">
        <v>1325</v>
      </c>
      <c r="M1036" s="47">
        <v>7.5414781297134241E-4</v>
      </c>
      <c r="N1036" s="47">
        <v>1.3</v>
      </c>
      <c r="O1036" s="46" t="s">
        <v>925</v>
      </c>
      <c r="P1036" s="43">
        <v>460</v>
      </c>
      <c r="Q1036" s="43">
        <v>10</v>
      </c>
      <c r="R1036" s="45" t="s">
        <v>4281</v>
      </c>
      <c r="S1036" s="46" t="s">
        <v>3893</v>
      </c>
    </row>
    <row r="1037" spans="1:19" ht="31.5">
      <c r="A1037" s="43">
        <v>1033</v>
      </c>
      <c r="B1037" s="43">
        <v>1033</v>
      </c>
      <c r="C1037" s="43">
        <v>75</v>
      </c>
      <c r="D1037" s="44">
        <v>44729</v>
      </c>
      <c r="E1037" s="45" t="s">
        <v>3976</v>
      </c>
      <c r="F1037" s="46" t="s">
        <v>37</v>
      </c>
      <c r="G1037" s="46" t="s">
        <v>878</v>
      </c>
      <c r="H1037" s="46" t="s">
        <v>965</v>
      </c>
      <c r="I1037" s="46" t="s">
        <v>526</v>
      </c>
      <c r="J1037" s="46" t="s">
        <v>977</v>
      </c>
      <c r="K1037" s="43">
        <v>1</v>
      </c>
      <c r="L1037" s="43">
        <v>1530</v>
      </c>
      <c r="M1037" s="47">
        <v>6.5316786414108428E-4</v>
      </c>
      <c r="N1037" s="47">
        <v>1.3</v>
      </c>
      <c r="O1037" s="46" t="s">
        <v>925</v>
      </c>
      <c r="P1037" s="43">
        <v>168</v>
      </c>
      <c r="Q1037" s="43">
        <v>30</v>
      </c>
      <c r="R1037" s="45" t="s">
        <v>4279</v>
      </c>
      <c r="S1037" s="46" t="s">
        <v>3977</v>
      </c>
    </row>
    <row r="1038" spans="1:19" ht="42">
      <c r="A1038" s="43">
        <v>1034</v>
      </c>
      <c r="B1038" s="43">
        <v>1034</v>
      </c>
      <c r="C1038" s="43">
        <v>505</v>
      </c>
      <c r="D1038" s="44">
        <v>44560</v>
      </c>
      <c r="E1038" s="45" t="s">
        <v>4114</v>
      </c>
      <c r="F1038" s="46" t="s">
        <v>37</v>
      </c>
      <c r="G1038" s="46" t="s">
        <v>878</v>
      </c>
      <c r="H1038" s="46" t="s">
        <v>965</v>
      </c>
      <c r="I1038" s="46" t="s">
        <v>515</v>
      </c>
      <c r="J1038" s="46" t="s">
        <v>977</v>
      </c>
      <c r="K1038" s="43">
        <v>1</v>
      </c>
      <c r="L1038" s="43">
        <v>1699</v>
      </c>
      <c r="M1038" s="47">
        <v>5.8823529411764701E-4</v>
      </c>
      <c r="N1038" s="47">
        <v>1.2</v>
      </c>
      <c r="O1038" s="46" t="s">
        <v>925</v>
      </c>
      <c r="P1038" s="43">
        <v>190</v>
      </c>
      <c r="Q1038" s="43">
        <v>20</v>
      </c>
      <c r="R1038" s="45" t="s">
        <v>4275</v>
      </c>
      <c r="S1038" s="46" t="s">
        <v>4115</v>
      </c>
    </row>
    <row r="1039" spans="1:19" ht="42">
      <c r="A1039" s="43">
        <v>1035</v>
      </c>
      <c r="B1039" s="43">
        <v>1035</v>
      </c>
      <c r="C1039" s="43">
        <v>1148</v>
      </c>
      <c r="D1039" s="44">
        <v>46009</v>
      </c>
      <c r="E1039" s="45" t="s">
        <v>2010</v>
      </c>
      <c r="F1039" s="46" t="s">
        <v>360</v>
      </c>
      <c r="G1039" s="46" t="s">
        <v>878</v>
      </c>
      <c r="H1039" s="46" t="s">
        <v>965</v>
      </c>
      <c r="I1039" s="46" t="s">
        <v>512</v>
      </c>
      <c r="J1039" s="46" t="s">
        <v>968</v>
      </c>
      <c r="K1039" s="43">
        <v>0</v>
      </c>
      <c r="L1039" s="43">
        <v>250</v>
      </c>
      <c r="M1039" s="47">
        <v>0</v>
      </c>
      <c r="N1039" s="47">
        <v>0.4</v>
      </c>
      <c r="O1039" s="46" t="s">
        <v>925</v>
      </c>
      <c r="P1039" s="43">
        <v>300</v>
      </c>
      <c r="Q1039" s="43">
        <v>20</v>
      </c>
      <c r="R1039" s="45" t="s">
        <v>4275</v>
      </c>
      <c r="S1039" s="46" t="s">
        <v>2011</v>
      </c>
    </row>
    <row r="1040" spans="1:19" ht="42">
      <c r="A1040" s="43">
        <v>1036</v>
      </c>
      <c r="B1040" s="43">
        <v>1036</v>
      </c>
      <c r="C1040" s="43">
        <v>1137</v>
      </c>
      <c r="D1040" s="44">
        <v>45987</v>
      </c>
      <c r="E1040" s="45" t="s">
        <v>2044</v>
      </c>
      <c r="F1040" s="46" t="s">
        <v>360</v>
      </c>
      <c r="G1040" s="46" t="s">
        <v>887</v>
      </c>
      <c r="H1040" s="46" t="s">
        <v>965</v>
      </c>
      <c r="I1040" s="46" t="s">
        <v>519</v>
      </c>
      <c r="J1040" s="46" t="s">
        <v>968</v>
      </c>
      <c r="K1040" s="43">
        <v>0</v>
      </c>
      <c r="L1040" s="43">
        <v>272</v>
      </c>
      <c r="M1040" s="47">
        <v>0</v>
      </c>
      <c r="N1040" s="47">
        <v>0.4</v>
      </c>
      <c r="O1040" s="46" t="s">
        <v>925</v>
      </c>
      <c r="P1040" s="43">
        <v>281</v>
      </c>
      <c r="Q1040" s="43">
        <v>10</v>
      </c>
      <c r="R1040" s="45" t="s">
        <v>4281</v>
      </c>
      <c r="S1040" s="46" t="s">
        <v>2045</v>
      </c>
    </row>
    <row r="1041" spans="1:19" ht="42">
      <c r="A1041" s="43">
        <v>1037</v>
      </c>
      <c r="B1041" s="43">
        <v>1037</v>
      </c>
      <c r="C1041" s="43">
        <v>1135</v>
      </c>
      <c r="D1041" s="44">
        <v>45986</v>
      </c>
      <c r="E1041" s="45" t="s">
        <v>2050</v>
      </c>
      <c r="F1041" s="46" t="s">
        <v>360</v>
      </c>
      <c r="G1041" s="46" t="s">
        <v>882</v>
      </c>
      <c r="H1041" s="46" t="s">
        <v>1317</v>
      </c>
      <c r="I1041" s="46" t="s">
        <v>512</v>
      </c>
      <c r="J1041" s="46" t="s">
        <v>977</v>
      </c>
      <c r="K1041" s="43">
        <v>0</v>
      </c>
      <c r="L1041" s="43">
        <v>273</v>
      </c>
      <c r="M1041" s="47">
        <v>0</v>
      </c>
      <c r="N1041" s="47">
        <v>0.4</v>
      </c>
      <c r="O1041" s="46" t="s">
        <v>925</v>
      </c>
      <c r="P1041" s="43">
        <v>248</v>
      </c>
      <c r="Q1041" s="43">
        <v>10</v>
      </c>
      <c r="R1041" s="45" t="s">
        <v>4281</v>
      </c>
      <c r="S1041" s="46" t="s">
        <v>2051</v>
      </c>
    </row>
    <row r="1042" spans="1:19" ht="42">
      <c r="A1042" s="43">
        <v>1038</v>
      </c>
      <c r="B1042" s="43">
        <v>1038</v>
      </c>
      <c r="C1042" s="43">
        <v>1116</v>
      </c>
      <c r="D1042" s="44">
        <v>45931</v>
      </c>
      <c r="E1042" s="45" t="s">
        <v>2113</v>
      </c>
      <c r="F1042" s="46" t="s">
        <v>360</v>
      </c>
      <c r="G1042" s="46" t="s">
        <v>1038</v>
      </c>
      <c r="H1042" s="46" t="s">
        <v>1038</v>
      </c>
      <c r="I1042" s="46" t="s">
        <v>512</v>
      </c>
      <c r="J1042" s="46" t="s">
        <v>968</v>
      </c>
      <c r="K1042" s="43">
        <v>0</v>
      </c>
      <c r="L1042" s="43">
        <v>328</v>
      </c>
      <c r="M1042" s="47">
        <v>0</v>
      </c>
      <c r="N1042" s="47">
        <v>0.4</v>
      </c>
      <c r="O1042" s="46" t="s">
        <v>925</v>
      </c>
      <c r="P1042" s="43">
        <v>168</v>
      </c>
      <c r="Q1042" s="43">
        <v>10</v>
      </c>
      <c r="R1042" s="45" t="s">
        <v>4281</v>
      </c>
      <c r="S1042" s="46" t="s">
        <v>2114</v>
      </c>
    </row>
    <row r="1043" spans="1:19" ht="42">
      <c r="A1043" s="43">
        <v>1039</v>
      </c>
      <c r="B1043" s="43">
        <v>1039</v>
      </c>
      <c r="C1043" s="43">
        <v>962</v>
      </c>
      <c r="D1043" s="44">
        <v>45891</v>
      </c>
      <c r="E1043" s="45" t="s">
        <v>2210</v>
      </c>
      <c r="F1043" s="46" t="s">
        <v>371</v>
      </c>
      <c r="G1043" s="46" t="s">
        <v>885</v>
      </c>
      <c r="H1043" s="46" t="s">
        <v>1317</v>
      </c>
      <c r="I1043" s="46" t="s">
        <v>526</v>
      </c>
      <c r="J1043" s="46" t="s">
        <v>977</v>
      </c>
      <c r="K1043" s="43">
        <v>0</v>
      </c>
      <c r="L1043" s="43">
        <v>368</v>
      </c>
      <c r="M1043" s="47">
        <v>0</v>
      </c>
      <c r="N1043" s="47">
        <v>0.4</v>
      </c>
      <c r="O1043" s="46" t="s">
        <v>925</v>
      </c>
      <c r="P1043" s="43">
        <v>438</v>
      </c>
      <c r="Q1043" s="43">
        <v>20</v>
      </c>
      <c r="R1043" s="45" t="s">
        <v>4275</v>
      </c>
      <c r="S1043" s="46" t="s">
        <v>2211</v>
      </c>
    </row>
    <row r="1044" spans="1:19" ht="42">
      <c r="A1044" s="43">
        <v>1040</v>
      </c>
      <c r="B1044" s="43">
        <v>1040</v>
      </c>
      <c r="C1044" s="43">
        <v>769</v>
      </c>
      <c r="D1044" s="44">
        <v>45864</v>
      </c>
      <c r="E1044" s="45" t="s">
        <v>2253</v>
      </c>
      <c r="F1044" s="46" t="s">
        <v>37</v>
      </c>
      <c r="G1044" s="46" t="s">
        <v>878</v>
      </c>
      <c r="H1044" s="46" t="s">
        <v>965</v>
      </c>
      <c r="I1044" s="46" t="s">
        <v>530</v>
      </c>
      <c r="J1044" s="46" t="s">
        <v>977</v>
      </c>
      <c r="K1044" s="43">
        <v>0</v>
      </c>
      <c r="L1044" s="43">
        <v>395</v>
      </c>
      <c r="M1044" s="47">
        <v>0</v>
      </c>
      <c r="N1044" s="47">
        <v>0.4</v>
      </c>
      <c r="O1044" s="46" t="s">
        <v>925</v>
      </c>
      <c r="P1044" s="43">
        <v>343</v>
      </c>
      <c r="Q1044" s="43">
        <v>10</v>
      </c>
      <c r="R1044" s="45" t="s">
        <v>4281</v>
      </c>
      <c r="S1044" s="46" t="s">
        <v>2254</v>
      </c>
    </row>
    <row r="1045" spans="1:19" ht="42">
      <c r="A1045" s="43">
        <v>1041</v>
      </c>
      <c r="B1045" s="43">
        <v>1041</v>
      </c>
      <c r="C1045" s="43">
        <v>378</v>
      </c>
      <c r="D1045" s="44">
        <v>45303</v>
      </c>
      <c r="E1045" s="45" t="s">
        <v>3432</v>
      </c>
      <c r="F1045" s="46" t="s">
        <v>37</v>
      </c>
      <c r="G1045" s="46" t="s">
        <v>1038</v>
      </c>
      <c r="H1045" s="46" t="s">
        <v>1038</v>
      </c>
      <c r="I1045" s="46" t="s">
        <v>512</v>
      </c>
      <c r="J1045" s="46" t="s">
        <v>977</v>
      </c>
      <c r="K1045" s="43">
        <v>0</v>
      </c>
      <c r="L1045" s="43">
        <v>956</v>
      </c>
      <c r="M1045" s="47">
        <v>0</v>
      </c>
      <c r="N1045" s="47">
        <v>0.4</v>
      </c>
      <c r="O1045" s="46" t="s">
        <v>925</v>
      </c>
      <c r="P1045" s="43">
        <v>15</v>
      </c>
      <c r="Q1045" s="43">
        <v>20</v>
      </c>
      <c r="R1045" s="45" t="s">
        <v>4275</v>
      </c>
      <c r="S1045" s="46" t="s">
        <v>3433</v>
      </c>
    </row>
    <row r="1046" spans="1:19" ht="42">
      <c r="A1046" s="43">
        <v>1042</v>
      </c>
      <c r="B1046" s="43">
        <v>1042</v>
      </c>
      <c r="C1046" s="43">
        <v>244</v>
      </c>
      <c r="D1046" s="44">
        <v>45140</v>
      </c>
      <c r="E1046" s="45" t="s">
        <v>3684</v>
      </c>
      <c r="F1046" s="46" t="s">
        <v>37</v>
      </c>
      <c r="G1046" s="46" t="s">
        <v>885</v>
      </c>
      <c r="H1046" s="46" t="s">
        <v>965</v>
      </c>
      <c r="I1046" s="46" t="s">
        <v>533</v>
      </c>
      <c r="J1046" s="46" t="s">
        <v>968</v>
      </c>
      <c r="K1046" s="43">
        <v>0</v>
      </c>
      <c r="L1046" s="43">
        <v>1119</v>
      </c>
      <c r="M1046" s="47">
        <v>0</v>
      </c>
      <c r="N1046" s="47">
        <v>0.4</v>
      </c>
      <c r="O1046" s="46" t="s">
        <v>925</v>
      </c>
      <c r="P1046" s="43">
        <v>70</v>
      </c>
      <c r="Q1046" s="43">
        <v>10</v>
      </c>
      <c r="R1046" s="45" t="s">
        <v>4281</v>
      </c>
      <c r="S1046" s="46" t="s">
        <v>3685</v>
      </c>
    </row>
    <row r="1047" spans="1:19" ht="42">
      <c r="A1047" s="43">
        <v>1043</v>
      </c>
      <c r="B1047" s="43">
        <v>1043</v>
      </c>
      <c r="C1047" s="43">
        <v>103</v>
      </c>
      <c r="D1047" s="44">
        <v>44925</v>
      </c>
      <c r="E1047" s="45" t="s">
        <v>3904</v>
      </c>
      <c r="F1047" s="46" t="s">
        <v>37</v>
      </c>
      <c r="G1047" s="46" t="s">
        <v>884</v>
      </c>
      <c r="H1047" s="46" t="s">
        <v>965</v>
      </c>
      <c r="I1047" s="46" t="s">
        <v>526</v>
      </c>
      <c r="J1047" s="46" t="s">
        <v>977</v>
      </c>
      <c r="K1047" s="43">
        <v>0</v>
      </c>
      <c r="L1047" s="43">
        <v>1334</v>
      </c>
      <c r="M1047" s="47">
        <v>0</v>
      </c>
      <c r="N1047" s="47">
        <v>0.4</v>
      </c>
      <c r="O1047" s="46" t="s">
        <v>925</v>
      </c>
      <c r="P1047" s="43">
        <v>184</v>
      </c>
      <c r="Q1047" s="43">
        <v>10</v>
      </c>
      <c r="R1047" s="45" t="s">
        <v>4281</v>
      </c>
      <c r="S1047" s="46" t="s">
        <v>3905</v>
      </c>
    </row>
    <row r="1048" spans="1:19" ht="42">
      <c r="A1048" s="43">
        <v>1044</v>
      </c>
      <c r="B1048" s="43">
        <v>1044</v>
      </c>
      <c r="C1048" s="43">
        <v>145</v>
      </c>
      <c r="D1048" s="44">
        <v>44869</v>
      </c>
      <c r="E1048" s="45" t="s">
        <v>3922</v>
      </c>
      <c r="F1048" s="46" t="s">
        <v>37</v>
      </c>
      <c r="G1048" s="46" t="s">
        <v>887</v>
      </c>
      <c r="H1048" s="46" t="s">
        <v>965</v>
      </c>
      <c r="I1048" s="46" t="s">
        <v>519</v>
      </c>
      <c r="J1048" s="46" t="s">
        <v>968</v>
      </c>
      <c r="K1048" s="43">
        <v>0</v>
      </c>
      <c r="L1048" s="43">
        <v>1390</v>
      </c>
      <c r="M1048" s="47">
        <v>0</v>
      </c>
      <c r="N1048" s="47">
        <v>0.4</v>
      </c>
      <c r="O1048" s="46" t="s">
        <v>925</v>
      </c>
      <c r="P1048" s="43">
        <v>428</v>
      </c>
      <c r="Q1048" s="43">
        <v>10</v>
      </c>
      <c r="R1048" s="45" t="s">
        <v>4281</v>
      </c>
      <c r="S1048" s="46" t="s">
        <v>3923</v>
      </c>
    </row>
  </sheetData>
  <mergeCells count="2">
    <mergeCell ref="A1:S1"/>
    <mergeCell ref="A2:S2"/>
  </mergeCells>
  <conditionalFormatting sqref="K5:K1048">
    <cfRule type="dataBar" priority="1">
      <dataBar>
        <cfvo type="min"/>
        <cfvo type="max"/>
        <color rgb="FF354E84"/>
      </dataBar>
    </cfRule>
    <cfRule type="dataBar" priority="5">
      <dataBar>
        <cfvo type="min"/>
        <cfvo type="max"/>
        <color rgb="FF354E84"/>
      </dataBar>
      <extLst>
        <ext xmlns:x14="http://schemas.microsoft.com/office/spreadsheetml/2009/9/main" uri="{B025F937-C7B1-47D3-B67F-A62EFF666E3E}">
          <x14:id>{951CADF9-10AC-5D80-079F-43406E701FA0}</x14:id>
        </ext>
      </extLst>
    </cfRule>
  </conditionalFormatting>
  <conditionalFormatting sqref="N5:N1048">
    <cfRule type="colorScale" priority="2">
      <colorScale>
        <cfvo type="min"/>
        <cfvo type="percentile" val="50"/>
        <cfvo type="max"/>
        <color rgb="FFFDECEC"/>
        <color rgb="FFFFF4D6"/>
        <color rgb="FFD9F2D9"/>
      </colorScale>
    </cfRule>
  </conditionalFormatting>
  <conditionalFormatting sqref="O5:O1048">
    <cfRule type="containsText" dxfId="0" priority="4" operator="containsText" text="Très fort"/>
  </conditionalFormatting>
  <conditionalFormatting sqref="Q5:Q1048">
    <cfRule type="colorScale" priority="3">
      <colorScale>
        <cfvo type="min"/>
        <cfvo type="percentile" val="50"/>
        <cfvo type="max"/>
        <color rgb="FFFDECEC"/>
        <color rgb="FFFFF4D6"/>
        <color rgb="FFD9F2D9"/>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51CADF9-10AC-5D80-079F-43406E701FA0}">
            <x14:dataBar>
              <x14:cfvo type="min"/>
              <x14:cfvo type="max"/>
              <x14:negativeFillColor auto="1"/>
              <x14:axisColor auto="1"/>
            </x14:dataBar>
          </x14:cfRule>
          <xm:sqref>K5:K1048</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3"/>
  <sheetViews>
    <sheetView showGridLines="0" zoomScale="80" zoomScaleNormal="80" workbookViewId="0">
      <selection sqref="A1:N1"/>
    </sheetView>
  </sheetViews>
  <sheetFormatPr defaultRowHeight="14"/>
  <cols>
    <col min="1" max="1" width="30.58203125" customWidth="1"/>
    <col min="2" max="4" width="10" customWidth="1"/>
    <col min="5" max="5" width="2.75" customWidth="1"/>
    <col min="6" max="7" width="10.58203125" customWidth="1"/>
    <col min="8" max="8" width="2.75" customWidth="1"/>
    <col min="9" max="11" width="10.58203125" customWidth="1"/>
    <col min="12" max="12" width="2.75" customWidth="1"/>
    <col min="13" max="14" width="11.08203125" customWidth="1"/>
  </cols>
  <sheetData>
    <row r="1" spans="1:14" ht="23">
      <c r="A1" s="113" t="s">
        <v>4299</v>
      </c>
      <c r="B1" s="113"/>
      <c r="C1" s="113"/>
      <c r="D1" s="113"/>
      <c r="E1" s="113"/>
      <c r="F1" s="113"/>
      <c r="G1" s="113"/>
      <c r="H1" s="113"/>
      <c r="I1" s="113"/>
      <c r="J1" s="113"/>
      <c r="K1" s="113"/>
      <c r="L1" s="113"/>
      <c r="M1" s="113"/>
      <c r="N1" s="113"/>
    </row>
    <row r="2" spans="1:14">
      <c r="A2" s="114" t="s">
        <v>4300</v>
      </c>
      <c r="B2" s="114"/>
      <c r="C2" s="114"/>
      <c r="D2" s="114"/>
      <c r="E2" s="114"/>
      <c r="F2" s="114"/>
      <c r="G2" s="114"/>
      <c r="H2" s="114"/>
      <c r="I2" s="114"/>
      <c r="J2" s="114"/>
      <c r="K2" s="114"/>
      <c r="L2" s="114"/>
      <c r="M2" s="114"/>
      <c r="N2" s="114"/>
    </row>
    <row r="3" spans="1:14">
      <c r="A3" s="11"/>
      <c r="B3" s="11"/>
      <c r="C3" s="11"/>
      <c r="D3" s="11"/>
      <c r="E3" s="11"/>
      <c r="F3" s="11"/>
      <c r="G3" s="11"/>
      <c r="H3" s="11"/>
      <c r="I3" s="11"/>
      <c r="J3" s="11"/>
      <c r="K3" s="11"/>
      <c r="L3" s="11"/>
      <c r="M3" s="11"/>
      <c r="N3" s="11"/>
    </row>
    <row r="4" spans="1:14">
      <c r="A4" s="251">
        <v>21.829501915708811</v>
      </c>
      <c r="B4" s="252"/>
      <c r="C4" s="253"/>
      <c r="D4" s="11"/>
      <c r="E4" s="260">
        <v>8.9080459770114945E-2</v>
      </c>
      <c r="F4" s="261"/>
      <c r="G4" s="262"/>
      <c r="H4" s="11"/>
      <c r="I4" s="216">
        <v>9.9616858237547887E-2</v>
      </c>
      <c r="J4" s="217"/>
      <c r="K4" s="218"/>
      <c r="L4" s="11"/>
      <c r="M4" s="269">
        <v>0.99712643678160917</v>
      </c>
      <c r="N4" s="270"/>
    </row>
    <row r="5" spans="1:14">
      <c r="A5" s="254"/>
      <c r="B5" s="255"/>
      <c r="C5" s="256"/>
      <c r="D5" s="11"/>
      <c r="E5" s="263"/>
      <c r="F5" s="264"/>
      <c r="G5" s="265"/>
      <c r="H5" s="11"/>
      <c r="I5" s="219"/>
      <c r="J5" s="220"/>
      <c r="K5" s="221"/>
      <c r="L5" s="11"/>
      <c r="M5" s="271"/>
      <c r="N5" s="272"/>
    </row>
    <row r="6" spans="1:14">
      <c r="A6" s="254"/>
      <c r="B6" s="255"/>
      <c r="C6" s="256"/>
      <c r="D6" s="11"/>
      <c r="E6" s="263"/>
      <c r="F6" s="264"/>
      <c r="G6" s="265"/>
      <c r="H6" s="11"/>
      <c r="I6" s="219"/>
      <c r="J6" s="220"/>
      <c r="K6" s="221"/>
      <c r="L6" s="11"/>
      <c r="M6" s="271"/>
      <c r="N6" s="272"/>
    </row>
    <row r="7" spans="1:14">
      <c r="A7" s="257"/>
      <c r="B7" s="258"/>
      <c r="C7" s="259"/>
      <c r="D7" s="11"/>
      <c r="E7" s="266"/>
      <c r="F7" s="267"/>
      <c r="G7" s="268"/>
      <c r="H7" s="11"/>
      <c r="I7" s="222"/>
      <c r="J7" s="223"/>
      <c r="K7" s="224"/>
      <c r="L7" s="11"/>
      <c r="M7" s="273"/>
      <c r="N7" s="274"/>
    </row>
    <row r="8" spans="1:14">
      <c r="A8" s="124" t="s">
        <v>4301</v>
      </c>
      <c r="B8" s="124"/>
      <c r="C8" s="124"/>
      <c r="D8" s="11"/>
      <c r="E8" s="124" t="s">
        <v>767</v>
      </c>
      <c r="F8" s="124"/>
      <c r="G8" s="124"/>
      <c r="H8" s="11"/>
      <c r="I8" s="124" t="s">
        <v>769</v>
      </c>
      <c r="J8" s="124"/>
      <c r="K8" s="124"/>
      <c r="L8" s="11"/>
      <c r="M8" s="124" t="s">
        <v>4302</v>
      </c>
      <c r="N8" s="124"/>
    </row>
    <row r="9" spans="1:14">
      <c r="A9" s="11"/>
      <c r="B9" s="11"/>
      <c r="C9" s="11"/>
      <c r="D9" s="11"/>
      <c r="E9" s="11"/>
      <c r="F9" s="11"/>
      <c r="G9" s="11"/>
      <c r="H9" s="11"/>
      <c r="I9" s="11"/>
      <c r="J9" s="11"/>
      <c r="K9" s="11"/>
      <c r="L9" s="11"/>
      <c r="M9" s="11"/>
      <c r="N9" s="11"/>
    </row>
    <row r="10" spans="1:14">
      <c r="A10" s="152" t="s">
        <v>4303</v>
      </c>
      <c r="B10" s="152" t="s">
        <v>4303</v>
      </c>
      <c r="C10" s="152" t="s">
        <v>4303</v>
      </c>
      <c r="D10" s="152" t="s">
        <v>4303</v>
      </c>
      <c r="E10" s="11"/>
      <c r="F10" s="11"/>
      <c r="G10" s="11"/>
      <c r="H10" s="11"/>
      <c r="I10" s="11"/>
      <c r="J10" s="11"/>
      <c r="K10" s="11"/>
      <c r="L10" s="11"/>
      <c r="M10" s="11"/>
      <c r="N10" s="11"/>
    </row>
    <row r="11" spans="1:14">
      <c r="A11" s="1" t="s">
        <v>4304</v>
      </c>
      <c r="B11" s="2" t="s">
        <v>4305</v>
      </c>
      <c r="C11" s="2" t="s">
        <v>4306</v>
      </c>
      <c r="D11" s="3" t="s">
        <v>4307</v>
      </c>
      <c r="E11" s="11"/>
      <c r="F11" s="11"/>
      <c r="G11" s="11"/>
      <c r="H11" s="11"/>
      <c r="I11" s="11"/>
      <c r="J11" s="11"/>
      <c r="K11" s="11"/>
      <c r="L11" s="11"/>
      <c r="M11" s="11"/>
      <c r="N11" s="11"/>
    </row>
    <row r="12" spans="1:14">
      <c r="A12" s="11" t="s">
        <v>4308</v>
      </c>
      <c r="B12" s="11">
        <v>0</v>
      </c>
      <c r="C12" s="48">
        <v>0</v>
      </c>
      <c r="D12" s="11">
        <v>1044</v>
      </c>
      <c r="E12" s="11"/>
      <c r="F12" s="11"/>
      <c r="G12" s="11"/>
      <c r="H12" s="11"/>
      <c r="I12" s="11"/>
      <c r="J12" s="11"/>
      <c r="K12" s="11"/>
      <c r="L12" s="11"/>
      <c r="M12" s="11"/>
      <c r="N12" s="11"/>
    </row>
    <row r="13" spans="1:14">
      <c r="A13" s="11" t="s">
        <v>773</v>
      </c>
      <c r="B13" s="11">
        <v>0</v>
      </c>
      <c r="C13" s="48">
        <v>0</v>
      </c>
      <c r="D13" s="11">
        <v>1044</v>
      </c>
      <c r="E13" s="11"/>
      <c r="F13" s="11"/>
      <c r="G13" s="11"/>
      <c r="H13" s="11"/>
      <c r="I13" s="11"/>
      <c r="J13" s="11"/>
      <c r="K13" s="11"/>
      <c r="L13" s="11"/>
      <c r="M13" s="11"/>
      <c r="N13" s="11"/>
    </row>
    <row r="14" spans="1:14">
      <c r="A14" s="11" t="s">
        <v>4309</v>
      </c>
      <c r="B14" s="11">
        <v>2</v>
      </c>
      <c r="C14" s="48">
        <v>1.9157088122605363E-3</v>
      </c>
      <c r="D14" s="11">
        <v>1042</v>
      </c>
      <c r="E14" s="11"/>
      <c r="F14" s="11"/>
      <c r="G14" s="11"/>
      <c r="H14" s="11"/>
      <c r="I14" s="11"/>
      <c r="J14" s="11"/>
      <c r="K14" s="11"/>
      <c r="L14" s="11"/>
      <c r="M14" s="11"/>
      <c r="N14" s="11"/>
    </row>
    <row r="15" spans="1:14">
      <c r="A15" s="11" t="s">
        <v>4310</v>
      </c>
      <c r="B15" s="11">
        <v>69</v>
      </c>
      <c r="C15" s="48">
        <v>6.6091954022988508E-2</v>
      </c>
      <c r="D15" s="11">
        <v>975</v>
      </c>
      <c r="E15" s="11"/>
      <c r="F15" s="11"/>
      <c r="G15" s="11"/>
      <c r="H15" s="11"/>
      <c r="I15" s="11"/>
      <c r="J15" s="11"/>
      <c r="K15" s="11"/>
      <c r="L15" s="11"/>
      <c r="M15" s="11"/>
      <c r="N15" s="11"/>
    </row>
    <row r="16" spans="1:14">
      <c r="A16" s="11" t="s">
        <v>4311</v>
      </c>
      <c r="B16" s="11">
        <v>93</v>
      </c>
      <c r="C16" s="48">
        <v>8.9080459770114945E-2</v>
      </c>
      <c r="D16" s="11">
        <v>951</v>
      </c>
      <c r="E16" s="11"/>
      <c r="F16" s="11"/>
      <c r="G16" s="11"/>
      <c r="H16" s="11"/>
      <c r="I16" s="11"/>
      <c r="J16" s="11"/>
      <c r="K16" s="11"/>
      <c r="L16" s="11"/>
      <c r="M16" s="11"/>
      <c r="N16" s="11"/>
    </row>
    <row r="17" spans="1:14">
      <c r="A17" s="11" t="s">
        <v>4312</v>
      </c>
      <c r="B17" s="11">
        <v>104</v>
      </c>
      <c r="C17" s="48">
        <v>9.9616858237547887E-2</v>
      </c>
      <c r="D17" s="11">
        <v>940</v>
      </c>
      <c r="E17" s="11"/>
      <c r="F17" s="11"/>
      <c r="G17" s="11"/>
      <c r="H17" s="11"/>
      <c r="I17" s="11"/>
      <c r="J17" s="11"/>
      <c r="K17" s="11"/>
      <c r="L17" s="11"/>
      <c r="M17" s="11"/>
      <c r="N17" s="11"/>
    </row>
    <row r="18" spans="1:14">
      <c r="A18" s="11" t="s">
        <v>4313</v>
      </c>
      <c r="B18" s="11">
        <v>136</v>
      </c>
      <c r="C18" s="48">
        <v>0.13026819923371646</v>
      </c>
      <c r="D18" s="11">
        <v>908</v>
      </c>
      <c r="E18" s="11"/>
      <c r="F18" s="11"/>
      <c r="G18" s="11"/>
      <c r="H18" s="11"/>
      <c r="I18" s="11"/>
      <c r="J18" s="11"/>
      <c r="K18" s="11"/>
      <c r="L18" s="11"/>
      <c r="M18" s="11"/>
      <c r="N18" s="11"/>
    </row>
    <row r="19" spans="1:14">
      <c r="A19" s="11" t="s">
        <v>4314</v>
      </c>
      <c r="B19" s="11">
        <v>362</v>
      </c>
      <c r="C19" s="48">
        <v>0.34674329501915707</v>
      </c>
      <c r="D19" s="11">
        <v>682</v>
      </c>
      <c r="E19" s="11"/>
      <c r="F19" s="11"/>
      <c r="G19" s="11"/>
      <c r="H19" s="11"/>
      <c r="I19" s="11"/>
      <c r="J19" s="11"/>
      <c r="K19" s="11"/>
      <c r="L19" s="11"/>
      <c r="M19" s="11"/>
      <c r="N19" s="11"/>
    </row>
    <row r="20" spans="1:14">
      <c r="A20" s="11" t="s">
        <v>4315</v>
      </c>
      <c r="B20" s="11">
        <v>472</v>
      </c>
      <c r="C20" s="48">
        <v>0.45210727969348657</v>
      </c>
      <c r="D20" s="11">
        <v>572</v>
      </c>
      <c r="E20" s="11"/>
      <c r="F20" s="11"/>
      <c r="G20" s="11"/>
      <c r="H20" s="11"/>
      <c r="I20" s="11"/>
      <c r="J20" s="11"/>
      <c r="K20" s="11"/>
      <c r="L20" s="11"/>
      <c r="M20" s="11"/>
      <c r="N20" s="11"/>
    </row>
    <row r="21" spans="1:14">
      <c r="A21" s="11" t="s">
        <v>4316</v>
      </c>
      <c r="B21" s="11">
        <v>1041</v>
      </c>
      <c r="C21" s="48">
        <v>0.99712643678160917</v>
      </c>
      <c r="D21" s="11">
        <v>3</v>
      </c>
      <c r="E21" s="11"/>
      <c r="F21" s="11"/>
      <c r="G21" s="11"/>
      <c r="H21" s="11"/>
      <c r="I21" s="11"/>
      <c r="J21" s="11"/>
      <c r="K21" s="11"/>
      <c r="L21" s="11"/>
      <c r="M21" s="11"/>
      <c r="N21" s="11"/>
    </row>
    <row r="22" spans="1:14">
      <c r="A22" s="11"/>
      <c r="B22" s="11"/>
      <c r="C22" s="11"/>
      <c r="D22" s="11"/>
      <c r="E22" s="11"/>
      <c r="F22" s="11"/>
      <c r="G22" s="11"/>
      <c r="H22" s="11"/>
      <c r="I22" s="11"/>
      <c r="J22" s="11"/>
      <c r="K22" s="11"/>
      <c r="L22" s="11"/>
      <c r="M22" s="11"/>
      <c r="N22" s="11"/>
    </row>
    <row r="23" spans="1:14">
      <c r="A23" s="11"/>
      <c r="B23" s="11"/>
      <c r="C23" s="11"/>
      <c r="D23" s="11"/>
      <c r="E23" s="11"/>
      <c r="F23" s="11"/>
      <c r="G23" s="11"/>
      <c r="H23" s="11"/>
      <c r="I23" s="11"/>
      <c r="J23" s="11"/>
      <c r="K23" s="11"/>
      <c r="L23" s="11"/>
      <c r="M23" s="11"/>
      <c r="N23" s="11"/>
    </row>
    <row r="24" spans="1:14">
      <c r="A24" s="11"/>
      <c r="B24" s="11"/>
      <c r="C24" s="11"/>
      <c r="D24" s="11"/>
      <c r="E24" s="11"/>
      <c r="F24" s="11"/>
      <c r="G24" s="11"/>
      <c r="H24" s="11"/>
      <c r="I24" s="11"/>
      <c r="J24" s="11"/>
      <c r="K24" s="11"/>
      <c r="L24" s="11"/>
      <c r="M24" s="11"/>
      <c r="N24" s="11"/>
    </row>
    <row r="25" spans="1:14">
      <c r="A25" s="152" t="s">
        <v>4317</v>
      </c>
      <c r="B25" s="152" t="s">
        <v>4317</v>
      </c>
      <c r="C25" s="152" t="s">
        <v>4317</v>
      </c>
      <c r="D25" s="152" t="s">
        <v>4317</v>
      </c>
      <c r="E25" s="11"/>
      <c r="F25" s="11"/>
      <c r="G25" s="11"/>
      <c r="H25" s="11"/>
      <c r="I25" s="11"/>
      <c r="J25" s="11"/>
      <c r="K25" s="11"/>
      <c r="L25" s="11"/>
      <c r="M25" s="11"/>
      <c r="N25" s="11"/>
    </row>
    <row r="26" spans="1:14">
      <c r="A26" s="1" t="s">
        <v>34</v>
      </c>
      <c r="B26" s="3" t="s">
        <v>8</v>
      </c>
      <c r="C26" s="11"/>
      <c r="D26" s="11"/>
      <c r="E26" s="11"/>
      <c r="F26" s="11"/>
      <c r="G26" s="11"/>
      <c r="H26" s="11"/>
      <c r="I26" s="11"/>
      <c r="J26" s="11"/>
      <c r="K26" s="11"/>
      <c r="L26" s="11"/>
      <c r="M26" s="11"/>
      <c r="N26" s="11"/>
    </row>
    <row r="27" spans="1:14">
      <c r="A27" s="11" t="s">
        <v>4318</v>
      </c>
      <c r="B27" s="11">
        <v>279</v>
      </c>
      <c r="C27" s="11"/>
      <c r="D27" s="11"/>
      <c r="E27" s="11"/>
      <c r="F27" s="11"/>
      <c r="G27" s="11"/>
      <c r="H27" s="11"/>
      <c r="I27" s="11"/>
      <c r="J27" s="11"/>
      <c r="K27" s="11"/>
      <c r="L27" s="11"/>
      <c r="M27" s="11"/>
      <c r="N27" s="11"/>
    </row>
    <row r="28" spans="1:14">
      <c r="A28" s="11" t="s">
        <v>4319</v>
      </c>
      <c r="B28" s="11">
        <v>653</v>
      </c>
      <c r="C28" s="11"/>
      <c r="D28" s="11"/>
      <c r="E28" s="11"/>
      <c r="F28" s="11"/>
      <c r="G28" s="11"/>
      <c r="H28" s="11"/>
      <c r="I28" s="11"/>
      <c r="J28" s="11"/>
      <c r="K28" s="11"/>
      <c r="L28" s="11"/>
      <c r="M28" s="11"/>
      <c r="N28" s="11"/>
    </row>
    <row r="29" spans="1:14">
      <c r="A29" s="11" t="s">
        <v>4320</v>
      </c>
      <c r="B29" s="11">
        <v>92</v>
      </c>
      <c r="C29" s="11"/>
      <c r="D29" s="11"/>
      <c r="E29" s="11"/>
      <c r="F29" s="11"/>
      <c r="G29" s="11"/>
      <c r="H29" s="11"/>
      <c r="I29" s="11"/>
      <c r="J29" s="11"/>
      <c r="K29" s="11"/>
      <c r="L29" s="11"/>
      <c r="M29" s="11"/>
      <c r="N29" s="11"/>
    </row>
    <row r="30" spans="1:14">
      <c r="A30" s="11" t="s">
        <v>4321</v>
      </c>
      <c r="B30" s="11">
        <v>20</v>
      </c>
      <c r="C30" s="11"/>
      <c r="D30" s="11"/>
      <c r="E30" s="11"/>
      <c r="F30" s="11"/>
      <c r="G30" s="11"/>
      <c r="H30" s="11"/>
      <c r="I30" s="11"/>
      <c r="J30" s="11"/>
      <c r="K30" s="11"/>
      <c r="L30" s="11"/>
      <c r="M30" s="11"/>
      <c r="N30" s="11"/>
    </row>
    <row r="31" spans="1:14">
      <c r="A31" s="11" t="s">
        <v>4322</v>
      </c>
      <c r="B31" s="11">
        <v>0</v>
      </c>
      <c r="C31" s="11"/>
      <c r="D31" s="11"/>
      <c r="E31" s="11"/>
      <c r="F31" s="11"/>
      <c r="G31" s="11"/>
      <c r="H31" s="11"/>
      <c r="I31" s="11"/>
      <c r="J31" s="11"/>
      <c r="K31" s="11"/>
      <c r="L31" s="11"/>
      <c r="M31" s="11"/>
      <c r="N31" s="11"/>
    </row>
    <row r="32" spans="1:14">
      <c r="A32" s="11"/>
      <c r="B32" s="11"/>
      <c r="C32" s="11"/>
      <c r="D32" s="11"/>
      <c r="E32" s="11"/>
      <c r="F32" s="11"/>
      <c r="G32" s="11"/>
      <c r="H32" s="11"/>
      <c r="I32" s="11"/>
      <c r="J32" s="11"/>
      <c r="K32" s="11"/>
      <c r="L32" s="11"/>
      <c r="M32" s="11"/>
      <c r="N32" s="11"/>
    </row>
    <row r="33" spans="1:14">
      <c r="A33" s="11"/>
      <c r="B33" s="11"/>
      <c r="C33" s="11"/>
      <c r="D33" s="11"/>
      <c r="E33" s="11"/>
      <c r="F33" s="11"/>
      <c r="G33" s="11"/>
      <c r="H33" s="11"/>
      <c r="I33" s="11"/>
      <c r="J33" s="11"/>
      <c r="K33" s="11"/>
      <c r="L33" s="11"/>
      <c r="M33" s="11"/>
      <c r="N33" s="11"/>
    </row>
    <row r="34" spans="1:14">
      <c r="A34" s="152" t="s">
        <v>4323</v>
      </c>
      <c r="B34" s="152" t="s">
        <v>4323</v>
      </c>
      <c r="C34" s="152" t="s">
        <v>4323</v>
      </c>
      <c r="D34" s="152" t="s">
        <v>4323</v>
      </c>
      <c r="E34" s="152" t="s">
        <v>4323</v>
      </c>
      <c r="F34" s="152" t="s">
        <v>4323</v>
      </c>
      <c r="G34" s="152" t="s">
        <v>4323</v>
      </c>
      <c r="H34" s="152" t="s">
        <v>4323</v>
      </c>
      <c r="I34" s="152" t="s">
        <v>4323</v>
      </c>
      <c r="J34" s="152" t="s">
        <v>4323</v>
      </c>
      <c r="K34" s="152" t="s">
        <v>4323</v>
      </c>
      <c r="L34" s="152" t="s">
        <v>4323</v>
      </c>
      <c r="M34" s="152" t="s">
        <v>4323</v>
      </c>
      <c r="N34" s="152" t="s">
        <v>4323</v>
      </c>
    </row>
    <row r="35" spans="1:14">
      <c r="A35" s="153" t="s">
        <v>4324</v>
      </c>
      <c r="B35" s="154"/>
      <c r="C35" s="154"/>
      <c r="D35" s="154"/>
      <c r="E35" s="154"/>
      <c r="F35" s="154"/>
      <c r="G35" s="154"/>
      <c r="H35" s="154"/>
      <c r="I35" s="154"/>
      <c r="J35" s="154"/>
      <c r="K35" s="154"/>
      <c r="L35" s="154"/>
      <c r="M35" s="154"/>
      <c r="N35" s="155"/>
    </row>
    <row r="36" spans="1:14">
      <c r="A36" s="156"/>
      <c r="B36" s="157"/>
      <c r="C36" s="157"/>
      <c r="D36" s="157"/>
      <c r="E36" s="157"/>
      <c r="F36" s="157"/>
      <c r="G36" s="157"/>
      <c r="H36" s="157"/>
      <c r="I36" s="157"/>
      <c r="J36" s="157"/>
      <c r="K36" s="157"/>
      <c r="L36" s="157"/>
      <c r="M36" s="157"/>
      <c r="N36" s="158"/>
    </row>
    <row r="37" spans="1:14">
      <c r="A37" s="156"/>
      <c r="B37" s="157"/>
      <c r="C37" s="157"/>
      <c r="D37" s="157"/>
      <c r="E37" s="157"/>
      <c r="F37" s="157"/>
      <c r="G37" s="157"/>
      <c r="H37" s="157"/>
      <c r="I37" s="157"/>
      <c r="J37" s="157"/>
      <c r="K37" s="157"/>
      <c r="L37" s="157"/>
      <c r="M37" s="157"/>
      <c r="N37" s="158"/>
    </row>
    <row r="38" spans="1:14">
      <c r="A38" s="156"/>
      <c r="B38" s="157"/>
      <c r="C38" s="157"/>
      <c r="D38" s="157"/>
      <c r="E38" s="157"/>
      <c r="F38" s="157"/>
      <c r="G38" s="157"/>
      <c r="H38" s="157"/>
      <c r="I38" s="157"/>
      <c r="J38" s="157"/>
      <c r="K38" s="157"/>
      <c r="L38" s="157"/>
      <c r="M38" s="157"/>
      <c r="N38" s="158"/>
    </row>
    <row r="39" spans="1:14">
      <c r="A39" s="156"/>
      <c r="B39" s="157"/>
      <c r="C39" s="157"/>
      <c r="D39" s="157"/>
      <c r="E39" s="157"/>
      <c r="F39" s="157"/>
      <c r="G39" s="157"/>
      <c r="H39" s="157"/>
      <c r="I39" s="157"/>
      <c r="J39" s="157"/>
      <c r="K39" s="157"/>
      <c r="L39" s="157"/>
      <c r="M39" s="157"/>
      <c r="N39" s="158"/>
    </row>
    <row r="40" spans="1:14">
      <c r="A40" s="156"/>
      <c r="B40" s="157"/>
      <c r="C40" s="157"/>
      <c r="D40" s="157"/>
      <c r="E40" s="157"/>
      <c r="F40" s="157"/>
      <c r="G40" s="157"/>
      <c r="H40" s="157"/>
      <c r="I40" s="157"/>
      <c r="J40" s="157"/>
      <c r="K40" s="157"/>
      <c r="L40" s="157"/>
      <c r="M40" s="157"/>
      <c r="N40" s="158"/>
    </row>
    <row r="41" spans="1:14">
      <c r="A41" s="156"/>
      <c r="B41" s="157"/>
      <c r="C41" s="157"/>
      <c r="D41" s="157"/>
      <c r="E41" s="157"/>
      <c r="F41" s="157"/>
      <c r="G41" s="157"/>
      <c r="H41" s="157"/>
      <c r="I41" s="157"/>
      <c r="J41" s="157"/>
      <c r="K41" s="157"/>
      <c r="L41" s="157"/>
      <c r="M41" s="157"/>
      <c r="N41" s="158"/>
    </row>
    <row r="42" spans="1:14">
      <c r="A42" s="156"/>
      <c r="B42" s="157"/>
      <c r="C42" s="157"/>
      <c r="D42" s="157"/>
      <c r="E42" s="157"/>
      <c r="F42" s="157"/>
      <c r="G42" s="157"/>
      <c r="H42" s="157"/>
      <c r="I42" s="157"/>
      <c r="J42" s="157"/>
      <c r="K42" s="157"/>
      <c r="L42" s="157"/>
      <c r="M42" s="157"/>
      <c r="N42" s="158"/>
    </row>
    <row r="43" spans="1:14">
      <c r="A43" s="159"/>
      <c r="B43" s="160"/>
      <c r="C43" s="160"/>
      <c r="D43" s="160"/>
      <c r="E43" s="160"/>
      <c r="F43" s="160"/>
      <c r="G43" s="160"/>
      <c r="H43" s="160"/>
      <c r="I43" s="160"/>
      <c r="J43" s="160"/>
      <c r="K43" s="160"/>
      <c r="L43" s="160"/>
      <c r="M43" s="160"/>
      <c r="N43" s="161"/>
    </row>
  </sheetData>
  <mergeCells count="14">
    <mergeCell ref="A10:D10"/>
    <mergeCell ref="A25:D25"/>
    <mergeCell ref="A34:N34"/>
    <mergeCell ref="A35:N43"/>
    <mergeCell ref="A1:N1"/>
    <mergeCell ref="A2:N2"/>
    <mergeCell ref="A4:C7"/>
    <mergeCell ref="A8:C8"/>
    <mergeCell ref="E4:G7"/>
    <mergeCell ref="E8:G8"/>
    <mergeCell ref="I4:K7"/>
    <mergeCell ref="I8:K8"/>
    <mergeCell ref="M4:N7"/>
    <mergeCell ref="M8:N8"/>
  </mergeCells>
  <conditionalFormatting sqref="C12:C21">
    <cfRule type="dataBar" priority="1">
      <dataBar>
        <cfvo type="min"/>
        <cfvo type="max"/>
        <color rgb="FF7AC142"/>
      </dataBar>
    </cfRule>
    <cfRule type="dataBar" priority="2">
      <dataBar>
        <cfvo type="min"/>
        <cfvo type="max"/>
        <color rgb="FF7AC142"/>
      </dataBar>
      <extLst>
        <ext xmlns:x14="http://schemas.microsoft.com/office/spreadsheetml/2009/9/main" uri="{B025F937-C7B1-47D3-B67F-A62EFF666E3E}">
          <x14:id>{A82631FC-7859-FDCB-50F4-D413BB6CDC1A}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82631FC-7859-FDCB-50F4-D413BB6CDC1A}">
            <x14:dataBar>
              <x14:cfvo type="min"/>
              <x14:cfvo type="max"/>
              <x14:negativeFillColor auto="1"/>
              <x14:axisColor auto="1"/>
            </x14:dataBar>
          </x14:cfRule>
          <xm:sqref>C12:C21</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42"/>
  <sheetViews>
    <sheetView showGridLines="0" zoomScale="80" zoomScaleNormal="80" workbookViewId="0">
      <selection sqref="A1:N1"/>
    </sheetView>
  </sheetViews>
  <sheetFormatPr defaultRowHeight="14"/>
  <cols>
    <col min="1" max="1" width="14.4140625" customWidth="1"/>
    <col min="2" max="2" width="9.4140625" customWidth="1"/>
    <col min="3" max="3" width="12.25" customWidth="1"/>
    <col min="4" max="4" width="10.58203125" customWidth="1"/>
    <col min="5" max="5" width="2.75" customWidth="1"/>
    <col min="6" max="14" width="10.58203125" customWidth="1"/>
  </cols>
  <sheetData>
    <row r="1" spans="1:14" ht="23">
      <c r="A1" s="113" t="s">
        <v>4325</v>
      </c>
      <c r="B1" s="113"/>
      <c r="C1" s="113"/>
      <c r="D1" s="113"/>
      <c r="E1" s="113"/>
      <c r="F1" s="113"/>
      <c r="G1" s="113"/>
      <c r="H1" s="113"/>
      <c r="I1" s="113"/>
      <c r="J1" s="113"/>
      <c r="K1" s="113"/>
      <c r="L1" s="113"/>
      <c r="M1" s="113"/>
      <c r="N1" s="113"/>
    </row>
    <row r="2" spans="1:14">
      <c r="A2" s="114" t="s">
        <v>4326</v>
      </c>
      <c r="B2" s="114"/>
      <c r="C2" s="114"/>
      <c r="D2" s="114"/>
      <c r="E2" s="114"/>
      <c r="F2" s="114"/>
      <c r="G2" s="114"/>
      <c r="H2" s="114"/>
      <c r="I2" s="114"/>
      <c r="J2" s="114"/>
      <c r="K2" s="114"/>
      <c r="L2" s="114"/>
      <c r="M2" s="114"/>
      <c r="N2" s="114"/>
    </row>
    <row r="3" spans="1:14">
      <c r="A3" s="11"/>
      <c r="B3" s="11"/>
      <c r="C3" s="11"/>
      <c r="D3" s="11"/>
      <c r="E3" s="11"/>
      <c r="F3" s="11"/>
      <c r="G3" s="11"/>
      <c r="H3" s="11"/>
      <c r="I3" s="11"/>
      <c r="J3" s="11"/>
      <c r="K3" s="11"/>
      <c r="L3" s="11"/>
      <c r="M3" s="11"/>
      <c r="N3" s="11"/>
    </row>
    <row r="4" spans="1:14">
      <c r="A4" s="152" t="s">
        <v>4327</v>
      </c>
      <c r="B4" s="152" t="s">
        <v>4327</v>
      </c>
      <c r="C4" s="152" t="s">
        <v>4327</v>
      </c>
      <c r="D4" s="152" t="s">
        <v>4327</v>
      </c>
      <c r="E4" s="11"/>
      <c r="F4" s="11"/>
      <c r="G4" s="11"/>
      <c r="H4" s="11"/>
      <c r="I4" s="11"/>
      <c r="J4" s="11"/>
      <c r="K4" s="11"/>
      <c r="L4" s="11"/>
      <c r="M4" s="11"/>
      <c r="N4" s="11"/>
    </row>
    <row r="5" spans="1:14" ht="26">
      <c r="A5" s="1" t="s">
        <v>4328</v>
      </c>
      <c r="B5" s="2" t="s">
        <v>8</v>
      </c>
      <c r="C5" s="2" t="s">
        <v>23</v>
      </c>
      <c r="D5" s="3" t="s">
        <v>30</v>
      </c>
      <c r="E5" s="11"/>
      <c r="F5" s="11"/>
      <c r="G5" s="11"/>
      <c r="H5" s="11"/>
      <c r="I5" s="11"/>
      <c r="J5" s="11"/>
      <c r="K5" s="11"/>
      <c r="L5" s="11"/>
      <c r="M5" s="11"/>
      <c r="N5" s="11"/>
    </row>
    <row r="6" spans="1:14">
      <c r="A6" s="11" t="s">
        <v>4329</v>
      </c>
      <c r="B6" s="11">
        <v>33</v>
      </c>
      <c r="C6" s="11">
        <v>918</v>
      </c>
      <c r="D6" s="13">
        <v>27.818181818181817</v>
      </c>
      <c r="E6" s="11"/>
      <c r="F6" s="11"/>
      <c r="G6" s="11"/>
      <c r="H6" s="11"/>
      <c r="I6" s="11"/>
      <c r="J6" s="11"/>
      <c r="K6" s="11"/>
      <c r="L6" s="11"/>
      <c r="M6" s="11"/>
      <c r="N6" s="11"/>
    </row>
    <row r="7" spans="1:14">
      <c r="A7" s="11" t="s">
        <v>4330</v>
      </c>
      <c r="B7" s="11">
        <v>20</v>
      </c>
      <c r="C7" s="11">
        <v>717</v>
      </c>
      <c r="D7" s="13">
        <v>35.85</v>
      </c>
      <c r="E7" s="11"/>
      <c r="F7" s="11"/>
      <c r="G7" s="11"/>
      <c r="H7" s="11"/>
      <c r="I7" s="11"/>
      <c r="J7" s="11"/>
      <c r="K7" s="11"/>
      <c r="L7" s="11"/>
      <c r="M7" s="11"/>
      <c r="N7" s="11"/>
    </row>
    <row r="8" spans="1:14">
      <c r="A8" s="11" t="s">
        <v>4331</v>
      </c>
      <c r="B8" s="11">
        <v>11</v>
      </c>
      <c r="C8" s="11">
        <v>204</v>
      </c>
      <c r="D8" s="13">
        <v>18.545454545454547</v>
      </c>
      <c r="E8" s="11"/>
      <c r="F8" s="11"/>
      <c r="G8" s="11"/>
      <c r="H8" s="11"/>
      <c r="I8" s="11"/>
      <c r="J8" s="11"/>
      <c r="K8" s="11"/>
      <c r="L8" s="11"/>
      <c r="M8" s="11"/>
      <c r="N8" s="11"/>
    </row>
    <row r="9" spans="1:14">
      <c r="A9" s="11" t="s">
        <v>4332</v>
      </c>
      <c r="B9" s="11">
        <v>21</v>
      </c>
      <c r="C9" s="11">
        <v>503</v>
      </c>
      <c r="D9" s="13">
        <v>23.952380952380953</v>
      </c>
      <c r="E9" s="11"/>
      <c r="F9" s="11"/>
      <c r="G9" s="11"/>
      <c r="H9" s="11"/>
      <c r="I9" s="11"/>
      <c r="J9" s="11"/>
      <c r="K9" s="11"/>
      <c r="L9" s="11"/>
      <c r="M9" s="11"/>
      <c r="N9" s="11"/>
    </row>
    <row r="10" spans="1:14">
      <c r="A10" s="11" t="s">
        <v>4333</v>
      </c>
      <c r="B10" s="11">
        <v>42</v>
      </c>
      <c r="C10" s="11">
        <v>1416</v>
      </c>
      <c r="D10" s="13">
        <v>33.714285714285715</v>
      </c>
      <c r="E10" s="11"/>
      <c r="F10" s="11"/>
      <c r="G10" s="11"/>
      <c r="H10" s="11"/>
      <c r="I10" s="11"/>
      <c r="J10" s="11"/>
      <c r="K10" s="11"/>
      <c r="L10" s="11"/>
      <c r="M10" s="11"/>
      <c r="N10" s="11"/>
    </row>
    <row r="11" spans="1:14">
      <c r="A11" s="11" t="s">
        <v>4334</v>
      </c>
      <c r="B11" s="11">
        <v>21</v>
      </c>
      <c r="C11" s="11">
        <v>734</v>
      </c>
      <c r="D11" s="13">
        <v>34.952380952380949</v>
      </c>
      <c r="E11" s="11"/>
      <c r="F11" s="11"/>
      <c r="G11" s="11"/>
      <c r="H11" s="11"/>
      <c r="I11" s="11"/>
      <c r="J11" s="11"/>
      <c r="K11" s="11"/>
      <c r="L11" s="11"/>
      <c r="M11" s="11"/>
      <c r="N11" s="11"/>
    </row>
    <row r="12" spans="1:14">
      <c r="A12" s="11" t="s">
        <v>4335</v>
      </c>
      <c r="B12" s="11">
        <v>71</v>
      </c>
      <c r="C12" s="11">
        <v>3477</v>
      </c>
      <c r="D12" s="13">
        <v>48.971830985915496</v>
      </c>
      <c r="E12" s="11"/>
      <c r="F12" s="11"/>
      <c r="G12" s="11"/>
      <c r="H12" s="11"/>
      <c r="I12" s="11"/>
      <c r="J12" s="11"/>
      <c r="K12" s="11"/>
      <c r="L12" s="11"/>
      <c r="M12" s="11"/>
      <c r="N12" s="11"/>
    </row>
    <row r="13" spans="1:14">
      <c r="A13" s="11" t="s">
        <v>4336</v>
      </c>
      <c r="B13" s="11">
        <v>82</v>
      </c>
      <c r="C13" s="11">
        <v>3034</v>
      </c>
      <c r="D13" s="13">
        <v>37</v>
      </c>
      <c r="E13" s="11"/>
      <c r="F13" s="11"/>
      <c r="G13" s="11"/>
      <c r="H13" s="11"/>
      <c r="I13" s="11"/>
      <c r="J13" s="11"/>
      <c r="K13" s="11"/>
      <c r="L13" s="11"/>
      <c r="M13" s="11"/>
      <c r="N13" s="11"/>
    </row>
    <row r="14" spans="1:14">
      <c r="A14" s="11"/>
      <c r="B14" s="11"/>
      <c r="C14" s="11"/>
      <c r="D14" s="11"/>
      <c r="E14" s="11"/>
      <c r="F14" s="11"/>
      <c r="G14" s="11"/>
      <c r="H14" s="11"/>
      <c r="I14" s="11"/>
      <c r="J14" s="11"/>
      <c r="K14" s="11"/>
      <c r="L14" s="11"/>
      <c r="M14" s="11"/>
      <c r="N14" s="11"/>
    </row>
    <row r="15" spans="1:14">
      <c r="A15" s="11"/>
      <c r="B15" s="11"/>
      <c r="C15" s="11"/>
      <c r="D15" s="11"/>
      <c r="E15" s="11"/>
      <c r="F15" s="11"/>
      <c r="G15" s="11"/>
      <c r="H15" s="11"/>
      <c r="I15" s="11"/>
      <c r="J15" s="11"/>
      <c r="K15" s="11"/>
      <c r="L15" s="11"/>
      <c r="M15" s="11"/>
      <c r="N15" s="11"/>
    </row>
    <row r="16" spans="1:14">
      <c r="A16" s="11"/>
      <c r="B16" s="11"/>
      <c r="C16" s="11"/>
      <c r="D16" s="11"/>
      <c r="E16" s="11"/>
      <c r="F16" s="11"/>
      <c r="G16" s="11"/>
      <c r="H16" s="11"/>
      <c r="I16" s="11"/>
      <c r="J16" s="11"/>
      <c r="K16" s="11"/>
      <c r="L16" s="11"/>
      <c r="M16" s="11"/>
      <c r="N16" s="11"/>
    </row>
    <row r="17" spans="1:14">
      <c r="A17" s="11"/>
      <c r="B17" s="11"/>
      <c r="C17" s="11"/>
      <c r="D17" s="11"/>
      <c r="E17" s="11"/>
      <c r="F17" s="11"/>
      <c r="G17" s="11"/>
      <c r="H17" s="11"/>
      <c r="I17" s="11"/>
      <c r="J17" s="11"/>
      <c r="K17" s="11"/>
      <c r="L17" s="11"/>
      <c r="M17" s="11"/>
      <c r="N17" s="11"/>
    </row>
    <row r="18" spans="1:14">
      <c r="A18" s="11"/>
      <c r="B18" s="11"/>
      <c r="C18" s="11"/>
      <c r="D18" s="11"/>
      <c r="E18" s="11"/>
      <c r="F18" s="11"/>
      <c r="G18" s="11"/>
      <c r="H18" s="11"/>
      <c r="I18" s="11"/>
      <c r="J18" s="11"/>
      <c r="K18" s="11"/>
      <c r="L18" s="11"/>
      <c r="M18" s="11"/>
      <c r="N18" s="11"/>
    </row>
    <row r="19" spans="1:14">
      <c r="A19" s="152" t="s">
        <v>4337</v>
      </c>
      <c r="B19" s="152" t="s">
        <v>4337</v>
      </c>
      <c r="C19" s="152" t="s">
        <v>4337</v>
      </c>
      <c r="D19" s="152" t="s">
        <v>4337</v>
      </c>
      <c r="E19" s="11"/>
      <c r="F19" s="11"/>
      <c r="G19" s="11"/>
      <c r="H19" s="11"/>
      <c r="I19" s="11"/>
      <c r="J19" s="11"/>
      <c r="K19" s="11"/>
      <c r="L19" s="11"/>
      <c r="M19" s="11"/>
      <c r="N19" s="11"/>
    </row>
    <row r="20" spans="1:14" ht="26">
      <c r="A20" s="1" t="s">
        <v>4338</v>
      </c>
      <c r="B20" s="2" t="s">
        <v>8</v>
      </c>
      <c r="C20" s="2" t="s">
        <v>23</v>
      </c>
      <c r="D20" s="3" t="s">
        <v>30</v>
      </c>
      <c r="E20" s="11"/>
      <c r="F20" s="11"/>
      <c r="G20" s="11"/>
      <c r="H20" s="11"/>
      <c r="I20" s="11"/>
      <c r="J20" s="11"/>
      <c r="K20" s="11"/>
      <c r="L20" s="11"/>
      <c r="M20" s="11"/>
      <c r="N20" s="11"/>
    </row>
    <row r="21" spans="1:14">
      <c r="A21" s="11" t="s">
        <v>4339</v>
      </c>
      <c r="B21" s="11">
        <v>138</v>
      </c>
      <c r="C21" s="11">
        <v>3278</v>
      </c>
      <c r="D21" s="13">
        <v>23.753623188405797</v>
      </c>
      <c r="E21" s="11"/>
      <c r="F21" s="11"/>
      <c r="G21" s="11"/>
      <c r="H21" s="11"/>
      <c r="I21" s="11"/>
      <c r="J21" s="11"/>
      <c r="K21" s="11"/>
      <c r="L21" s="11"/>
      <c r="M21" s="11"/>
      <c r="N21" s="11"/>
    </row>
    <row r="22" spans="1:14">
      <c r="A22" s="11" t="s">
        <v>4340</v>
      </c>
      <c r="B22" s="11">
        <v>147</v>
      </c>
      <c r="C22" s="11">
        <v>2748</v>
      </c>
      <c r="D22" s="13">
        <v>18.693877551020407</v>
      </c>
      <c r="E22" s="11"/>
      <c r="F22" s="11"/>
      <c r="G22" s="11"/>
      <c r="H22" s="11"/>
      <c r="I22" s="11"/>
      <c r="J22" s="11"/>
      <c r="K22" s="11"/>
      <c r="L22" s="11"/>
      <c r="M22" s="11"/>
      <c r="N22" s="11"/>
    </row>
    <row r="23" spans="1:14">
      <c r="A23" s="11" t="s">
        <v>4341</v>
      </c>
      <c r="B23" s="11">
        <v>122</v>
      </c>
      <c r="C23" s="11">
        <v>2262</v>
      </c>
      <c r="D23" s="13">
        <v>18.540983606557376</v>
      </c>
      <c r="E23" s="11"/>
      <c r="F23" s="11"/>
      <c r="G23" s="11"/>
      <c r="H23" s="11"/>
      <c r="I23" s="11"/>
      <c r="J23" s="11"/>
      <c r="K23" s="11"/>
      <c r="L23" s="11"/>
      <c r="M23" s="11"/>
      <c r="N23" s="11"/>
    </row>
    <row r="24" spans="1:14">
      <c r="A24" s="11" t="s">
        <v>4342</v>
      </c>
      <c r="B24" s="11">
        <v>107</v>
      </c>
      <c r="C24" s="11">
        <v>2328</v>
      </c>
      <c r="D24" s="13">
        <v>21.757009345794394</v>
      </c>
      <c r="E24" s="11"/>
      <c r="F24" s="11"/>
      <c r="G24" s="11"/>
      <c r="H24" s="11"/>
      <c r="I24" s="11"/>
      <c r="J24" s="11"/>
      <c r="K24" s="11"/>
      <c r="L24" s="11"/>
      <c r="M24" s="11"/>
      <c r="N24" s="11"/>
    </row>
    <row r="25" spans="1:14">
      <c r="A25" s="11" t="s">
        <v>4343</v>
      </c>
      <c r="B25" s="11">
        <v>162</v>
      </c>
      <c r="C25" s="11">
        <v>3737</v>
      </c>
      <c r="D25" s="13">
        <v>23.067901234567902</v>
      </c>
      <c r="E25" s="11"/>
      <c r="F25" s="11"/>
      <c r="G25" s="11"/>
      <c r="H25" s="11"/>
      <c r="I25" s="11"/>
      <c r="J25" s="11"/>
      <c r="K25" s="11"/>
      <c r="L25" s="11"/>
      <c r="M25" s="11"/>
      <c r="N25" s="11"/>
    </row>
    <row r="26" spans="1:14">
      <c r="A26" s="11" t="s">
        <v>4344</v>
      </c>
      <c r="B26" s="11">
        <v>202</v>
      </c>
      <c r="C26" s="11">
        <v>4505</v>
      </c>
      <c r="D26" s="13">
        <v>22.301980198019802</v>
      </c>
      <c r="E26" s="11"/>
      <c r="F26" s="11"/>
      <c r="G26" s="11"/>
      <c r="H26" s="11"/>
      <c r="I26" s="11"/>
      <c r="J26" s="11"/>
      <c r="K26" s="11"/>
      <c r="L26" s="11"/>
      <c r="M26" s="11"/>
      <c r="N26" s="11"/>
    </row>
    <row r="27" spans="1:14">
      <c r="A27" s="11" t="s">
        <v>4345</v>
      </c>
      <c r="B27" s="11">
        <v>166</v>
      </c>
      <c r="C27" s="11">
        <v>3928</v>
      </c>
      <c r="D27" s="13">
        <v>23.662650602409638</v>
      </c>
      <c r="E27" s="11"/>
      <c r="F27" s="11"/>
      <c r="G27" s="11"/>
      <c r="H27" s="11"/>
      <c r="I27" s="11"/>
      <c r="J27" s="11"/>
      <c r="K27" s="11"/>
      <c r="L27" s="11"/>
      <c r="M27" s="11"/>
      <c r="N27" s="11"/>
    </row>
    <row r="28" spans="1:14">
      <c r="A28" s="11"/>
      <c r="B28" s="11"/>
      <c r="C28" s="11"/>
      <c r="D28" s="11"/>
      <c r="E28" s="11"/>
      <c r="F28" s="11"/>
      <c r="G28" s="11"/>
      <c r="H28" s="11"/>
      <c r="I28" s="11"/>
      <c r="J28" s="11"/>
      <c r="K28" s="11"/>
      <c r="L28" s="11"/>
      <c r="M28" s="11"/>
      <c r="N28" s="11"/>
    </row>
    <row r="29" spans="1:14">
      <c r="A29" s="11"/>
      <c r="B29" s="11"/>
      <c r="C29" s="11"/>
      <c r="D29" s="11"/>
      <c r="E29" s="11"/>
      <c r="F29" s="11"/>
      <c r="G29" s="11"/>
      <c r="H29" s="11"/>
      <c r="I29" s="11"/>
      <c r="J29" s="11"/>
      <c r="K29" s="11"/>
      <c r="L29" s="11"/>
      <c r="M29" s="11"/>
      <c r="N29" s="11"/>
    </row>
    <row r="30" spans="1:14">
      <c r="A30" s="11"/>
      <c r="B30" s="11"/>
      <c r="C30" s="11"/>
      <c r="D30" s="11"/>
      <c r="E30" s="11"/>
      <c r="F30" s="11"/>
      <c r="G30" s="11"/>
      <c r="H30" s="11"/>
      <c r="I30" s="11"/>
      <c r="J30" s="11"/>
      <c r="K30" s="11"/>
      <c r="L30" s="11"/>
      <c r="M30" s="11"/>
      <c r="N30" s="11"/>
    </row>
    <row r="31" spans="1:14">
      <c r="A31" s="11"/>
      <c r="B31" s="11"/>
      <c r="C31" s="11"/>
      <c r="D31" s="11"/>
      <c r="E31" s="11"/>
      <c r="F31" s="11"/>
      <c r="G31" s="11"/>
      <c r="H31" s="11"/>
      <c r="I31" s="11"/>
      <c r="J31" s="11"/>
      <c r="K31" s="11"/>
      <c r="L31" s="11"/>
      <c r="M31" s="11"/>
      <c r="N31" s="11"/>
    </row>
    <row r="32" spans="1:14">
      <c r="A32" s="11"/>
      <c r="B32" s="11"/>
      <c r="C32" s="11"/>
      <c r="D32" s="11"/>
      <c r="E32" s="11"/>
      <c r="F32" s="11"/>
      <c r="G32" s="11"/>
      <c r="H32" s="11"/>
      <c r="I32" s="11"/>
      <c r="J32" s="11"/>
      <c r="K32" s="11"/>
      <c r="L32" s="11"/>
      <c r="M32" s="11"/>
      <c r="N32" s="11"/>
    </row>
    <row r="33" spans="1:14">
      <c r="A33" s="11"/>
      <c r="B33" s="11"/>
      <c r="C33" s="11"/>
      <c r="D33" s="11"/>
      <c r="E33" s="11"/>
      <c r="F33" s="11"/>
      <c r="G33" s="11"/>
      <c r="H33" s="11"/>
      <c r="I33" s="11"/>
      <c r="J33" s="11"/>
      <c r="K33" s="11"/>
      <c r="L33" s="11"/>
      <c r="M33" s="11"/>
      <c r="N33" s="11"/>
    </row>
    <row r="34" spans="1:14">
      <c r="A34" s="152" t="s">
        <v>4346</v>
      </c>
      <c r="B34" s="152" t="s">
        <v>4346</v>
      </c>
      <c r="C34" s="152" t="s">
        <v>4346</v>
      </c>
      <c r="D34" s="152" t="s">
        <v>4346</v>
      </c>
      <c r="E34" s="11"/>
      <c r="F34" s="152" t="s">
        <v>4347</v>
      </c>
      <c r="G34" s="152" t="s">
        <v>4347</v>
      </c>
      <c r="H34" s="152" t="s">
        <v>4347</v>
      </c>
      <c r="I34" s="152" t="s">
        <v>4347</v>
      </c>
      <c r="J34" s="152" t="s">
        <v>4347</v>
      </c>
      <c r="K34" s="152" t="s">
        <v>4347</v>
      </c>
      <c r="L34" s="152" t="s">
        <v>4347</v>
      </c>
      <c r="M34" s="152" t="s">
        <v>4347</v>
      </c>
      <c r="N34" s="152" t="s">
        <v>4347</v>
      </c>
    </row>
    <row r="35" spans="1:14" ht="26">
      <c r="A35" s="1" t="s">
        <v>4348</v>
      </c>
      <c r="B35" s="2" t="s">
        <v>8</v>
      </c>
      <c r="C35" s="2" t="s">
        <v>23</v>
      </c>
      <c r="D35" s="3" t="s">
        <v>30</v>
      </c>
      <c r="E35" s="11"/>
      <c r="F35" s="162" t="s">
        <v>4349</v>
      </c>
      <c r="G35" s="163"/>
      <c r="H35" s="163"/>
      <c r="I35" s="163"/>
      <c r="J35" s="163"/>
      <c r="K35" s="163"/>
      <c r="L35" s="163"/>
      <c r="M35" s="163"/>
      <c r="N35" s="164"/>
    </row>
    <row r="36" spans="1:14">
      <c r="A36" s="11" t="s">
        <v>4350</v>
      </c>
      <c r="B36" s="11">
        <v>140</v>
      </c>
      <c r="C36" s="11">
        <v>2494</v>
      </c>
      <c r="D36" s="13">
        <v>17.814285714285713</v>
      </c>
      <c r="E36" s="11"/>
      <c r="F36" s="165"/>
      <c r="G36" s="166"/>
      <c r="H36" s="166"/>
      <c r="I36" s="166"/>
      <c r="J36" s="166"/>
      <c r="K36" s="166"/>
      <c r="L36" s="166"/>
      <c r="M36" s="166"/>
      <c r="N36" s="167"/>
    </row>
    <row r="37" spans="1:14">
      <c r="A37" s="11" t="s">
        <v>4351</v>
      </c>
      <c r="B37" s="11">
        <v>204</v>
      </c>
      <c r="C37" s="11">
        <v>4792</v>
      </c>
      <c r="D37" s="13">
        <v>23.490196078431371</v>
      </c>
      <c r="E37" s="11"/>
      <c r="F37" s="165"/>
      <c r="G37" s="166"/>
      <c r="H37" s="166"/>
      <c r="I37" s="166"/>
      <c r="J37" s="166"/>
      <c r="K37" s="166"/>
      <c r="L37" s="166"/>
      <c r="M37" s="166"/>
      <c r="N37" s="167"/>
    </row>
    <row r="38" spans="1:14">
      <c r="A38" s="11" t="s">
        <v>4352</v>
      </c>
      <c r="B38" s="11">
        <v>285</v>
      </c>
      <c r="C38" s="11">
        <v>6376</v>
      </c>
      <c r="D38" s="13">
        <v>22.371929824561402</v>
      </c>
      <c r="E38" s="11"/>
      <c r="F38" s="165"/>
      <c r="G38" s="166"/>
      <c r="H38" s="166"/>
      <c r="I38" s="166"/>
      <c r="J38" s="166"/>
      <c r="K38" s="166"/>
      <c r="L38" s="166"/>
      <c r="M38" s="166"/>
      <c r="N38" s="167"/>
    </row>
    <row r="39" spans="1:14">
      <c r="A39" s="11" t="s">
        <v>4353</v>
      </c>
      <c r="B39" s="11">
        <v>415</v>
      </c>
      <c r="C39" s="11">
        <v>9124</v>
      </c>
      <c r="D39" s="13">
        <v>21.985542168674698</v>
      </c>
      <c r="E39" s="11"/>
      <c r="F39" s="165"/>
      <c r="G39" s="166"/>
      <c r="H39" s="166"/>
      <c r="I39" s="166"/>
      <c r="J39" s="166"/>
      <c r="K39" s="166"/>
      <c r="L39" s="166"/>
      <c r="M39" s="166"/>
      <c r="N39" s="167"/>
    </row>
    <row r="40" spans="1:14">
      <c r="A40" s="11"/>
      <c r="B40" s="11"/>
      <c r="C40" s="11"/>
      <c r="D40" s="11"/>
      <c r="E40" s="11"/>
      <c r="F40" s="165"/>
      <c r="G40" s="166"/>
      <c r="H40" s="166"/>
      <c r="I40" s="166"/>
      <c r="J40" s="166"/>
      <c r="K40" s="166"/>
      <c r="L40" s="166"/>
      <c r="M40" s="166"/>
      <c r="N40" s="167"/>
    </row>
    <row r="41" spans="1:14">
      <c r="A41" s="11"/>
      <c r="B41" s="11"/>
      <c r="C41" s="11"/>
      <c r="D41" s="11"/>
      <c r="E41" s="11"/>
      <c r="F41" s="165"/>
      <c r="G41" s="166"/>
      <c r="H41" s="166"/>
      <c r="I41" s="166"/>
      <c r="J41" s="166"/>
      <c r="K41" s="166"/>
      <c r="L41" s="166"/>
      <c r="M41" s="166"/>
      <c r="N41" s="167"/>
    </row>
    <row r="42" spans="1:14">
      <c r="A42" s="11"/>
      <c r="B42" s="11"/>
      <c r="C42" s="11"/>
      <c r="D42" s="11"/>
      <c r="E42" s="11"/>
      <c r="F42" s="168"/>
      <c r="G42" s="169"/>
      <c r="H42" s="169"/>
      <c r="I42" s="169"/>
      <c r="J42" s="169"/>
      <c r="K42" s="169"/>
      <c r="L42" s="169"/>
      <c r="M42" s="169"/>
      <c r="N42" s="170"/>
    </row>
  </sheetData>
  <mergeCells count="7">
    <mergeCell ref="F35:N42"/>
    <mergeCell ref="A1:N1"/>
    <mergeCell ref="A2:N2"/>
    <mergeCell ref="A4:D4"/>
    <mergeCell ref="A19:D19"/>
    <mergeCell ref="A34:D34"/>
    <mergeCell ref="F34:N3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48"/>
  <sheetViews>
    <sheetView showGridLines="0" zoomScale="80" zoomScaleNormal="80" workbookViewId="0">
      <selection sqref="A1:H1"/>
    </sheetView>
  </sheetViews>
  <sheetFormatPr defaultRowHeight="14"/>
  <cols>
    <col min="1" max="1" width="5.58203125" customWidth="1"/>
    <col min="2" max="2" width="15" customWidth="1"/>
    <col min="3" max="3" width="43.33203125" customWidth="1"/>
    <col min="4" max="4" width="17.75" customWidth="1"/>
    <col min="5" max="8" width="4.4140625" customWidth="1"/>
  </cols>
  <sheetData>
    <row r="1" spans="1:8" ht="23">
      <c r="A1" s="113" t="s">
        <v>4354</v>
      </c>
      <c r="B1" s="113"/>
      <c r="C1" s="113"/>
      <c r="D1" s="113"/>
      <c r="E1" s="113"/>
      <c r="F1" s="113"/>
      <c r="G1" s="113"/>
      <c r="H1" s="113"/>
    </row>
    <row r="2" spans="1:8">
      <c r="A2" s="114" t="s">
        <v>4355</v>
      </c>
      <c r="B2" s="114"/>
      <c r="C2" s="114"/>
      <c r="D2" s="114"/>
      <c r="E2" s="114"/>
      <c r="F2" s="114"/>
      <c r="G2" s="114"/>
      <c r="H2" s="114"/>
    </row>
    <row r="3" spans="1:8">
      <c r="A3" s="11"/>
      <c r="B3" s="11"/>
      <c r="C3" s="11"/>
      <c r="D3" s="11"/>
      <c r="E3" s="11"/>
      <c r="F3" s="11"/>
      <c r="G3" s="11"/>
      <c r="H3" s="11"/>
    </row>
    <row r="4" spans="1:8">
      <c r="A4" s="152" t="s">
        <v>4356</v>
      </c>
      <c r="B4" s="152" t="s">
        <v>4356</v>
      </c>
      <c r="C4" s="152" t="s">
        <v>4356</v>
      </c>
      <c r="D4" s="152" t="s">
        <v>4356</v>
      </c>
      <c r="E4" s="152" t="s">
        <v>4356</v>
      </c>
      <c r="F4" s="152" t="s">
        <v>4356</v>
      </c>
      <c r="G4" s="152" t="s">
        <v>4356</v>
      </c>
      <c r="H4" s="152" t="s">
        <v>4356</v>
      </c>
    </row>
    <row r="5" spans="1:8">
      <c r="A5" s="275" t="s">
        <v>4357</v>
      </c>
      <c r="B5" s="276"/>
      <c r="C5" s="276"/>
      <c r="D5" s="276"/>
      <c r="E5" s="276"/>
      <c r="F5" s="276"/>
      <c r="G5" s="276"/>
      <c r="H5" s="277"/>
    </row>
    <row r="6" spans="1:8">
      <c r="A6" s="278"/>
      <c r="B6" s="279"/>
      <c r="C6" s="279"/>
      <c r="D6" s="279"/>
      <c r="E6" s="279"/>
      <c r="F6" s="279"/>
      <c r="G6" s="279"/>
      <c r="H6" s="280"/>
    </row>
    <row r="7" spans="1:8">
      <c r="A7" s="278"/>
      <c r="B7" s="279"/>
      <c r="C7" s="279"/>
      <c r="D7" s="279"/>
      <c r="E7" s="279"/>
      <c r="F7" s="279"/>
      <c r="G7" s="279"/>
      <c r="H7" s="280"/>
    </row>
    <row r="8" spans="1:8">
      <c r="A8" s="281"/>
      <c r="B8" s="282"/>
      <c r="C8" s="282"/>
      <c r="D8" s="282"/>
      <c r="E8" s="282"/>
      <c r="F8" s="282"/>
      <c r="G8" s="282"/>
      <c r="H8" s="283"/>
    </row>
    <row r="9" spans="1:8">
      <c r="A9" s="11"/>
      <c r="B9" s="11"/>
      <c r="C9" s="11"/>
      <c r="D9" s="11"/>
      <c r="E9" s="11"/>
      <c r="F9" s="11"/>
      <c r="G9" s="11"/>
      <c r="H9" s="11"/>
    </row>
    <row r="10" spans="1:8">
      <c r="A10" s="152" t="s">
        <v>4358</v>
      </c>
      <c r="B10" s="152" t="s">
        <v>4358</v>
      </c>
      <c r="C10" s="152" t="s">
        <v>4358</v>
      </c>
      <c r="D10" s="152" t="s">
        <v>4358</v>
      </c>
      <c r="E10" s="152" t="s">
        <v>4358</v>
      </c>
      <c r="F10" s="152" t="s">
        <v>4358</v>
      </c>
      <c r="G10" s="152" t="s">
        <v>4358</v>
      </c>
      <c r="H10" s="152" t="s">
        <v>4358</v>
      </c>
    </row>
    <row r="11" spans="1:8">
      <c r="A11" s="49" t="s">
        <v>4359</v>
      </c>
      <c r="B11" s="14" t="s">
        <v>966</v>
      </c>
      <c r="C11" s="14" t="s">
        <v>4360</v>
      </c>
      <c r="D11" s="14" t="s">
        <v>4361</v>
      </c>
      <c r="E11" s="11"/>
      <c r="F11" s="11"/>
      <c r="G11" s="11"/>
      <c r="H11" s="11"/>
    </row>
    <row r="12" spans="1:8" ht="28">
      <c r="A12" s="49" t="s">
        <v>4362</v>
      </c>
      <c r="B12" s="14" t="s">
        <v>1110</v>
      </c>
      <c r="C12" s="14" t="s">
        <v>4363</v>
      </c>
      <c r="D12" s="14" t="s">
        <v>4361</v>
      </c>
      <c r="E12" s="11"/>
      <c r="F12" s="11"/>
      <c r="G12" s="11"/>
      <c r="H12" s="11"/>
    </row>
    <row r="13" spans="1:8" ht="28">
      <c r="A13" s="49" t="s">
        <v>443</v>
      </c>
      <c r="B13" s="14" t="s">
        <v>1123</v>
      </c>
      <c r="C13" s="14" t="s">
        <v>4364</v>
      </c>
      <c r="D13" s="14" t="s">
        <v>4365</v>
      </c>
      <c r="E13" s="11"/>
      <c r="F13" s="11"/>
      <c r="G13" s="11"/>
      <c r="H13" s="11"/>
    </row>
    <row r="14" spans="1:8" ht="28">
      <c r="A14" s="49" t="s">
        <v>4366</v>
      </c>
      <c r="B14" s="14" t="s">
        <v>1291</v>
      </c>
      <c r="C14" s="14" t="s">
        <v>4367</v>
      </c>
      <c r="D14" s="14" t="s">
        <v>4368</v>
      </c>
      <c r="E14" s="11"/>
      <c r="F14" s="11"/>
      <c r="G14" s="11"/>
      <c r="H14" s="11"/>
    </row>
    <row r="15" spans="1:8" ht="42">
      <c r="A15" s="49" t="s">
        <v>482</v>
      </c>
      <c r="B15" s="14" t="s">
        <v>4369</v>
      </c>
      <c r="C15" s="14" t="s">
        <v>4370</v>
      </c>
      <c r="D15" s="14" t="s">
        <v>4371</v>
      </c>
      <c r="E15" s="11"/>
      <c r="F15" s="11"/>
      <c r="G15" s="11"/>
      <c r="H15" s="11"/>
    </row>
    <row r="16" spans="1:8" ht="28">
      <c r="A16" s="49" t="s">
        <v>4372</v>
      </c>
      <c r="B16" s="14" t="s">
        <v>4373</v>
      </c>
      <c r="C16" s="14" t="s">
        <v>4374</v>
      </c>
      <c r="D16" s="14" t="s">
        <v>4375</v>
      </c>
      <c r="E16" s="11"/>
      <c r="F16" s="11"/>
      <c r="G16" s="11"/>
      <c r="H16" s="11"/>
    </row>
    <row r="17" spans="1:8" ht="28">
      <c r="A17" s="49" t="s">
        <v>4376</v>
      </c>
      <c r="B17" s="14" t="s">
        <v>4377</v>
      </c>
      <c r="C17" s="14" t="s">
        <v>4378</v>
      </c>
      <c r="D17" s="14" t="s">
        <v>4379</v>
      </c>
      <c r="E17" s="11"/>
      <c r="F17" s="11"/>
      <c r="G17" s="11"/>
      <c r="H17" s="11"/>
    </row>
    <row r="18" spans="1:8" ht="28">
      <c r="A18" s="49" t="s">
        <v>4380</v>
      </c>
      <c r="B18" s="14" t="s">
        <v>4381</v>
      </c>
      <c r="C18" s="14" t="s">
        <v>4382</v>
      </c>
      <c r="D18" s="14" t="s">
        <v>4383</v>
      </c>
      <c r="E18" s="11"/>
      <c r="F18" s="11"/>
      <c r="G18" s="11"/>
      <c r="H18" s="11"/>
    </row>
    <row r="19" spans="1:8">
      <c r="A19" s="11"/>
      <c r="B19" s="11"/>
      <c r="C19" s="11"/>
      <c r="D19" s="11"/>
      <c r="E19" s="11"/>
      <c r="F19" s="11"/>
      <c r="G19" s="11"/>
      <c r="H19" s="11"/>
    </row>
    <row r="20" spans="1:8">
      <c r="A20" s="152" t="s">
        <v>4384</v>
      </c>
      <c r="B20" s="152" t="s">
        <v>4384</v>
      </c>
      <c r="C20" s="152" t="s">
        <v>4384</v>
      </c>
      <c r="D20" s="152" t="s">
        <v>4384</v>
      </c>
      <c r="E20" s="152" t="s">
        <v>4384</v>
      </c>
      <c r="F20" s="152" t="s">
        <v>4384</v>
      </c>
      <c r="G20" s="152" t="s">
        <v>4384</v>
      </c>
      <c r="H20" s="152" t="s">
        <v>4384</v>
      </c>
    </row>
    <row r="21" spans="1:8">
      <c r="A21" s="275" t="s">
        <v>4385</v>
      </c>
      <c r="B21" s="276"/>
      <c r="C21" s="276"/>
      <c r="D21" s="276"/>
      <c r="E21" s="276"/>
      <c r="F21" s="276"/>
      <c r="G21" s="276"/>
      <c r="H21" s="277"/>
    </row>
    <row r="22" spans="1:8">
      <c r="A22" s="278"/>
      <c r="B22" s="279"/>
      <c r="C22" s="279"/>
      <c r="D22" s="279"/>
      <c r="E22" s="279"/>
      <c r="F22" s="279"/>
      <c r="G22" s="279"/>
      <c r="H22" s="280"/>
    </row>
    <row r="23" spans="1:8">
      <c r="A23" s="278"/>
      <c r="B23" s="279"/>
      <c r="C23" s="279"/>
      <c r="D23" s="279"/>
      <c r="E23" s="279"/>
      <c r="F23" s="279"/>
      <c r="G23" s="279"/>
      <c r="H23" s="280"/>
    </row>
    <row r="24" spans="1:8">
      <c r="A24" s="278"/>
      <c r="B24" s="279"/>
      <c r="C24" s="279"/>
      <c r="D24" s="279"/>
      <c r="E24" s="279"/>
      <c r="F24" s="279"/>
      <c r="G24" s="279"/>
      <c r="H24" s="280"/>
    </row>
    <row r="25" spans="1:8">
      <c r="A25" s="278"/>
      <c r="B25" s="279"/>
      <c r="C25" s="279"/>
      <c r="D25" s="279"/>
      <c r="E25" s="279"/>
      <c r="F25" s="279"/>
      <c r="G25" s="279"/>
      <c r="H25" s="280"/>
    </row>
    <row r="26" spans="1:8">
      <c r="A26" s="278"/>
      <c r="B26" s="279"/>
      <c r="C26" s="279"/>
      <c r="D26" s="279"/>
      <c r="E26" s="279"/>
      <c r="F26" s="279"/>
      <c r="G26" s="279"/>
      <c r="H26" s="280"/>
    </row>
    <row r="27" spans="1:8">
      <c r="A27" s="278"/>
      <c r="B27" s="279"/>
      <c r="C27" s="279"/>
      <c r="D27" s="279"/>
      <c r="E27" s="279"/>
      <c r="F27" s="279"/>
      <c r="G27" s="279"/>
      <c r="H27" s="280"/>
    </row>
    <row r="28" spans="1:8">
      <c r="A28" s="281"/>
      <c r="B28" s="282"/>
      <c r="C28" s="282"/>
      <c r="D28" s="282"/>
      <c r="E28" s="282"/>
      <c r="F28" s="282"/>
      <c r="G28" s="282"/>
      <c r="H28" s="283"/>
    </row>
    <row r="29" spans="1:8">
      <c r="A29" s="11"/>
      <c r="B29" s="11"/>
      <c r="C29" s="11"/>
      <c r="D29" s="11"/>
      <c r="E29" s="11"/>
      <c r="F29" s="11"/>
      <c r="G29" s="11"/>
      <c r="H29" s="11"/>
    </row>
    <row r="30" spans="1:8">
      <c r="A30" s="152" t="s">
        <v>4386</v>
      </c>
      <c r="B30" s="152" t="s">
        <v>4386</v>
      </c>
      <c r="C30" s="152" t="s">
        <v>4386</v>
      </c>
      <c r="D30" s="152" t="s">
        <v>4386</v>
      </c>
      <c r="E30" s="152" t="s">
        <v>4386</v>
      </c>
      <c r="F30" s="152" t="s">
        <v>4386</v>
      </c>
      <c r="G30" s="152" t="s">
        <v>4386</v>
      </c>
      <c r="H30" s="152" t="s">
        <v>4386</v>
      </c>
    </row>
    <row r="31" spans="1:8">
      <c r="A31" s="275" t="s">
        <v>4387</v>
      </c>
      <c r="B31" s="276"/>
      <c r="C31" s="276"/>
      <c r="D31" s="276"/>
      <c r="E31" s="276"/>
      <c r="F31" s="276"/>
      <c r="G31" s="276"/>
      <c r="H31" s="277"/>
    </row>
    <row r="32" spans="1:8">
      <c r="A32" s="278"/>
      <c r="B32" s="279"/>
      <c r="C32" s="279"/>
      <c r="D32" s="279"/>
      <c r="E32" s="279"/>
      <c r="F32" s="279"/>
      <c r="G32" s="279"/>
      <c r="H32" s="280"/>
    </row>
    <row r="33" spans="1:8">
      <c r="A33" s="278"/>
      <c r="B33" s="279"/>
      <c r="C33" s="279"/>
      <c r="D33" s="279"/>
      <c r="E33" s="279"/>
      <c r="F33" s="279"/>
      <c r="G33" s="279"/>
      <c r="H33" s="280"/>
    </row>
    <row r="34" spans="1:8">
      <c r="A34" s="281"/>
      <c r="B34" s="282"/>
      <c r="C34" s="282"/>
      <c r="D34" s="282"/>
      <c r="E34" s="282"/>
      <c r="F34" s="282"/>
      <c r="G34" s="282"/>
      <c r="H34" s="283"/>
    </row>
    <row r="35" spans="1:8">
      <c r="A35" s="11"/>
      <c r="B35" s="11"/>
      <c r="C35" s="11"/>
      <c r="D35" s="11"/>
      <c r="E35" s="11"/>
      <c r="F35" s="11"/>
      <c r="G35" s="11"/>
      <c r="H35" s="11"/>
    </row>
    <row r="36" spans="1:8">
      <c r="A36" s="152" t="s">
        <v>4388</v>
      </c>
      <c r="B36" s="152" t="s">
        <v>4388</v>
      </c>
      <c r="C36" s="152" t="s">
        <v>4388</v>
      </c>
      <c r="D36" s="152" t="s">
        <v>4388</v>
      </c>
      <c r="E36" s="152" t="s">
        <v>4388</v>
      </c>
      <c r="F36" s="152" t="s">
        <v>4388</v>
      </c>
      <c r="G36" s="152" t="s">
        <v>4388</v>
      </c>
      <c r="H36" s="152" t="s">
        <v>4388</v>
      </c>
    </row>
    <row r="37" spans="1:8">
      <c r="A37" s="275" t="s">
        <v>4389</v>
      </c>
      <c r="B37" s="276"/>
      <c r="C37" s="276"/>
      <c r="D37" s="276"/>
      <c r="E37" s="276"/>
      <c r="F37" s="276"/>
      <c r="G37" s="276"/>
      <c r="H37" s="277"/>
    </row>
    <row r="38" spans="1:8">
      <c r="A38" s="278"/>
      <c r="B38" s="279"/>
      <c r="C38" s="279"/>
      <c r="D38" s="279"/>
      <c r="E38" s="279"/>
      <c r="F38" s="279"/>
      <c r="G38" s="279"/>
      <c r="H38" s="280"/>
    </row>
    <row r="39" spans="1:8">
      <c r="A39" s="278"/>
      <c r="B39" s="279"/>
      <c r="C39" s="279"/>
      <c r="D39" s="279"/>
      <c r="E39" s="279"/>
      <c r="F39" s="279"/>
      <c r="G39" s="279"/>
      <c r="H39" s="280"/>
    </row>
    <row r="40" spans="1:8">
      <c r="A40" s="278"/>
      <c r="B40" s="279"/>
      <c r="C40" s="279"/>
      <c r="D40" s="279"/>
      <c r="E40" s="279"/>
      <c r="F40" s="279"/>
      <c r="G40" s="279"/>
      <c r="H40" s="280"/>
    </row>
    <row r="41" spans="1:8">
      <c r="A41" s="281"/>
      <c r="B41" s="282"/>
      <c r="C41" s="282"/>
      <c r="D41" s="282"/>
      <c r="E41" s="282"/>
      <c r="F41" s="282"/>
      <c r="G41" s="282"/>
      <c r="H41" s="283"/>
    </row>
    <row r="42" spans="1:8">
      <c r="A42" s="11"/>
      <c r="B42" s="11"/>
      <c r="C42" s="11"/>
      <c r="D42" s="11"/>
      <c r="E42" s="11"/>
      <c r="F42" s="11"/>
      <c r="G42" s="11"/>
      <c r="H42" s="11"/>
    </row>
    <row r="43" spans="1:8">
      <c r="A43" s="152" t="s">
        <v>4390</v>
      </c>
      <c r="B43" s="152" t="s">
        <v>4390</v>
      </c>
      <c r="C43" s="152" t="s">
        <v>4390</v>
      </c>
      <c r="D43" s="152" t="s">
        <v>4390</v>
      </c>
      <c r="E43" s="152" t="s">
        <v>4390</v>
      </c>
      <c r="F43" s="152" t="s">
        <v>4390</v>
      </c>
      <c r="G43" s="152" t="s">
        <v>4390</v>
      </c>
      <c r="H43" s="152" t="s">
        <v>4390</v>
      </c>
    </row>
    <row r="44" spans="1:8">
      <c r="A44" s="275" t="s">
        <v>4391</v>
      </c>
      <c r="B44" s="276"/>
      <c r="C44" s="276"/>
      <c r="D44" s="276"/>
      <c r="E44" s="276"/>
      <c r="F44" s="276"/>
      <c r="G44" s="276"/>
      <c r="H44" s="277"/>
    </row>
    <row r="45" spans="1:8">
      <c r="A45" s="278"/>
      <c r="B45" s="279"/>
      <c r="C45" s="279"/>
      <c r="D45" s="279"/>
      <c r="E45" s="279"/>
      <c r="F45" s="279"/>
      <c r="G45" s="279"/>
      <c r="H45" s="280"/>
    </row>
    <row r="46" spans="1:8">
      <c r="A46" s="278"/>
      <c r="B46" s="279"/>
      <c r="C46" s="279"/>
      <c r="D46" s="279"/>
      <c r="E46" s="279"/>
      <c r="F46" s="279"/>
      <c r="G46" s="279"/>
      <c r="H46" s="280"/>
    </row>
    <row r="47" spans="1:8">
      <c r="A47" s="278"/>
      <c r="B47" s="279"/>
      <c r="C47" s="279"/>
      <c r="D47" s="279"/>
      <c r="E47" s="279"/>
      <c r="F47" s="279"/>
      <c r="G47" s="279"/>
      <c r="H47" s="280"/>
    </row>
    <row r="48" spans="1:8">
      <c r="A48" s="281"/>
      <c r="B48" s="282"/>
      <c r="C48" s="282"/>
      <c r="D48" s="282"/>
      <c r="E48" s="282"/>
      <c r="F48" s="282"/>
      <c r="G48" s="282"/>
      <c r="H48" s="283"/>
    </row>
  </sheetData>
  <mergeCells count="13">
    <mergeCell ref="A37:H41"/>
    <mergeCell ref="A43:H43"/>
    <mergeCell ref="A44:H48"/>
    <mergeCell ref="A20:H20"/>
    <mergeCell ref="A21:H28"/>
    <mergeCell ref="A30:H30"/>
    <mergeCell ref="A31:H34"/>
    <mergeCell ref="A36:H36"/>
    <mergeCell ref="A1:H1"/>
    <mergeCell ref="A2:H2"/>
    <mergeCell ref="A4:H4"/>
    <mergeCell ref="A5:H8"/>
    <mergeCell ref="A10: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Tableau de bord</vt:lpstr>
      <vt:lpstr>Vue journalistique</vt:lpstr>
      <vt:lpstr>Plan mise en œuvre</vt:lpstr>
      <vt:lpstr>Plan 90 jours</vt:lpstr>
      <vt:lpstr>Recommandations auteurs</vt:lpstr>
      <vt:lpstr>Rubriques éditoriales</vt:lpstr>
      <vt:lpstr>Standards et workflow</vt:lpstr>
      <vt:lpstr>KPI et gouvernance</vt:lpstr>
      <vt:lpstr>Classement 55</vt:lpstr>
      <vt:lpstr>Corpus</vt:lpstr>
      <vt:lpstr>Analyse régions</vt:lpstr>
      <vt:lpstr>Thèmes et années</vt:lpstr>
      <vt:lpstr>Auteurs</vt:lpstr>
      <vt:lpstr>Audience et impact</vt:lpstr>
      <vt:lpstr>Performance articles</vt:lpstr>
      <vt:lpstr>Qualité éditoriale</vt:lpstr>
      <vt:lpstr>Rythme publication</vt:lpstr>
      <vt:lpstr>Méthodologie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Marc Feussom</dc:creator>
  <cp:lastModifiedBy>Jean Marc Feussom</cp:lastModifiedBy>
  <dcterms:created xsi:type="dcterms:W3CDTF">2026-08-25T15:26:17Z</dcterms:created>
  <dcterms:modified xsi:type="dcterms:W3CDTF">2026-08-25T15:26:17Z</dcterms:modified>
</cp:coreProperties>
</file>